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mcvnpt-my.sharepoint.com/personal/phuongvl_vpc_vnpt_vn/Documents/AI/4congnoCSHT/"/>
    </mc:Choice>
  </mc:AlternateContent>
  <xr:revisionPtr revIDLastSave="15" documentId="8_{F7031233-CD21-4DBF-8693-9753A5129E05}" xr6:coauthVersionLast="47" xr6:coauthVersionMax="47" xr10:uidLastSave="{AB0A4908-0835-4F85-9946-496E2AD47660}"/>
  <bookViews>
    <workbookView xWindow="-98" yWindow="-98" windowWidth="21795" windowHeight="13096" xr2:uid="{00000000-000D-0000-FFFF-FFFF00000000}"/>
  </bookViews>
  <sheets>
    <sheet name="Theo dõi đầy đủ" sheetId="1" r:id="rId1"/>
  </sheets>
  <definedNames>
    <definedName name="_xlnm._FilterDatabase" localSheetId="0" hidden="1">'Theo dõi đầy đủ'!$A$1:$BC$1171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72" i="1" l="1"/>
  <c r="AW966" i="1" l="1"/>
  <c r="AY1171" i="1" l="1"/>
  <c r="AX1171" i="1"/>
  <c r="AW1171" i="1"/>
  <c r="P1171" i="1"/>
  <c r="AY1170" i="1"/>
  <c r="AX1170" i="1"/>
  <c r="AW1170" i="1"/>
  <c r="P1170" i="1"/>
  <c r="AY1169" i="1"/>
  <c r="AX1169" i="1"/>
  <c r="AW1169" i="1"/>
  <c r="P1169" i="1"/>
  <c r="AY1168" i="1"/>
  <c r="AX1168" i="1"/>
  <c r="AW1168" i="1"/>
  <c r="P1168" i="1"/>
  <c r="AY1167" i="1"/>
  <c r="AX1167" i="1"/>
  <c r="AW1167" i="1"/>
  <c r="P1167" i="1"/>
  <c r="AY1166" i="1"/>
  <c r="AX1166" i="1"/>
  <c r="AW1166" i="1"/>
  <c r="P1166" i="1"/>
  <c r="AY1165" i="1"/>
  <c r="AX1165" i="1"/>
  <c r="AW1165" i="1"/>
  <c r="P1165" i="1"/>
  <c r="AY1164" i="1"/>
  <c r="AX1164" i="1"/>
  <c r="AW1164" i="1"/>
  <c r="P1164" i="1"/>
  <c r="AY1163" i="1"/>
  <c r="AX1163" i="1"/>
  <c r="AW1163" i="1"/>
  <c r="P1163" i="1"/>
  <c r="AY1162" i="1"/>
  <c r="AX1162" i="1"/>
  <c r="AW1162" i="1"/>
  <c r="P1162" i="1"/>
  <c r="AY1161" i="1"/>
  <c r="AX1161" i="1"/>
  <c r="AW1161" i="1"/>
  <c r="P1161" i="1"/>
  <c r="AY1160" i="1"/>
  <c r="AX1160" i="1"/>
  <c r="AW1160" i="1"/>
  <c r="P1160" i="1"/>
  <c r="AY1159" i="1"/>
  <c r="AX1159" i="1"/>
  <c r="AW1159" i="1"/>
  <c r="P1159" i="1"/>
  <c r="AY1158" i="1"/>
  <c r="AX1158" i="1"/>
  <c r="AW1158" i="1"/>
  <c r="P1158" i="1"/>
  <c r="AY1157" i="1"/>
  <c r="AX1157" i="1"/>
  <c r="AW1157" i="1"/>
  <c r="P1157" i="1"/>
  <c r="AY1156" i="1"/>
  <c r="AX1156" i="1"/>
  <c r="AW1156" i="1"/>
  <c r="P1156" i="1"/>
  <c r="AY1155" i="1"/>
  <c r="AX1155" i="1"/>
  <c r="AW1155" i="1"/>
  <c r="P1155" i="1"/>
  <c r="AY1154" i="1"/>
  <c r="AX1154" i="1"/>
  <c r="AW1154" i="1"/>
  <c r="P1154" i="1"/>
  <c r="AY1153" i="1"/>
  <c r="AX1153" i="1"/>
  <c r="AW1153" i="1"/>
  <c r="P1153" i="1"/>
  <c r="AY1152" i="1"/>
  <c r="AX1152" i="1"/>
  <c r="AW1152" i="1"/>
  <c r="P1152" i="1"/>
  <c r="AY1151" i="1"/>
  <c r="AX1151" i="1"/>
  <c r="AW1151" i="1"/>
  <c r="P1151" i="1"/>
  <c r="AY1150" i="1"/>
  <c r="AX1150" i="1"/>
  <c r="AW1150" i="1"/>
  <c r="P1150" i="1"/>
  <c r="AY1149" i="1"/>
  <c r="AX1149" i="1"/>
  <c r="AW1149" i="1"/>
  <c r="P1149" i="1"/>
  <c r="AY1148" i="1"/>
  <c r="AX1148" i="1"/>
  <c r="AW1148" i="1"/>
  <c r="P1148" i="1"/>
  <c r="AY1147" i="1"/>
  <c r="AX1147" i="1"/>
  <c r="AW1147" i="1"/>
  <c r="P1147" i="1"/>
  <c r="AY1146" i="1"/>
  <c r="AX1146" i="1"/>
  <c r="AW1146" i="1"/>
  <c r="P1146" i="1"/>
  <c r="AY1145" i="1"/>
  <c r="AX1145" i="1"/>
  <c r="AW1145" i="1"/>
  <c r="P1145" i="1"/>
  <c r="AY1144" i="1"/>
  <c r="AX1144" i="1"/>
  <c r="AW1144" i="1"/>
  <c r="P1144" i="1"/>
  <c r="AY1143" i="1"/>
  <c r="AX1143" i="1"/>
  <c r="AW1143" i="1"/>
  <c r="P1143" i="1"/>
  <c r="AY1142" i="1"/>
  <c r="AX1142" i="1"/>
  <c r="AW1142" i="1"/>
  <c r="P1142" i="1"/>
  <c r="AY1141" i="1"/>
  <c r="AX1141" i="1"/>
  <c r="AW1141" i="1"/>
  <c r="P1141" i="1"/>
  <c r="AY1140" i="1"/>
  <c r="AX1140" i="1"/>
  <c r="AW1140" i="1"/>
  <c r="P1140" i="1"/>
  <c r="AY1139" i="1"/>
  <c r="AX1139" i="1"/>
  <c r="AW1139" i="1"/>
  <c r="P1139" i="1"/>
  <c r="AY1138" i="1"/>
  <c r="AX1138" i="1"/>
  <c r="AW1138" i="1"/>
  <c r="P1138" i="1"/>
  <c r="AY1137" i="1"/>
  <c r="AX1137" i="1"/>
  <c r="AW1137" i="1"/>
  <c r="P1137" i="1"/>
  <c r="AY1136" i="1"/>
  <c r="AX1136" i="1"/>
  <c r="AW1136" i="1"/>
  <c r="P1136" i="1"/>
  <c r="AY1135" i="1"/>
  <c r="AX1135" i="1"/>
  <c r="AW1135" i="1"/>
  <c r="P1135" i="1"/>
  <c r="AY1134" i="1"/>
  <c r="AX1134" i="1"/>
  <c r="AW1134" i="1"/>
  <c r="P1134" i="1"/>
  <c r="AY1133" i="1"/>
  <c r="AX1133" i="1"/>
  <c r="AW1133" i="1"/>
  <c r="P1133" i="1"/>
  <c r="AY1132" i="1"/>
  <c r="AX1132" i="1"/>
  <c r="AW1132" i="1"/>
  <c r="P1132" i="1"/>
  <c r="AY1131" i="1"/>
  <c r="AX1131" i="1"/>
  <c r="AW1131" i="1"/>
  <c r="P1131" i="1"/>
  <c r="AY1130" i="1"/>
  <c r="AX1130" i="1"/>
  <c r="AW1130" i="1"/>
  <c r="P1130" i="1"/>
  <c r="AY1129" i="1"/>
  <c r="AX1129" i="1"/>
  <c r="AW1129" i="1"/>
  <c r="P1129" i="1"/>
  <c r="AY1128" i="1"/>
  <c r="AX1128" i="1"/>
  <c r="AW1128" i="1"/>
  <c r="P1128" i="1"/>
  <c r="AY1127" i="1"/>
  <c r="AX1127" i="1"/>
  <c r="AW1127" i="1"/>
  <c r="P1127" i="1"/>
  <c r="AY1126" i="1"/>
  <c r="AX1126" i="1"/>
  <c r="AW1126" i="1"/>
  <c r="P1126" i="1"/>
  <c r="AY1125" i="1"/>
  <c r="AX1125" i="1"/>
  <c r="AW1125" i="1"/>
  <c r="P1125" i="1"/>
  <c r="AY1124" i="1"/>
  <c r="AX1124" i="1"/>
  <c r="AW1124" i="1"/>
  <c r="P1124" i="1"/>
  <c r="AY1123" i="1"/>
  <c r="AX1123" i="1"/>
  <c r="AW1123" i="1"/>
  <c r="P1123" i="1"/>
  <c r="AY1122" i="1"/>
  <c r="AX1122" i="1"/>
  <c r="AW1122" i="1"/>
  <c r="P1122" i="1"/>
  <c r="AY1121" i="1"/>
  <c r="AX1121" i="1"/>
  <c r="AW1121" i="1"/>
  <c r="P1121" i="1"/>
  <c r="AY1120" i="1"/>
  <c r="AX1120" i="1"/>
  <c r="AW1120" i="1"/>
  <c r="P1120" i="1"/>
  <c r="AY1119" i="1"/>
  <c r="AX1119" i="1"/>
  <c r="AW1119" i="1"/>
  <c r="P1119" i="1"/>
  <c r="AY1118" i="1"/>
  <c r="AX1118" i="1"/>
  <c r="AW1118" i="1"/>
  <c r="P1118" i="1"/>
  <c r="AY1117" i="1"/>
  <c r="AX1117" i="1"/>
  <c r="AW1117" i="1"/>
  <c r="P1117" i="1"/>
  <c r="AY1116" i="1"/>
  <c r="AX1116" i="1"/>
  <c r="AW1116" i="1"/>
  <c r="P1116" i="1"/>
  <c r="AY1115" i="1"/>
  <c r="AX1115" i="1"/>
  <c r="AW1115" i="1"/>
  <c r="P1115" i="1"/>
  <c r="AY1114" i="1"/>
  <c r="AX1114" i="1"/>
  <c r="AW1114" i="1"/>
  <c r="P1114" i="1"/>
  <c r="AY1113" i="1"/>
  <c r="AX1113" i="1"/>
  <c r="AW1113" i="1"/>
  <c r="P1113" i="1"/>
  <c r="AY1112" i="1"/>
  <c r="AX1112" i="1"/>
  <c r="AW1112" i="1"/>
  <c r="P1112" i="1"/>
  <c r="AY1111" i="1"/>
  <c r="AX1111" i="1"/>
  <c r="AW1111" i="1"/>
  <c r="P1111" i="1"/>
  <c r="AY1110" i="1"/>
  <c r="AX1110" i="1"/>
  <c r="AW1110" i="1"/>
  <c r="P1110" i="1"/>
  <c r="AY1109" i="1"/>
  <c r="AX1109" i="1"/>
  <c r="AW1109" i="1"/>
  <c r="P1109" i="1"/>
  <c r="AY1108" i="1"/>
  <c r="AX1108" i="1"/>
  <c r="AW1108" i="1"/>
  <c r="P1108" i="1"/>
  <c r="AY1107" i="1"/>
  <c r="AX1107" i="1"/>
  <c r="AW1107" i="1"/>
  <c r="P1107" i="1"/>
  <c r="AY1106" i="1"/>
  <c r="AX1106" i="1"/>
  <c r="AW1106" i="1"/>
  <c r="P1106" i="1"/>
  <c r="AY1105" i="1"/>
  <c r="AX1105" i="1"/>
  <c r="AW1105" i="1"/>
  <c r="P1105" i="1"/>
  <c r="AY1104" i="1"/>
  <c r="AX1104" i="1"/>
  <c r="AW1104" i="1"/>
  <c r="P1104" i="1"/>
  <c r="AY1103" i="1"/>
  <c r="AX1103" i="1"/>
  <c r="AW1103" i="1"/>
  <c r="P1103" i="1"/>
  <c r="AY1102" i="1"/>
  <c r="AX1102" i="1"/>
  <c r="AW1102" i="1"/>
  <c r="P1102" i="1"/>
  <c r="AY1101" i="1"/>
  <c r="AX1101" i="1"/>
  <c r="AW1101" i="1"/>
  <c r="P1101" i="1"/>
  <c r="AY1100" i="1"/>
  <c r="AX1100" i="1"/>
  <c r="AW1100" i="1"/>
  <c r="P1100" i="1"/>
  <c r="AY1099" i="1"/>
  <c r="AX1099" i="1"/>
  <c r="AW1099" i="1"/>
  <c r="P1099" i="1"/>
  <c r="AY1098" i="1"/>
  <c r="AX1098" i="1"/>
  <c r="AW1098" i="1"/>
  <c r="P1098" i="1"/>
  <c r="AY1097" i="1"/>
  <c r="AX1097" i="1"/>
  <c r="AW1097" i="1"/>
  <c r="P1097" i="1"/>
  <c r="AY1096" i="1"/>
  <c r="AX1096" i="1"/>
  <c r="AW1096" i="1"/>
  <c r="P1096" i="1"/>
  <c r="AY1095" i="1"/>
  <c r="AX1095" i="1"/>
  <c r="AW1095" i="1"/>
  <c r="P1095" i="1"/>
  <c r="AY1094" i="1"/>
  <c r="AX1094" i="1"/>
  <c r="AW1094" i="1"/>
  <c r="P1094" i="1"/>
  <c r="AY1093" i="1"/>
  <c r="AX1093" i="1"/>
  <c r="AW1093" i="1"/>
  <c r="P1093" i="1"/>
  <c r="AY1092" i="1"/>
  <c r="AX1092" i="1"/>
  <c r="AW1092" i="1"/>
  <c r="P1092" i="1"/>
  <c r="AY1091" i="1"/>
  <c r="AX1091" i="1"/>
  <c r="AW1091" i="1"/>
  <c r="P1091" i="1"/>
  <c r="AY1090" i="1"/>
  <c r="AX1090" i="1"/>
  <c r="AW1090" i="1"/>
  <c r="P1090" i="1"/>
  <c r="AY1089" i="1"/>
  <c r="AX1089" i="1"/>
  <c r="AW1089" i="1"/>
  <c r="P1089" i="1"/>
  <c r="AY1088" i="1"/>
  <c r="AX1088" i="1"/>
  <c r="AW1088" i="1"/>
  <c r="P1088" i="1"/>
  <c r="AY1087" i="1"/>
  <c r="AX1087" i="1"/>
  <c r="AW1087" i="1"/>
  <c r="P1087" i="1"/>
  <c r="AY1086" i="1"/>
  <c r="AX1086" i="1"/>
  <c r="AW1086" i="1"/>
  <c r="P1086" i="1"/>
  <c r="AY1085" i="1"/>
  <c r="AX1085" i="1"/>
  <c r="AW1085" i="1"/>
  <c r="P1085" i="1"/>
  <c r="AY1084" i="1"/>
  <c r="AX1084" i="1"/>
  <c r="AW1084" i="1"/>
  <c r="P1084" i="1"/>
  <c r="AY1083" i="1"/>
  <c r="AX1083" i="1"/>
  <c r="AW1083" i="1"/>
  <c r="P1083" i="1"/>
  <c r="AY1082" i="1"/>
  <c r="AX1082" i="1"/>
  <c r="AW1082" i="1"/>
  <c r="P1082" i="1"/>
  <c r="AY1081" i="1"/>
  <c r="AX1081" i="1"/>
  <c r="AW1081" i="1"/>
  <c r="P1081" i="1"/>
  <c r="AY1080" i="1"/>
  <c r="AX1080" i="1"/>
  <c r="AW1080" i="1"/>
  <c r="P1080" i="1"/>
  <c r="AY1079" i="1"/>
  <c r="AX1079" i="1"/>
  <c r="AW1079" i="1"/>
  <c r="P1079" i="1"/>
  <c r="AY1078" i="1"/>
  <c r="AX1078" i="1"/>
  <c r="AW1078" i="1"/>
  <c r="P1078" i="1"/>
  <c r="AY1077" i="1"/>
  <c r="AX1077" i="1"/>
  <c r="AW1077" i="1"/>
  <c r="P1077" i="1"/>
  <c r="AY1076" i="1"/>
  <c r="AX1076" i="1"/>
  <c r="AW1076" i="1"/>
  <c r="P1076" i="1"/>
  <c r="AY1075" i="1"/>
  <c r="AX1075" i="1"/>
  <c r="AW1075" i="1"/>
  <c r="P1075" i="1"/>
  <c r="AY1074" i="1"/>
  <c r="AX1074" i="1"/>
  <c r="AW1074" i="1"/>
  <c r="P1074" i="1"/>
  <c r="AY1073" i="1"/>
  <c r="AX1073" i="1"/>
  <c r="AW1073" i="1"/>
  <c r="P1073" i="1"/>
  <c r="AY1072" i="1"/>
  <c r="AX1072" i="1"/>
  <c r="AW1072" i="1"/>
  <c r="P1072" i="1"/>
  <c r="AY1071" i="1"/>
  <c r="AX1071" i="1"/>
  <c r="AW1071" i="1"/>
  <c r="P1071" i="1"/>
  <c r="AY1070" i="1"/>
  <c r="AX1070" i="1"/>
  <c r="AW1070" i="1"/>
  <c r="P1070" i="1"/>
  <c r="AY1069" i="1"/>
  <c r="AX1069" i="1"/>
  <c r="AW1069" i="1"/>
  <c r="P1069" i="1"/>
  <c r="AY1068" i="1"/>
  <c r="AX1068" i="1"/>
  <c r="AW1068" i="1"/>
  <c r="P1068" i="1"/>
  <c r="AY1067" i="1"/>
  <c r="AX1067" i="1"/>
  <c r="AW1067" i="1"/>
  <c r="P1067" i="1"/>
  <c r="AY1066" i="1"/>
  <c r="AX1066" i="1"/>
  <c r="AW1066" i="1"/>
  <c r="P1066" i="1"/>
  <c r="AY1065" i="1"/>
  <c r="AX1065" i="1"/>
  <c r="AW1065" i="1"/>
  <c r="P1065" i="1"/>
  <c r="AY1064" i="1"/>
  <c r="AX1064" i="1"/>
  <c r="AW1064" i="1"/>
  <c r="P1064" i="1"/>
  <c r="AY1063" i="1"/>
  <c r="AX1063" i="1"/>
  <c r="AW1063" i="1"/>
  <c r="P1063" i="1"/>
  <c r="AY1062" i="1"/>
  <c r="AX1062" i="1"/>
  <c r="AW1062" i="1"/>
  <c r="P1062" i="1"/>
  <c r="AY1061" i="1"/>
  <c r="AX1061" i="1"/>
  <c r="AW1061" i="1"/>
  <c r="P1061" i="1"/>
  <c r="AY1060" i="1"/>
  <c r="AX1060" i="1"/>
  <c r="AW1060" i="1"/>
  <c r="P1060" i="1"/>
  <c r="AY1059" i="1"/>
  <c r="AX1059" i="1"/>
  <c r="AW1059" i="1"/>
  <c r="P1059" i="1"/>
  <c r="AY1058" i="1"/>
  <c r="AX1058" i="1"/>
  <c r="AW1058" i="1"/>
  <c r="P1058" i="1"/>
  <c r="AY1057" i="1"/>
  <c r="AX1057" i="1"/>
  <c r="AW1057" i="1"/>
  <c r="P1057" i="1"/>
  <c r="AY1056" i="1"/>
  <c r="AX1056" i="1"/>
  <c r="AW1056" i="1"/>
  <c r="P1056" i="1"/>
  <c r="AY1055" i="1"/>
  <c r="AX1055" i="1"/>
  <c r="AW1055" i="1"/>
  <c r="P1055" i="1"/>
  <c r="AY1054" i="1"/>
  <c r="AX1054" i="1"/>
  <c r="AW1054" i="1"/>
  <c r="P1054" i="1"/>
  <c r="AY1053" i="1"/>
  <c r="AX1053" i="1"/>
  <c r="AW1053" i="1"/>
  <c r="P1053" i="1"/>
  <c r="AY1052" i="1"/>
  <c r="AX1052" i="1"/>
  <c r="AW1052" i="1"/>
  <c r="P1052" i="1"/>
  <c r="AY1051" i="1"/>
  <c r="AX1051" i="1"/>
  <c r="AW1051" i="1"/>
  <c r="P1051" i="1"/>
  <c r="AY1050" i="1"/>
  <c r="AX1050" i="1"/>
  <c r="AW1050" i="1"/>
  <c r="P1050" i="1"/>
  <c r="AY1049" i="1"/>
  <c r="AX1049" i="1"/>
  <c r="AW1049" i="1"/>
  <c r="P1049" i="1"/>
  <c r="AY1048" i="1"/>
  <c r="AX1048" i="1"/>
  <c r="AW1048" i="1"/>
  <c r="P1048" i="1"/>
  <c r="AY1047" i="1"/>
  <c r="AX1047" i="1"/>
  <c r="AW1047" i="1"/>
  <c r="P1047" i="1"/>
  <c r="AY1046" i="1"/>
  <c r="AX1046" i="1"/>
  <c r="AW1046" i="1"/>
  <c r="P1046" i="1"/>
  <c r="AY1045" i="1"/>
  <c r="AX1045" i="1"/>
  <c r="AW1045" i="1"/>
  <c r="P1045" i="1"/>
  <c r="AY1044" i="1"/>
  <c r="AX1044" i="1"/>
  <c r="AW1044" i="1"/>
  <c r="P1044" i="1"/>
  <c r="AY1043" i="1"/>
  <c r="AX1043" i="1"/>
  <c r="AW1043" i="1"/>
  <c r="P1043" i="1"/>
  <c r="AY1042" i="1"/>
  <c r="AX1042" i="1"/>
  <c r="AW1042" i="1"/>
  <c r="P1042" i="1"/>
  <c r="AY1041" i="1"/>
  <c r="AX1041" i="1"/>
  <c r="AW1041" i="1"/>
  <c r="P1041" i="1"/>
  <c r="AY1040" i="1"/>
  <c r="AX1040" i="1"/>
  <c r="AW1040" i="1"/>
  <c r="P1040" i="1"/>
  <c r="AY1039" i="1"/>
  <c r="AX1039" i="1"/>
  <c r="AW1039" i="1"/>
  <c r="P1039" i="1"/>
  <c r="AY1038" i="1"/>
  <c r="AX1038" i="1"/>
  <c r="AW1038" i="1"/>
  <c r="P1038" i="1"/>
  <c r="AY1037" i="1"/>
  <c r="AX1037" i="1"/>
  <c r="AW1037" i="1"/>
  <c r="P1037" i="1"/>
  <c r="AY1036" i="1"/>
  <c r="AX1036" i="1"/>
  <c r="AW1036" i="1"/>
  <c r="P1036" i="1"/>
  <c r="AY1035" i="1"/>
  <c r="AX1035" i="1"/>
  <c r="AW1035" i="1"/>
  <c r="P1035" i="1"/>
  <c r="AY1034" i="1"/>
  <c r="AX1034" i="1"/>
  <c r="AW1034" i="1"/>
  <c r="P1034" i="1"/>
  <c r="AY1033" i="1"/>
  <c r="AX1033" i="1"/>
  <c r="AW1033" i="1"/>
  <c r="P1033" i="1"/>
  <c r="AY1032" i="1"/>
  <c r="AX1032" i="1"/>
  <c r="AW1032" i="1"/>
  <c r="P1032" i="1"/>
  <c r="AY1031" i="1"/>
  <c r="AX1031" i="1"/>
  <c r="AW1031" i="1"/>
  <c r="P1031" i="1"/>
  <c r="AY1030" i="1"/>
  <c r="AX1030" i="1"/>
  <c r="AW1030" i="1"/>
  <c r="P1030" i="1"/>
  <c r="AY1029" i="1"/>
  <c r="AX1029" i="1"/>
  <c r="AW1029" i="1"/>
  <c r="P1029" i="1"/>
  <c r="AY1028" i="1"/>
  <c r="AX1028" i="1"/>
  <c r="AW1028" i="1"/>
  <c r="P1028" i="1"/>
  <c r="AY1027" i="1"/>
  <c r="AX1027" i="1"/>
  <c r="AW1027" i="1"/>
  <c r="P1027" i="1"/>
  <c r="AY1026" i="1"/>
  <c r="AX1026" i="1"/>
  <c r="AW1026" i="1"/>
  <c r="P1026" i="1"/>
  <c r="AY1025" i="1"/>
  <c r="AX1025" i="1"/>
  <c r="AW1025" i="1"/>
  <c r="P1025" i="1"/>
  <c r="AY1024" i="1"/>
  <c r="AX1024" i="1"/>
  <c r="AW1024" i="1"/>
  <c r="P1024" i="1"/>
  <c r="AY1023" i="1"/>
  <c r="AX1023" i="1"/>
  <c r="AW1023" i="1"/>
  <c r="P1023" i="1"/>
  <c r="AY1022" i="1"/>
  <c r="AX1022" i="1"/>
  <c r="AW1022" i="1"/>
  <c r="P1022" i="1"/>
  <c r="AY1021" i="1"/>
  <c r="AX1021" i="1"/>
  <c r="AW1021" i="1"/>
  <c r="P1021" i="1"/>
  <c r="AY1020" i="1"/>
  <c r="AX1020" i="1"/>
  <c r="AW1020" i="1"/>
  <c r="P1020" i="1"/>
  <c r="AY1019" i="1"/>
  <c r="AX1019" i="1"/>
  <c r="AW1019" i="1"/>
  <c r="P1019" i="1"/>
  <c r="AY1018" i="1"/>
  <c r="AX1018" i="1"/>
  <c r="AW1018" i="1"/>
  <c r="P1018" i="1"/>
  <c r="AY1017" i="1"/>
  <c r="AX1017" i="1"/>
  <c r="AW1017" i="1"/>
  <c r="P1017" i="1"/>
  <c r="AY1016" i="1"/>
  <c r="AX1016" i="1"/>
  <c r="AW1016" i="1"/>
  <c r="P1016" i="1"/>
  <c r="AY1015" i="1"/>
  <c r="AX1015" i="1"/>
  <c r="AW1015" i="1"/>
  <c r="P1015" i="1"/>
  <c r="AY1014" i="1"/>
  <c r="AX1014" i="1"/>
  <c r="AW1014" i="1"/>
  <c r="P1014" i="1"/>
  <c r="AY1013" i="1"/>
  <c r="AX1013" i="1"/>
  <c r="AW1013" i="1"/>
  <c r="P1013" i="1"/>
  <c r="AY1012" i="1"/>
  <c r="AX1012" i="1"/>
  <c r="AW1012" i="1"/>
  <c r="P1012" i="1"/>
  <c r="AY1011" i="1"/>
  <c r="AX1011" i="1"/>
  <c r="AW1011" i="1"/>
  <c r="P1011" i="1"/>
  <c r="AY1010" i="1"/>
  <c r="AX1010" i="1"/>
  <c r="AW1010" i="1"/>
  <c r="P1010" i="1"/>
  <c r="AY1009" i="1"/>
  <c r="AX1009" i="1"/>
  <c r="AW1009" i="1"/>
  <c r="P1009" i="1"/>
  <c r="AY1008" i="1"/>
  <c r="AX1008" i="1"/>
  <c r="AW1008" i="1"/>
  <c r="P1008" i="1"/>
  <c r="AY1007" i="1"/>
  <c r="AX1007" i="1"/>
  <c r="AW1007" i="1"/>
  <c r="P1007" i="1"/>
  <c r="AY1006" i="1"/>
  <c r="AX1006" i="1"/>
  <c r="AW1006" i="1"/>
  <c r="P1006" i="1"/>
  <c r="AY1005" i="1"/>
  <c r="AX1005" i="1"/>
  <c r="AW1005" i="1"/>
  <c r="P1005" i="1"/>
  <c r="AY1004" i="1"/>
  <c r="AX1004" i="1"/>
  <c r="AW1004" i="1"/>
  <c r="P1004" i="1"/>
  <c r="AY1003" i="1"/>
  <c r="AX1003" i="1"/>
  <c r="AW1003" i="1"/>
  <c r="P1003" i="1"/>
  <c r="AY1002" i="1"/>
  <c r="AX1002" i="1"/>
  <c r="AW1002" i="1"/>
  <c r="P1002" i="1"/>
  <c r="AY1001" i="1"/>
  <c r="AX1001" i="1"/>
  <c r="AW1001" i="1"/>
  <c r="P1001" i="1"/>
  <c r="AY1000" i="1"/>
  <c r="AX1000" i="1"/>
  <c r="AW1000" i="1"/>
  <c r="P1000" i="1"/>
  <c r="AY999" i="1"/>
  <c r="AX999" i="1"/>
  <c r="AW999" i="1"/>
  <c r="P999" i="1"/>
  <c r="AY998" i="1"/>
  <c r="AX998" i="1"/>
  <c r="AW998" i="1"/>
  <c r="P998" i="1"/>
  <c r="AY997" i="1"/>
  <c r="AX997" i="1"/>
  <c r="AW997" i="1"/>
  <c r="P997" i="1"/>
  <c r="AY996" i="1"/>
  <c r="AX996" i="1"/>
  <c r="AW996" i="1"/>
  <c r="P996" i="1"/>
  <c r="AY995" i="1"/>
  <c r="AX995" i="1"/>
  <c r="AW995" i="1"/>
  <c r="P995" i="1"/>
  <c r="AY994" i="1"/>
  <c r="AX994" i="1"/>
  <c r="AW994" i="1"/>
  <c r="P994" i="1"/>
  <c r="AY993" i="1"/>
  <c r="AX993" i="1"/>
  <c r="AW993" i="1"/>
  <c r="P993" i="1"/>
  <c r="AY992" i="1"/>
  <c r="AX992" i="1"/>
  <c r="AW992" i="1"/>
  <c r="P992" i="1"/>
  <c r="AY991" i="1"/>
  <c r="AX991" i="1"/>
  <c r="AW991" i="1"/>
  <c r="P991" i="1"/>
  <c r="AY990" i="1"/>
  <c r="AX990" i="1"/>
  <c r="AW990" i="1"/>
  <c r="P990" i="1"/>
  <c r="AY989" i="1"/>
  <c r="AX989" i="1"/>
  <c r="AW989" i="1"/>
  <c r="P989" i="1"/>
  <c r="AY988" i="1"/>
  <c r="AX988" i="1"/>
  <c r="AW988" i="1"/>
  <c r="P988" i="1"/>
  <c r="AY987" i="1"/>
  <c r="AX987" i="1"/>
  <c r="AW987" i="1"/>
  <c r="P987" i="1"/>
  <c r="AY986" i="1"/>
  <c r="AX986" i="1"/>
  <c r="AW986" i="1"/>
  <c r="P986" i="1"/>
  <c r="AY985" i="1"/>
  <c r="AX985" i="1"/>
  <c r="AW985" i="1"/>
  <c r="P985" i="1"/>
  <c r="AY984" i="1"/>
  <c r="AX984" i="1"/>
  <c r="AW984" i="1"/>
  <c r="P984" i="1"/>
  <c r="AY983" i="1"/>
  <c r="AX983" i="1"/>
  <c r="AW983" i="1"/>
  <c r="P983" i="1"/>
  <c r="AY982" i="1"/>
  <c r="AX982" i="1"/>
  <c r="AW982" i="1"/>
  <c r="P982" i="1"/>
  <c r="AY981" i="1"/>
  <c r="AX981" i="1"/>
  <c r="AW981" i="1"/>
  <c r="P981" i="1"/>
  <c r="AY980" i="1"/>
  <c r="AX980" i="1"/>
  <c r="AW980" i="1"/>
  <c r="P980" i="1"/>
  <c r="AY979" i="1"/>
  <c r="AX979" i="1"/>
  <c r="AW979" i="1"/>
  <c r="P979" i="1"/>
  <c r="AY978" i="1"/>
  <c r="AX978" i="1"/>
  <c r="AW978" i="1"/>
  <c r="P978" i="1"/>
  <c r="AY977" i="1"/>
  <c r="AX977" i="1"/>
  <c r="AW977" i="1"/>
  <c r="P977" i="1"/>
  <c r="AY976" i="1"/>
  <c r="AX976" i="1"/>
  <c r="AW976" i="1"/>
  <c r="P976" i="1"/>
  <c r="AY975" i="1"/>
  <c r="AX975" i="1"/>
  <c r="AW975" i="1"/>
  <c r="P975" i="1"/>
  <c r="AY974" i="1"/>
  <c r="AX974" i="1"/>
  <c r="AW974" i="1"/>
  <c r="P974" i="1"/>
  <c r="AY973" i="1"/>
  <c r="AX973" i="1"/>
  <c r="AW973" i="1"/>
  <c r="P973" i="1"/>
  <c r="AY972" i="1"/>
  <c r="AX972" i="1"/>
  <c r="AW972" i="1"/>
  <c r="P972" i="1"/>
  <c r="AY971" i="1"/>
  <c r="AX971" i="1"/>
  <c r="AW971" i="1"/>
  <c r="P971" i="1"/>
  <c r="AY970" i="1"/>
  <c r="AX970" i="1"/>
  <c r="AW970" i="1"/>
  <c r="P970" i="1"/>
  <c r="AY969" i="1"/>
  <c r="AX969" i="1"/>
  <c r="AW969" i="1"/>
  <c r="P969" i="1"/>
  <c r="AY968" i="1"/>
  <c r="AX968" i="1"/>
  <c r="AW968" i="1"/>
  <c r="P968" i="1"/>
  <c r="AY967" i="1"/>
  <c r="AX967" i="1"/>
  <c r="AW967" i="1"/>
  <c r="P967" i="1"/>
  <c r="AY966" i="1"/>
  <c r="AX966" i="1"/>
  <c r="P966" i="1"/>
  <c r="AY965" i="1"/>
  <c r="AX965" i="1"/>
  <c r="AW965" i="1"/>
  <c r="P965" i="1"/>
  <c r="AY964" i="1"/>
  <c r="AX964" i="1"/>
  <c r="AW964" i="1"/>
  <c r="P964" i="1"/>
  <c r="AY963" i="1"/>
  <c r="AX963" i="1"/>
  <c r="AW963" i="1"/>
  <c r="P963" i="1"/>
  <c r="AY962" i="1"/>
  <c r="AX962" i="1"/>
  <c r="AW962" i="1"/>
  <c r="P962" i="1"/>
  <c r="AY961" i="1"/>
  <c r="AX961" i="1"/>
  <c r="AW961" i="1"/>
  <c r="P961" i="1"/>
  <c r="AY960" i="1"/>
  <c r="AX960" i="1"/>
  <c r="AW960" i="1"/>
  <c r="P960" i="1"/>
  <c r="AY959" i="1"/>
  <c r="AX959" i="1"/>
  <c r="AW959" i="1"/>
  <c r="P959" i="1"/>
  <c r="AY958" i="1"/>
  <c r="AX958" i="1"/>
  <c r="AW958" i="1"/>
  <c r="P958" i="1"/>
  <c r="AY957" i="1"/>
  <c r="AX957" i="1"/>
  <c r="AW957" i="1"/>
  <c r="P957" i="1"/>
  <c r="AY956" i="1"/>
  <c r="AX956" i="1"/>
  <c r="AW956" i="1"/>
  <c r="P956" i="1"/>
  <c r="AY955" i="1"/>
  <c r="AX955" i="1"/>
  <c r="AW955" i="1"/>
  <c r="P955" i="1"/>
  <c r="AY954" i="1"/>
  <c r="AX954" i="1"/>
  <c r="AW954" i="1"/>
  <c r="P954" i="1"/>
  <c r="AY953" i="1"/>
  <c r="AX953" i="1"/>
  <c r="AW953" i="1"/>
  <c r="P953" i="1"/>
  <c r="AY952" i="1"/>
  <c r="AX952" i="1"/>
  <c r="AW952" i="1"/>
  <c r="P952" i="1"/>
  <c r="AY951" i="1"/>
  <c r="AX951" i="1"/>
  <c r="AW951" i="1"/>
  <c r="P951" i="1"/>
  <c r="AY950" i="1"/>
  <c r="AX950" i="1"/>
  <c r="AW950" i="1"/>
  <c r="P950" i="1"/>
  <c r="AY949" i="1"/>
  <c r="AX949" i="1"/>
  <c r="AW949" i="1"/>
  <c r="P949" i="1"/>
  <c r="AY948" i="1"/>
  <c r="AX948" i="1"/>
  <c r="AW948" i="1"/>
  <c r="P948" i="1"/>
  <c r="AY947" i="1"/>
  <c r="AX947" i="1"/>
  <c r="AW947" i="1"/>
  <c r="P947" i="1"/>
  <c r="AY946" i="1"/>
  <c r="AX946" i="1"/>
  <c r="AW946" i="1"/>
  <c r="P946" i="1"/>
  <c r="AY945" i="1"/>
  <c r="AX945" i="1"/>
  <c r="AW945" i="1"/>
  <c r="P945" i="1"/>
  <c r="AY944" i="1"/>
  <c r="AX944" i="1"/>
  <c r="AW944" i="1"/>
  <c r="P944" i="1"/>
  <c r="AY943" i="1"/>
  <c r="AX943" i="1"/>
  <c r="AW943" i="1"/>
  <c r="P943" i="1"/>
  <c r="AY942" i="1"/>
  <c r="AX942" i="1"/>
  <c r="AW942" i="1"/>
  <c r="P942" i="1"/>
  <c r="AY941" i="1"/>
  <c r="AX941" i="1"/>
  <c r="AW941" i="1"/>
  <c r="P941" i="1"/>
  <c r="AY940" i="1"/>
  <c r="AX940" i="1"/>
  <c r="AW940" i="1"/>
  <c r="P940" i="1"/>
  <c r="AY939" i="1"/>
  <c r="AX939" i="1"/>
  <c r="AW939" i="1"/>
  <c r="P939" i="1"/>
  <c r="AY938" i="1"/>
  <c r="AX938" i="1"/>
  <c r="AW938" i="1"/>
  <c r="P938" i="1"/>
  <c r="AY937" i="1"/>
  <c r="AX937" i="1"/>
  <c r="AW937" i="1"/>
  <c r="P937" i="1"/>
  <c r="AY936" i="1"/>
  <c r="AX936" i="1"/>
  <c r="AW936" i="1"/>
  <c r="P936" i="1"/>
  <c r="AY935" i="1"/>
  <c r="AX935" i="1"/>
  <c r="AW935" i="1"/>
  <c r="P935" i="1"/>
  <c r="AY934" i="1"/>
  <c r="AX934" i="1"/>
  <c r="AW934" i="1"/>
  <c r="P934" i="1"/>
  <c r="AY933" i="1"/>
  <c r="AX933" i="1"/>
  <c r="AW933" i="1"/>
  <c r="P933" i="1"/>
  <c r="AY932" i="1"/>
  <c r="AX932" i="1"/>
  <c r="AW932" i="1"/>
  <c r="P932" i="1"/>
  <c r="AY931" i="1"/>
  <c r="AX931" i="1"/>
  <c r="AW931" i="1"/>
  <c r="P931" i="1"/>
  <c r="AY930" i="1"/>
  <c r="AX930" i="1"/>
  <c r="AW930" i="1"/>
  <c r="P930" i="1"/>
  <c r="AY929" i="1"/>
  <c r="AX929" i="1"/>
  <c r="AW929" i="1"/>
  <c r="P929" i="1"/>
  <c r="AY928" i="1"/>
  <c r="AX928" i="1"/>
  <c r="AW928" i="1"/>
  <c r="P928" i="1"/>
  <c r="AY927" i="1"/>
  <c r="AX927" i="1"/>
  <c r="AW927" i="1"/>
  <c r="P927" i="1"/>
  <c r="AY926" i="1"/>
  <c r="AX926" i="1"/>
  <c r="AW926" i="1"/>
  <c r="P926" i="1"/>
  <c r="AY925" i="1"/>
  <c r="AX925" i="1"/>
  <c r="AW925" i="1"/>
  <c r="P925" i="1"/>
  <c r="AY924" i="1"/>
  <c r="AX924" i="1"/>
  <c r="AW924" i="1"/>
  <c r="P924" i="1"/>
  <c r="AY923" i="1"/>
  <c r="AX923" i="1"/>
  <c r="AW923" i="1"/>
  <c r="P923" i="1"/>
  <c r="AY922" i="1"/>
  <c r="AX922" i="1"/>
  <c r="AW922" i="1"/>
  <c r="P922" i="1"/>
  <c r="AY921" i="1"/>
  <c r="AX921" i="1"/>
  <c r="AW921" i="1"/>
  <c r="P921" i="1"/>
  <c r="AY920" i="1"/>
  <c r="AX920" i="1"/>
  <c r="AW920" i="1"/>
  <c r="P920" i="1"/>
  <c r="AY919" i="1"/>
  <c r="AX919" i="1"/>
  <c r="AW919" i="1"/>
  <c r="P919" i="1"/>
  <c r="AY918" i="1"/>
  <c r="AX918" i="1"/>
  <c r="AW918" i="1"/>
  <c r="P918" i="1"/>
  <c r="AY917" i="1"/>
  <c r="AX917" i="1"/>
  <c r="AW917" i="1"/>
  <c r="P917" i="1"/>
  <c r="AY916" i="1"/>
  <c r="AX916" i="1"/>
  <c r="AW916" i="1"/>
  <c r="P916" i="1"/>
  <c r="AY915" i="1"/>
  <c r="AX915" i="1"/>
  <c r="AW915" i="1"/>
  <c r="P915" i="1"/>
  <c r="AY914" i="1"/>
  <c r="AX914" i="1"/>
  <c r="AW914" i="1"/>
  <c r="P914" i="1"/>
  <c r="AY913" i="1"/>
  <c r="AX913" i="1"/>
  <c r="AW913" i="1"/>
  <c r="P913" i="1"/>
  <c r="AY912" i="1"/>
  <c r="AX912" i="1"/>
  <c r="AW912" i="1"/>
  <c r="P912" i="1"/>
  <c r="AY911" i="1"/>
  <c r="AX911" i="1"/>
  <c r="AW911" i="1"/>
  <c r="P911" i="1"/>
  <c r="AY910" i="1"/>
  <c r="AX910" i="1"/>
  <c r="AW910" i="1"/>
  <c r="P910" i="1"/>
  <c r="AY909" i="1"/>
  <c r="AX909" i="1"/>
  <c r="AW909" i="1"/>
  <c r="P909" i="1"/>
  <c r="AY908" i="1"/>
  <c r="AX908" i="1"/>
  <c r="AW908" i="1"/>
  <c r="P908" i="1"/>
  <c r="AY907" i="1"/>
  <c r="AX907" i="1"/>
  <c r="AW907" i="1"/>
  <c r="P907" i="1"/>
  <c r="AY906" i="1"/>
  <c r="AX906" i="1"/>
  <c r="AW906" i="1"/>
  <c r="P906" i="1"/>
  <c r="AY905" i="1"/>
  <c r="AX905" i="1"/>
  <c r="AW905" i="1"/>
  <c r="P905" i="1"/>
  <c r="AY904" i="1"/>
  <c r="AX904" i="1"/>
  <c r="AW904" i="1"/>
  <c r="P904" i="1"/>
  <c r="AY903" i="1"/>
  <c r="AX903" i="1"/>
  <c r="AW903" i="1"/>
  <c r="P903" i="1"/>
  <c r="AY902" i="1"/>
  <c r="AX902" i="1"/>
  <c r="AW902" i="1"/>
  <c r="P902" i="1"/>
  <c r="AY901" i="1"/>
  <c r="AX901" i="1"/>
  <c r="AW901" i="1"/>
  <c r="P901" i="1"/>
  <c r="AY900" i="1"/>
  <c r="AX900" i="1"/>
  <c r="AW900" i="1"/>
  <c r="P900" i="1"/>
  <c r="AY899" i="1"/>
  <c r="AX899" i="1"/>
  <c r="AW899" i="1"/>
  <c r="P899" i="1"/>
  <c r="AY898" i="1"/>
  <c r="AX898" i="1"/>
  <c r="AW898" i="1"/>
  <c r="P898" i="1"/>
  <c r="AY897" i="1"/>
  <c r="AX897" i="1"/>
  <c r="AW897" i="1"/>
  <c r="P897" i="1"/>
  <c r="AY896" i="1"/>
  <c r="AX896" i="1"/>
  <c r="AW896" i="1"/>
  <c r="P896" i="1"/>
  <c r="AY895" i="1"/>
  <c r="AX895" i="1"/>
  <c r="AW895" i="1"/>
  <c r="P895" i="1"/>
  <c r="AY894" i="1"/>
  <c r="AX894" i="1"/>
  <c r="AW894" i="1"/>
  <c r="P894" i="1"/>
  <c r="AY893" i="1"/>
  <c r="AX893" i="1"/>
  <c r="AW893" i="1"/>
  <c r="P893" i="1"/>
  <c r="AY892" i="1"/>
  <c r="AX892" i="1"/>
  <c r="AW892" i="1"/>
  <c r="P892" i="1"/>
  <c r="AY891" i="1"/>
  <c r="AX891" i="1"/>
  <c r="AW891" i="1"/>
  <c r="P891" i="1"/>
  <c r="AY890" i="1"/>
  <c r="AX890" i="1"/>
  <c r="AW890" i="1"/>
  <c r="P890" i="1"/>
  <c r="AY889" i="1"/>
  <c r="AX889" i="1"/>
  <c r="AW889" i="1"/>
  <c r="P889" i="1"/>
  <c r="AY888" i="1"/>
  <c r="AX888" i="1"/>
  <c r="AW888" i="1"/>
  <c r="P888" i="1"/>
  <c r="AY887" i="1"/>
  <c r="AX887" i="1"/>
  <c r="AW887" i="1"/>
  <c r="P887" i="1"/>
  <c r="AY886" i="1"/>
  <c r="AX886" i="1"/>
  <c r="AW886" i="1"/>
  <c r="P886" i="1"/>
  <c r="AY885" i="1"/>
  <c r="AX885" i="1"/>
  <c r="AW885" i="1"/>
  <c r="P885" i="1"/>
  <c r="AY884" i="1"/>
  <c r="AX884" i="1"/>
  <c r="AW884" i="1"/>
  <c r="P884" i="1"/>
  <c r="AY883" i="1"/>
  <c r="AX883" i="1"/>
  <c r="AW883" i="1"/>
  <c r="P883" i="1"/>
  <c r="AY882" i="1"/>
  <c r="AX882" i="1"/>
  <c r="AW882" i="1"/>
  <c r="P882" i="1"/>
  <c r="AY881" i="1"/>
  <c r="AX881" i="1"/>
  <c r="AW881" i="1"/>
  <c r="P881" i="1"/>
  <c r="AY880" i="1"/>
  <c r="AX880" i="1"/>
  <c r="AW880" i="1"/>
  <c r="P880" i="1"/>
  <c r="AY879" i="1"/>
  <c r="AX879" i="1"/>
  <c r="AW879" i="1"/>
  <c r="P879" i="1"/>
  <c r="AY878" i="1"/>
  <c r="AX878" i="1"/>
  <c r="AW878" i="1"/>
  <c r="P878" i="1"/>
  <c r="AY877" i="1"/>
  <c r="AX877" i="1"/>
  <c r="AW877" i="1"/>
  <c r="P877" i="1"/>
  <c r="AY876" i="1"/>
  <c r="AX876" i="1"/>
  <c r="AW876" i="1"/>
  <c r="P876" i="1"/>
  <c r="AY875" i="1"/>
  <c r="AX875" i="1"/>
  <c r="AW875" i="1"/>
  <c r="P875" i="1"/>
  <c r="AY874" i="1"/>
  <c r="AX874" i="1"/>
  <c r="AW874" i="1"/>
  <c r="P874" i="1"/>
  <c r="AY873" i="1"/>
  <c r="AX873" i="1"/>
  <c r="AW873" i="1"/>
  <c r="P873" i="1"/>
  <c r="AY872" i="1"/>
  <c r="AX872" i="1"/>
  <c r="AW872" i="1"/>
  <c r="P872" i="1"/>
  <c r="AY871" i="1"/>
  <c r="AX871" i="1"/>
  <c r="AW871" i="1"/>
  <c r="P871" i="1"/>
  <c r="AY870" i="1"/>
  <c r="AX870" i="1"/>
  <c r="AW870" i="1"/>
  <c r="P870" i="1"/>
  <c r="AY869" i="1"/>
  <c r="AX869" i="1"/>
  <c r="AW869" i="1"/>
  <c r="P869" i="1"/>
  <c r="AY868" i="1"/>
  <c r="AX868" i="1"/>
  <c r="AW868" i="1"/>
  <c r="P868" i="1"/>
  <c r="AY867" i="1"/>
  <c r="AX867" i="1"/>
  <c r="AW867" i="1"/>
  <c r="P867" i="1"/>
  <c r="AY866" i="1"/>
  <c r="AX866" i="1"/>
  <c r="AW866" i="1"/>
  <c r="P866" i="1"/>
  <c r="AY865" i="1"/>
  <c r="AX865" i="1"/>
  <c r="AW865" i="1"/>
  <c r="P865" i="1"/>
  <c r="AY864" i="1"/>
  <c r="AX864" i="1"/>
  <c r="AW864" i="1"/>
  <c r="P864" i="1"/>
  <c r="AY863" i="1"/>
  <c r="AX863" i="1"/>
  <c r="AW863" i="1"/>
  <c r="P863" i="1"/>
  <c r="AY862" i="1"/>
  <c r="AX862" i="1"/>
  <c r="AW862" i="1"/>
  <c r="P862" i="1"/>
  <c r="AY861" i="1"/>
  <c r="AX861" i="1"/>
  <c r="AW861" i="1"/>
  <c r="P861" i="1"/>
  <c r="AY860" i="1"/>
  <c r="AX860" i="1"/>
  <c r="AW860" i="1"/>
  <c r="P860" i="1"/>
  <c r="AY859" i="1"/>
  <c r="AX859" i="1"/>
  <c r="AW859" i="1"/>
  <c r="P859" i="1"/>
  <c r="AY858" i="1"/>
  <c r="AX858" i="1"/>
  <c r="AW858" i="1"/>
  <c r="P858" i="1"/>
  <c r="AY857" i="1"/>
  <c r="AX857" i="1"/>
  <c r="AW857" i="1"/>
  <c r="P857" i="1"/>
  <c r="AY856" i="1"/>
  <c r="AX856" i="1"/>
  <c r="AW856" i="1"/>
  <c r="P856" i="1"/>
  <c r="AY855" i="1"/>
  <c r="AX855" i="1"/>
  <c r="AW855" i="1"/>
  <c r="P855" i="1"/>
  <c r="AY854" i="1"/>
  <c r="AX854" i="1"/>
  <c r="AW854" i="1"/>
  <c r="P854" i="1"/>
  <c r="AY853" i="1"/>
  <c r="AX853" i="1"/>
  <c r="AW853" i="1"/>
  <c r="P853" i="1"/>
  <c r="AY852" i="1"/>
  <c r="AX852" i="1"/>
  <c r="AW852" i="1"/>
  <c r="P852" i="1"/>
  <c r="AY851" i="1"/>
  <c r="AX851" i="1"/>
  <c r="AW851" i="1"/>
  <c r="P851" i="1"/>
  <c r="AY850" i="1"/>
  <c r="AX850" i="1"/>
  <c r="AW850" i="1"/>
  <c r="P850" i="1"/>
  <c r="AY849" i="1"/>
  <c r="AX849" i="1"/>
  <c r="AW849" i="1"/>
  <c r="P849" i="1"/>
  <c r="AY848" i="1"/>
  <c r="AX848" i="1"/>
  <c r="AW848" i="1"/>
  <c r="P848" i="1"/>
  <c r="AY847" i="1"/>
  <c r="AX847" i="1"/>
  <c r="AW847" i="1"/>
  <c r="P847" i="1"/>
  <c r="AY846" i="1"/>
  <c r="AX846" i="1"/>
  <c r="AW846" i="1"/>
  <c r="P846" i="1"/>
  <c r="AY845" i="1"/>
  <c r="AX845" i="1"/>
  <c r="AW845" i="1"/>
  <c r="P845" i="1"/>
  <c r="AY844" i="1"/>
  <c r="AX844" i="1"/>
  <c r="AW844" i="1"/>
  <c r="P844" i="1"/>
  <c r="AY843" i="1"/>
  <c r="AX843" i="1"/>
  <c r="AW843" i="1"/>
  <c r="P843" i="1"/>
  <c r="AY842" i="1"/>
  <c r="AX842" i="1"/>
  <c r="AW842" i="1"/>
  <c r="P842" i="1"/>
  <c r="AY841" i="1"/>
  <c r="AX841" i="1"/>
  <c r="AW841" i="1"/>
  <c r="P841" i="1"/>
  <c r="AY840" i="1"/>
  <c r="AX840" i="1"/>
  <c r="AW840" i="1"/>
  <c r="P840" i="1"/>
  <c r="AY839" i="1"/>
  <c r="AX839" i="1"/>
  <c r="AW839" i="1"/>
  <c r="P839" i="1"/>
  <c r="AY838" i="1"/>
  <c r="AX838" i="1"/>
  <c r="AW838" i="1"/>
  <c r="P838" i="1"/>
  <c r="AY837" i="1"/>
  <c r="AX837" i="1"/>
  <c r="AW837" i="1"/>
  <c r="P837" i="1"/>
  <c r="AY836" i="1"/>
  <c r="AX836" i="1"/>
  <c r="AW836" i="1"/>
  <c r="P836" i="1"/>
  <c r="AY835" i="1"/>
  <c r="AX835" i="1"/>
  <c r="AW835" i="1"/>
  <c r="P835" i="1"/>
  <c r="AY834" i="1"/>
  <c r="AX834" i="1"/>
  <c r="AW834" i="1"/>
  <c r="P834" i="1"/>
  <c r="AY833" i="1"/>
  <c r="AX833" i="1"/>
  <c r="AW833" i="1"/>
  <c r="P833" i="1"/>
  <c r="AY832" i="1"/>
  <c r="AX832" i="1"/>
  <c r="AW832" i="1"/>
  <c r="P832" i="1"/>
  <c r="AY831" i="1"/>
  <c r="AX831" i="1"/>
  <c r="AW831" i="1"/>
  <c r="P831" i="1"/>
  <c r="AY830" i="1"/>
  <c r="AX830" i="1"/>
  <c r="AW830" i="1"/>
  <c r="P830" i="1"/>
  <c r="AY829" i="1"/>
  <c r="AX829" i="1"/>
  <c r="AW829" i="1"/>
  <c r="P829" i="1"/>
  <c r="AY828" i="1"/>
  <c r="AX828" i="1"/>
  <c r="AW828" i="1"/>
  <c r="P828" i="1"/>
  <c r="AY827" i="1"/>
  <c r="AX827" i="1"/>
  <c r="AW827" i="1"/>
  <c r="P827" i="1"/>
  <c r="AY826" i="1"/>
  <c r="AX826" i="1"/>
  <c r="AW826" i="1"/>
  <c r="P826" i="1"/>
  <c r="AY825" i="1"/>
  <c r="AX825" i="1"/>
  <c r="AW825" i="1"/>
  <c r="P825" i="1"/>
  <c r="AY824" i="1"/>
  <c r="AX824" i="1"/>
  <c r="AW824" i="1"/>
  <c r="P824" i="1"/>
  <c r="AY823" i="1"/>
  <c r="AX823" i="1"/>
  <c r="AW823" i="1"/>
  <c r="P823" i="1"/>
  <c r="AY822" i="1"/>
  <c r="AX822" i="1"/>
  <c r="AW822" i="1"/>
  <c r="P822" i="1"/>
  <c r="AY821" i="1"/>
  <c r="AX821" i="1"/>
  <c r="AW821" i="1"/>
  <c r="P821" i="1"/>
  <c r="AY820" i="1"/>
  <c r="AX820" i="1"/>
  <c r="AW820" i="1"/>
  <c r="P820" i="1"/>
  <c r="AY819" i="1"/>
  <c r="AX819" i="1"/>
  <c r="AW819" i="1"/>
  <c r="P819" i="1"/>
  <c r="AY818" i="1"/>
  <c r="AX818" i="1"/>
  <c r="AW818" i="1"/>
  <c r="P818" i="1"/>
  <c r="AY817" i="1"/>
  <c r="AX817" i="1"/>
  <c r="AW817" i="1"/>
  <c r="P817" i="1"/>
  <c r="AY816" i="1"/>
  <c r="AX816" i="1"/>
  <c r="AW816" i="1"/>
  <c r="P816" i="1"/>
  <c r="AY815" i="1"/>
  <c r="AX815" i="1"/>
  <c r="AW815" i="1"/>
  <c r="P815" i="1"/>
  <c r="AY814" i="1"/>
  <c r="AX814" i="1"/>
  <c r="AW814" i="1"/>
  <c r="P814" i="1"/>
  <c r="AY813" i="1"/>
  <c r="AX813" i="1"/>
  <c r="AW813" i="1"/>
  <c r="P813" i="1"/>
  <c r="AY812" i="1"/>
  <c r="AX812" i="1"/>
  <c r="AW812" i="1"/>
  <c r="P812" i="1"/>
  <c r="AY811" i="1"/>
  <c r="AX811" i="1"/>
  <c r="AW811" i="1"/>
  <c r="P811" i="1"/>
  <c r="AY810" i="1"/>
  <c r="AX810" i="1"/>
  <c r="AW810" i="1"/>
  <c r="P810" i="1"/>
  <c r="AY809" i="1"/>
  <c r="AX809" i="1"/>
  <c r="AW809" i="1"/>
  <c r="P809" i="1"/>
  <c r="AY808" i="1"/>
  <c r="AX808" i="1"/>
  <c r="AW808" i="1"/>
  <c r="P808" i="1"/>
  <c r="AY807" i="1"/>
  <c r="AX807" i="1"/>
  <c r="AW807" i="1"/>
  <c r="P807" i="1"/>
  <c r="AY806" i="1"/>
  <c r="AX806" i="1"/>
  <c r="AW806" i="1"/>
  <c r="P806" i="1"/>
  <c r="AY805" i="1"/>
  <c r="AX805" i="1"/>
  <c r="AW805" i="1"/>
  <c r="P805" i="1"/>
  <c r="AY804" i="1"/>
  <c r="AX804" i="1"/>
  <c r="AW804" i="1"/>
  <c r="P804" i="1"/>
  <c r="AY803" i="1"/>
  <c r="AX803" i="1"/>
  <c r="AW803" i="1"/>
  <c r="P803" i="1"/>
  <c r="AY802" i="1"/>
  <c r="AX802" i="1"/>
  <c r="AW802" i="1"/>
  <c r="P802" i="1"/>
  <c r="AY801" i="1"/>
  <c r="AX801" i="1"/>
  <c r="AW801" i="1"/>
  <c r="P801" i="1"/>
  <c r="AY800" i="1"/>
  <c r="AX800" i="1"/>
  <c r="AW800" i="1"/>
  <c r="P800" i="1"/>
  <c r="AY799" i="1"/>
  <c r="AX799" i="1"/>
  <c r="AW799" i="1"/>
  <c r="P799" i="1"/>
  <c r="AY798" i="1"/>
  <c r="AX798" i="1"/>
  <c r="AW798" i="1"/>
  <c r="P798" i="1"/>
  <c r="AY797" i="1"/>
  <c r="AX797" i="1"/>
  <c r="AW797" i="1"/>
  <c r="P797" i="1"/>
  <c r="AY796" i="1"/>
  <c r="AX796" i="1"/>
  <c r="AW796" i="1"/>
  <c r="P796" i="1"/>
  <c r="AY795" i="1"/>
  <c r="AX795" i="1"/>
  <c r="AW795" i="1"/>
  <c r="P795" i="1"/>
  <c r="AY794" i="1"/>
  <c r="AX794" i="1"/>
  <c r="AW794" i="1"/>
  <c r="P794" i="1"/>
  <c r="AY793" i="1"/>
  <c r="AX793" i="1"/>
  <c r="AW793" i="1"/>
  <c r="P793" i="1"/>
  <c r="AY792" i="1"/>
  <c r="AX792" i="1"/>
  <c r="AW792" i="1"/>
  <c r="P792" i="1"/>
  <c r="AY791" i="1"/>
  <c r="AX791" i="1"/>
  <c r="AW791" i="1"/>
  <c r="P791" i="1"/>
  <c r="AY790" i="1"/>
  <c r="AX790" i="1"/>
  <c r="AW790" i="1"/>
  <c r="P790" i="1"/>
  <c r="AY789" i="1"/>
  <c r="AX789" i="1"/>
  <c r="AW789" i="1"/>
  <c r="P789" i="1"/>
  <c r="AY788" i="1"/>
  <c r="AX788" i="1"/>
  <c r="AW788" i="1"/>
  <c r="P788" i="1"/>
  <c r="AY787" i="1"/>
  <c r="AX787" i="1"/>
  <c r="AW787" i="1"/>
  <c r="P787" i="1"/>
  <c r="AY786" i="1"/>
  <c r="AX786" i="1"/>
  <c r="AW786" i="1"/>
  <c r="P786" i="1"/>
  <c r="AY785" i="1"/>
  <c r="AX785" i="1"/>
  <c r="AW785" i="1"/>
  <c r="P785" i="1"/>
  <c r="AY784" i="1"/>
  <c r="AX784" i="1"/>
  <c r="AW784" i="1"/>
  <c r="P784" i="1"/>
  <c r="AY783" i="1"/>
  <c r="AX783" i="1"/>
  <c r="AW783" i="1"/>
  <c r="P783" i="1"/>
  <c r="AY782" i="1"/>
  <c r="AX782" i="1"/>
  <c r="AW782" i="1"/>
  <c r="P782" i="1"/>
  <c r="AY781" i="1"/>
  <c r="AX781" i="1"/>
  <c r="AW781" i="1"/>
  <c r="P781" i="1"/>
  <c r="AY780" i="1"/>
  <c r="AX780" i="1"/>
  <c r="AW780" i="1"/>
  <c r="P780" i="1"/>
  <c r="AY779" i="1"/>
  <c r="AX779" i="1"/>
  <c r="AW779" i="1"/>
  <c r="P779" i="1"/>
  <c r="AY778" i="1"/>
  <c r="AX778" i="1"/>
  <c r="AW778" i="1"/>
  <c r="P778" i="1"/>
  <c r="AY777" i="1"/>
  <c r="AX777" i="1"/>
  <c r="AW777" i="1"/>
  <c r="P777" i="1"/>
  <c r="AY776" i="1"/>
  <c r="AX776" i="1"/>
  <c r="AW776" i="1"/>
  <c r="P776" i="1"/>
  <c r="AY775" i="1"/>
  <c r="AX775" i="1"/>
  <c r="AW775" i="1"/>
  <c r="P775" i="1"/>
  <c r="AY774" i="1"/>
  <c r="AX774" i="1"/>
  <c r="AW774" i="1"/>
  <c r="P774" i="1"/>
  <c r="AY773" i="1"/>
  <c r="AX773" i="1"/>
  <c r="AW773" i="1"/>
  <c r="P773" i="1"/>
  <c r="AY772" i="1"/>
  <c r="AX772" i="1"/>
  <c r="AW772" i="1"/>
  <c r="P772" i="1"/>
  <c r="AY771" i="1"/>
  <c r="AX771" i="1"/>
  <c r="AW771" i="1"/>
  <c r="P771" i="1"/>
  <c r="AY770" i="1"/>
  <c r="AX770" i="1"/>
  <c r="AW770" i="1"/>
  <c r="P770" i="1"/>
  <c r="AY769" i="1"/>
  <c r="AX769" i="1"/>
  <c r="AW769" i="1"/>
  <c r="P769" i="1"/>
  <c r="AY768" i="1"/>
  <c r="AX768" i="1"/>
  <c r="AW768" i="1"/>
  <c r="P768" i="1"/>
  <c r="AY767" i="1"/>
  <c r="AX767" i="1"/>
  <c r="AW767" i="1"/>
  <c r="P767" i="1"/>
  <c r="AY766" i="1"/>
  <c r="AX766" i="1"/>
  <c r="AW766" i="1"/>
  <c r="P766" i="1"/>
  <c r="AY765" i="1"/>
  <c r="AX765" i="1"/>
  <c r="AW765" i="1"/>
  <c r="P765" i="1"/>
  <c r="AY764" i="1"/>
  <c r="AX764" i="1"/>
  <c r="AW764" i="1"/>
  <c r="P764" i="1"/>
  <c r="AY763" i="1"/>
  <c r="AX763" i="1"/>
  <c r="AW763" i="1"/>
  <c r="P763" i="1"/>
  <c r="AY762" i="1"/>
  <c r="AX762" i="1"/>
  <c r="AW762" i="1"/>
  <c r="P762" i="1"/>
  <c r="AY761" i="1"/>
  <c r="AX761" i="1"/>
  <c r="AW761" i="1"/>
  <c r="P761" i="1"/>
  <c r="AY760" i="1"/>
  <c r="AX760" i="1"/>
  <c r="AW760" i="1"/>
  <c r="P760" i="1"/>
  <c r="AY759" i="1"/>
  <c r="AX759" i="1"/>
  <c r="AW759" i="1"/>
  <c r="P759" i="1"/>
  <c r="AY758" i="1"/>
  <c r="AX758" i="1"/>
  <c r="AW758" i="1"/>
  <c r="P758" i="1"/>
  <c r="AY757" i="1"/>
  <c r="AX757" i="1"/>
  <c r="AW757" i="1"/>
  <c r="P757" i="1"/>
  <c r="AY756" i="1"/>
  <c r="AX756" i="1"/>
  <c r="AW756" i="1"/>
  <c r="P756" i="1"/>
  <c r="AY755" i="1"/>
  <c r="AX755" i="1"/>
  <c r="AW755" i="1"/>
  <c r="P755" i="1"/>
  <c r="AY754" i="1"/>
  <c r="AX754" i="1"/>
  <c r="AW754" i="1"/>
  <c r="P754" i="1"/>
  <c r="AY753" i="1"/>
  <c r="AX753" i="1"/>
  <c r="AW753" i="1"/>
  <c r="P753" i="1"/>
  <c r="AY752" i="1"/>
  <c r="AX752" i="1"/>
  <c r="AW752" i="1"/>
  <c r="P752" i="1"/>
  <c r="AY751" i="1"/>
  <c r="AX751" i="1"/>
  <c r="AW751" i="1"/>
  <c r="P751" i="1"/>
  <c r="AY750" i="1"/>
  <c r="AX750" i="1"/>
  <c r="AW750" i="1"/>
  <c r="P750" i="1"/>
  <c r="AY749" i="1"/>
  <c r="AX749" i="1"/>
  <c r="AW749" i="1"/>
  <c r="P749" i="1"/>
  <c r="AY748" i="1"/>
  <c r="AX748" i="1"/>
  <c r="AW748" i="1"/>
  <c r="P748" i="1"/>
  <c r="AY747" i="1"/>
  <c r="AX747" i="1"/>
  <c r="AW747" i="1"/>
  <c r="P747" i="1"/>
  <c r="AY746" i="1"/>
  <c r="AX746" i="1"/>
  <c r="AW746" i="1"/>
  <c r="P746" i="1"/>
  <c r="AY745" i="1"/>
  <c r="AX745" i="1"/>
  <c r="AW745" i="1"/>
  <c r="P745" i="1"/>
  <c r="AY744" i="1"/>
  <c r="AX744" i="1"/>
  <c r="AW744" i="1"/>
  <c r="P744" i="1"/>
  <c r="AY743" i="1"/>
  <c r="AX743" i="1"/>
  <c r="AW743" i="1"/>
  <c r="P743" i="1"/>
  <c r="AY742" i="1"/>
  <c r="AX742" i="1"/>
  <c r="AW742" i="1"/>
  <c r="P742" i="1"/>
  <c r="AY741" i="1"/>
  <c r="AX741" i="1"/>
  <c r="AW741" i="1"/>
  <c r="P741" i="1"/>
  <c r="AY740" i="1"/>
  <c r="AX740" i="1"/>
  <c r="AW740" i="1"/>
  <c r="P740" i="1"/>
  <c r="AY739" i="1"/>
  <c r="AX739" i="1"/>
  <c r="AW739" i="1"/>
  <c r="P739" i="1"/>
  <c r="AY738" i="1"/>
  <c r="AX738" i="1"/>
  <c r="AW738" i="1"/>
  <c r="P738" i="1"/>
  <c r="AY737" i="1"/>
  <c r="AX737" i="1"/>
  <c r="AW737" i="1"/>
  <c r="P737" i="1"/>
  <c r="AY736" i="1"/>
  <c r="AX736" i="1"/>
  <c r="AW736" i="1"/>
  <c r="P736" i="1"/>
  <c r="AY735" i="1"/>
  <c r="AX735" i="1"/>
  <c r="AW735" i="1"/>
  <c r="P735" i="1"/>
  <c r="AY734" i="1"/>
  <c r="AX734" i="1"/>
  <c r="AW734" i="1"/>
  <c r="P734" i="1"/>
  <c r="AY733" i="1"/>
  <c r="AX733" i="1"/>
  <c r="AW733" i="1"/>
  <c r="P733" i="1"/>
  <c r="AY732" i="1"/>
  <c r="AX732" i="1"/>
  <c r="AW732" i="1"/>
  <c r="P732" i="1"/>
  <c r="AY731" i="1"/>
  <c r="AX731" i="1"/>
  <c r="AW731" i="1"/>
  <c r="P731" i="1"/>
  <c r="AY730" i="1"/>
  <c r="AX730" i="1"/>
  <c r="AW730" i="1"/>
  <c r="P730" i="1"/>
  <c r="AY729" i="1"/>
  <c r="AX729" i="1"/>
  <c r="AW729" i="1"/>
  <c r="P729" i="1"/>
  <c r="AY728" i="1"/>
  <c r="AX728" i="1"/>
  <c r="AW728" i="1"/>
  <c r="P728" i="1"/>
  <c r="AY727" i="1"/>
  <c r="AX727" i="1"/>
  <c r="AW727" i="1"/>
  <c r="P727" i="1"/>
  <c r="AY726" i="1"/>
  <c r="AX726" i="1"/>
  <c r="AW726" i="1"/>
  <c r="P726" i="1"/>
  <c r="AY725" i="1"/>
  <c r="AX725" i="1"/>
  <c r="AW725" i="1"/>
  <c r="P725" i="1"/>
  <c r="AY724" i="1"/>
  <c r="AX724" i="1"/>
  <c r="AW724" i="1"/>
  <c r="P724" i="1"/>
  <c r="AY723" i="1"/>
  <c r="AX723" i="1"/>
  <c r="AW723" i="1"/>
  <c r="P723" i="1"/>
  <c r="AY722" i="1"/>
  <c r="AX722" i="1"/>
  <c r="AW722" i="1"/>
  <c r="P722" i="1"/>
  <c r="AY721" i="1"/>
  <c r="AX721" i="1"/>
  <c r="AW721" i="1"/>
  <c r="P721" i="1"/>
  <c r="AY720" i="1"/>
  <c r="AX720" i="1"/>
  <c r="AW720" i="1"/>
  <c r="P720" i="1"/>
  <c r="AY719" i="1"/>
  <c r="AX719" i="1"/>
  <c r="AW719" i="1"/>
  <c r="P719" i="1"/>
  <c r="AY718" i="1"/>
  <c r="AX718" i="1"/>
  <c r="AW718" i="1"/>
  <c r="P718" i="1"/>
  <c r="AY717" i="1"/>
  <c r="AX717" i="1"/>
  <c r="AW717" i="1"/>
  <c r="P717" i="1"/>
  <c r="AY716" i="1"/>
  <c r="AX716" i="1"/>
  <c r="AW716" i="1"/>
  <c r="P716" i="1"/>
  <c r="AY715" i="1"/>
  <c r="AX715" i="1"/>
  <c r="AW715" i="1"/>
  <c r="P715" i="1"/>
  <c r="AY714" i="1"/>
  <c r="AX714" i="1"/>
  <c r="AW714" i="1"/>
  <c r="P714" i="1"/>
  <c r="AY713" i="1"/>
  <c r="AX713" i="1"/>
  <c r="AW713" i="1"/>
  <c r="P713" i="1"/>
  <c r="AY712" i="1"/>
  <c r="AX712" i="1"/>
  <c r="AW712" i="1"/>
  <c r="P712" i="1"/>
  <c r="AY711" i="1"/>
  <c r="AX711" i="1"/>
  <c r="AW711" i="1"/>
  <c r="P711" i="1"/>
  <c r="AY710" i="1"/>
  <c r="AX710" i="1"/>
  <c r="AW710" i="1"/>
  <c r="P710" i="1"/>
  <c r="AY709" i="1"/>
  <c r="AX709" i="1"/>
  <c r="AW709" i="1"/>
  <c r="P709" i="1"/>
  <c r="AY708" i="1"/>
  <c r="AX708" i="1"/>
  <c r="AW708" i="1"/>
  <c r="P708" i="1"/>
  <c r="AY707" i="1"/>
  <c r="AX707" i="1"/>
  <c r="AW707" i="1"/>
  <c r="P707" i="1"/>
  <c r="AY706" i="1"/>
  <c r="AX706" i="1"/>
  <c r="AW706" i="1"/>
  <c r="P706" i="1"/>
  <c r="AY705" i="1"/>
  <c r="AX705" i="1"/>
  <c r="AW705" i="1"/>
  <c r="P705" i="1"/>
  <c r="AY704" i="1"/>
  <c r="AX704" i="1"/>
  <c r="AW704" i="1"/>
  <c r="P704" i="1"/>
  <c r="AY703" i="1"/>
  <c r="AX703" i="1"/>
  <c r="AW703" i="1"/>
  <c r="P703" i="1"/>
  <c r="AY702" i="1"/>
  <c r="AX702" i="1"/>
  <c r="AW702" i="1"/>
  <c r="P702" i="1"/>
  <c r="AY701" i="1"/>
  <c r="AX701" i="1"/>
  <c r="AW701" i="1"/>
  <c r="P701" i="1"/>
  <c r="AY700" i="1"/>
  <c r="AX700" i="1"/>
  <c r="AW700" i="1"/>
  <c r="P700" i="1"/>
  <c r="AY699" i="1"/>
  <c r="AX699" i="1"/>
  <c r="AW699" i="1"/>
  <c r="P699" i="1"/>
  <c r="AY698" i="1"/>
  <c r="AX698" i="1"/>
  <c r="AW698" i="1"/>
  <c r="P698" i="1"/>
  <c r="AY697" i="1"/>
  <c r="AX697" i="1"/>
  <c r="AW697" i="1"/>
  <c r="P697" i="1"/>
  <c r="AY696" i="1"/>
  <c r="AX696" i="1"/>
  <c r="AW696" i="1"/>
  <c r="P696" i="1"/>
  <c r="AY695" i="1"/>
  <c r="AX695" i="1"/>
  <c r="AW695" i="1"/>
  <c r="P695" i="1"/>
  <c r="AY694" i="1"/>
  <c r="AX694" i="1"/>
  <c r="AW694" i="1"/>
  <c r="P694" i="1"/>
  <c r="AY693" i="1"/>
  <c r="AX693" i="1"/>
  <c r="AW693" i="1"/>
  <c r="P693" i="1"/>
  <c r="AY692" i="1"/>
  <c r="AX692" i="1"/>
  <c r="AW692" i="1"/>
  <c r="P692" i="1"/>
  <c r="AY691" i="1"/>
  <c r="AX691" i="1"/>
  <c r="AW691" i="1"/>
  <c r="P691" i="1"/>
  <c r="AY690" i="1"/>
  <c r="AX690" i="1"/>
  <c r="AW690" i="1"/>
  <c r="P690" i="1"/>
  <c r="AY689" i="1"/>
  <c r="AX689" i="1"/>
  <c r="AW689" i="1"/>
  <c r="P689" i="1"/>
  <c r="AY688" i="1"/>
  <c r="AX688" i="1"/>
  <c r="AW688" i="1"/>
  <c r="P688" i="1"/>
  <c r="AY687" i="1"/>
  <c r="AX687" i="1"/>
  <c r="AW687" i="1"/>
  <c r="P687" i="1"/>
  <c r="AY686" i="1"/>
  <c r="AX686" i="1"/>
  <c r="AW686" i="1"/>
  <c r="P686" i="1"/>
  <c r="AY685" i="1"/>
  <c r="AX685" i="1"/>
  <c r="AW685" i="1"/>
  <c r="P685" i="1"/>
  <c r="AY684" i="1"/>
  <c r="AX684" i="1"/>
  <c r="AW684" i="1"/>
  <c r="P684" i="1"/>
  <c r="AY683" i="1"/>
  <c r="AX683" i="1"/>
  <c r="AW683" i="1"/>
  <c r="P683" i="1"/>
  <c r="AY682" i="1"/>
  <c r="AX682" i="1"/>
  <c r="AW682" i="1"/>
  <c r="P682" i="1"/>
  <c r="AY681" i="1"/>
  <c r="AX681" i="1"/>
  <c r="AW681" i="1"/>
  <c r="P681" i="1"/>
  <c r="AY680" i="1"/>
  <c r="AX680" i="1"/>
  <c r="AW680" i="1"/>
  <c r="P680" i="1"/>
  <c r="AY679" i="1"/>
  <c r="AX679" i="1"/>
  <c r="AW679" i="1"/>
  <c r="P679" i="1"/>
  <c r="AY678" i="1"/>
  <c r="AX678" i="1"/>
  <c r="AW678" i="1"/>
  <c r="P678" i="1"/>
  <c r="AY677" i="1"/>
  <c r="AX677" i="1"/>
  <c r="AW677" i="1"/>
  <c r="P677" i="1"/>
  <c r="AY676" i="1"/>
  <c r="AX676" i="1"/>
  <c r="AW676" i="1"/>
  <c r="P676" i="1"/>
  <c r="AY675" i="1"/>
  <c r="AX675" i="1"/>
  <c r="AW675" i="1"/>
  <c r="P675" i="1"/>
  <c r="AY674" i="1"/>
  <c r="AX674" i="1"/>
  <c r="AW674" i="1"/>
  <c r="P674" i="1"/>
  <c r="AY673" i="1"/>
  <c r="AX673" i="1"/>
  <c r="AW673" i="1"/>
  <c r="P673" i="1"/>
  <c r="AY672" i="1"/>
  <c r="AX672" i="1"/>
  <c r="AW672" i="1"/>
  <c r="P672" i="1"/>
  <c r="AY671" i="1"/>
  <c r="AX671" i="1"/>
  <c r="AW671" i="1"/>
  <c r="P671" i="1"/>
  <c r="AY670" i="1"/>
  <c r="AX670" i="1"/>
  <c r="AW670" i="1"/>
  <c r="P670" i="1"/>
  <c r="AY669" i="1"/>
  <c r="AX669" i="1"/>
  <c r="AW669" i="1"/>
  <c r="P669" i="1"/>
  <c r="AY668" i="1"/>
  <c r="AX668" i="1"/>
  <c r="AW668" i="1"/>
  <c r="P668" i="1"/>
  <c r="AY667" i="1"/>
  <c r="AX667" i="1"/>
  <c r="AW667" i="1"/>
  <c r="P667" i="1"/>
  <c r="AY666" i="1"/>
  <c r="AX666" i="1"/>
  <c r="AW666" i="1"/>
  <c r="P666" i="1"/>
  <c r="AY665" i="1"/>
  <c r="AX665" i="1"/>
  <c r="AW665" i="1"/>
  <c r="P665" i="1"/>
  <c r="AY664" i="1"/>
  <c r="AX664" i="1"/>
  <c r="AW664" i="1"/>
  <c r="P664" i="1"/>
  <c r="AY663" i="1"/>
  <c r="AX663" i="1"/>
  <c r="AW663" i="1"/>
  <c r="P663" i="1"/>
  <c r="AY662" i="1"/>
  <c r="AX662" i="1"/>
  <c r="AW662" i="1"/>
  <c r="P662" i="1"/>
  <c r="AY661" i="1"/>
  <c r="AX661" i="1"/>
  <c r="AW661" i="1"/>
  <c r="P661" i="1"/>
  <c r="AY660" i="1"/>
  <c r="AX660" i="1"/>
  <c r="AW660" i="1"/>
  <c r="P660" i="1"/>
  <c r="AY659" i="1"/>
  <c r="AX659" i="1"/>
  <c r="AW659" i="1"/>
  <c r="P659" i="1"/>
  <c r="AY658" i="1"/>
  <c r="AX658" i="1"/>
  <c r="AW658" i="1"/>
  <c r="P658" i="1"/>
  <c r="AY657" i="1"/>
  <c r="AX657" i="1"/>
  <c r="AW657" i="1"/>
  <c r="P657" i="1"/>
  <c r="AY656" i="1"/>
  <c r="AX656" i="1"/>
  <c r="AW656" i="1"/>
  <c r="P656" i="1"/>
  <c r="AY655" i="1"/>
  <c r="AX655" i="1"/>
  <c r="AW655" i="1"/>
  <c r="P655" i="1"/>
  <c r="AY654" i="1"/>
  <c r="AX654" i="1"/>
  <c r="AW654" i="1"/>
  <c r="P654" i="1"/>
  <c r="AY653" i="1"/>
  <c r="AX653" i="1"/>
  <c r="AW653" i="1"/>
  <c r="P653" i="1"/>
  <c r="AY652" i="1"/>
  <c r="AX652" i="1"/>
  <c r="AW652" i="1"/>
  <c r="P652" i="1"/>
  <c r="AY651" i="1"/>
  <c r="AX651" i="1"/>
  <c r="AW651" i="1"/>
  <c r="P651" i="1"/>
  <c r="AY650" i="1"/>
  <c r="AX650" i="1"/>
  <c r="AW650" i="1"/>
  <c r="P650" i="1"/>
  <c r="AY649" i="1"/>
  <c r="AX649" i="1"/>
  <c r="AW649" i="1"/>
  <c r="P649" i="1"/>
  <c r="AY648" i="1"/>
  <c r="AX648" i="1"/>
  <c r="AW648" i="1"/>
  <c r="P648" i="1"/>
  <c r="AY647" i="1"/>
  <c r="AX647" i="1"/>
  <c r="AW647" i="1"/>
  <c r="P647" i="1"/>
  <c r="AY646" i="1"/>
  <c r="AX646" i="1"/>
  <c r="AW646" i="1"/>
  <c r="P646" i="1"/>
  <c r="AY645" i="1"/>
  <c r="AX645" i="1"/>
  <c r="AW645" i="1"/>
  <c r="P645" i="1"/>
  <c r="AY644" i="1"/>
  <c r="AX644" i="1"/>
  <c r="AW644" i="1"/>
  <c r="P644" i="1"/>
  <c r="AY643" i="1"/>
  <c r="AX643" i="1"/>
  <c r="AW643" i="1"/>
  <c r="P643" i="1"/>
  <c r="AY642" i="1"/>
  <c r="AX642" i="1"/>
  <c r="AW642" i="1"/>
  <c r="P642" i="1"/>
  <c r="AY641" i="1"/>
  <c r="AX641" i="1"/>
  <c r="AW641" i="1"/>
  <c r="P641" i="1"/>
  <c r="AY640" i="1"/>
  <c r="AX640" i="1"/>
  <c r="AW640" i="1"/>
  <c r="P640" i="1"/>
  <c r="AY639" i="1"/>
  <c r="AX639" i="1"/>
  <c r="AW639" i="1"/>
  <c r="P639" i="1"/>
  <c r="AY638" i="1"/>
  <c r="AX638" i="1"/>
  <c r="AW638" i="1"/>
  <c r="P638" i="1"/>
  <c r="AY637" i="1"/>
  <c r="AX637" i="1"/>
  <c r="AW637" i="1"/>
  <c r="P637" i="1"/>
  <c r="AY636" i="1"/>
  <c r="AX636" i="1"/>
  <c r="AW636" i="1"/>
  <c r="P636" i="1"/>
  <c r="AY635" i="1"/>
  <c r="AX635" i="1"/>
  <c r="AW635" i="1"/>
  <c r="P635" i="1"/>
  <c r="AY634" i="1"/>
  <c r="AX634" i="1"/>
  <c r="AW634" i="1"/>
  <c r="P634" i="1"/>
  <c r="AY633" i="1"/>
  <c r="AX633" i="1"/>
  <c r="AW633" i="1"/>
  <c r="P633" i="1"/>
  <c r="AY632" i="1"/>
  <c r="AX632" i="1"/>
  <c r="AW632" i="1"/>
  <c r="P632" i="1"/>
  <c r="AY631" i="1"/>
  <c r="AX631" i="1"/>
  <c r="AW631" i="1"/>
  <c r="P631" i="1"/>
  <c r="AY630" i="1"/>
  <c r="AX630" i="1"/>
  <c r="AW630" i="1"/>
  <c r="P630" i="1"/>
  <c r="AY629" i="1"/>
  <c r="AX629" i="1"/>
  <c r="AW629" i="1"/>
  <c r="P629" i="1"/>
  <c r="AY628" i="1"/>
  <c r="AX628" i="1"/>
  <c r="AW628" i="1"/>
  <c r="P628" i="1"/>
  <c r="AY627" i="1"/>
  <c r="AX627" i="1"/>
  <c r="AW627" i="1"/>
  <c r="P627" i="1"/>
  <c r="AY626" i="1"/>
  <c r="AX626" i="1"/>
  <c r="AW626" i="1"/>
  <c r="P626" i="1"/>
  <c r="AY625" i="1"/>
  <c r="AX625" i="1"/>
  <c r="AW625" i="1"/>
  <c r="P625" i="1"/>
  <c r="AY624" i="1"/>
  <c r="AX624" i="1"/>
  <c r="AW624" i="1"/>
  <c r="P624" i="1"/>
  <c r="AY623" i="1"/>
  <c r="AX623" i="1"/>
  <c r="AW623" i="1"/>
  <c r="P623" i="1"/>
  <c r="AY622" i="1"/>
  <c r="AX622" i="1"/>
  <c r="AW622" i="1"/>
  <c r="P622" i="1"/>
  <c r="AY621" i="1"/>
  <c r="AX621" i="1"/>
  <c r="AW621" i="1"/>
  <c r="P621" i="1"/>
  <c r="AY620" i="1"/>
  <c r="AX620" i="1"/>
  <c r="AW620" i="1"/>
  <c r="P620" i="1"/>
  <c r="AY619" i="1"/>
  <c r="AX619" i="1"/>
  <c r="AW619" i="1"/>
  <c r="P619" i="1"/>
  <c r="AY618" i="1"/>
  <c r="AX618" i="1"/>
  <c r="AW618" i="1"/>
  <c r="P618" i="1"/>
  <c r="AY617" i="1"/>
  <c r="AX617" i="1"/>
  <c r="AW617" i="1"/>
  <c r="P617" i="1"/>
  <c r="AY616" i="1"/>
  <c r="AX616" i="1"/>
  <c r="AW616" i="1"/>
  <c r="P616" i="1"/>
  <c r="AY615" i="1"/>
  <c r="AX615" i="1"/>
  <c r="AW615" i="1"/>
  <c r="P615" i="1"/>
  <c r="AY614" i="1"/>
  <c r="AX614" i="1"/>
  <c r="AW614" i="1"/>
  <c r="P614" i="1"/>
  <c r="AY613" i="1"/>
  <c r="AX613" i="1"/>
  <c r="AW613" i="1"/>
  <c r="P613" i="1"/>
  <c r="AY612" i="1"/>
  <c r="AX612" i="1"/>
  <c r="AW612" i="1"/>
  <c r="P612" i="1"/>
  <c r="AY611" i="1"/>
  <c r="AX611" i="1"/>
  <c r="AW611" i="1"/>
  <c r="P611" i="1"/>
  <c r="AY610" i="1"/>
  <c r="AX610" i="1"/>
  <c r="AW610" i="1"/>
  <c r="P610" i="1"/>
  <c r="AY609" i="1"/>
  <c r="AX609" i="1"/>
  <c r="AW609" i="1"/>
  <c r="P609" i="1"/>
  <c r="AY608" i="1"/>
  <c r="AX608" i="1"/>
  <c r="AW608" i="1"/>
  <c r="P608" i="1"/>
  <c r="AY607" i="1"/>
  <c r="AX607" i="1"/>
  <c r="AW607" i="1"/>
  <c r="P607" i="1"/>
  <c r="AY606" i="1"/>
  <c r="AX606" i="1"/>
  <c r="AW606" i="1"/>
  <c r="P606" i="1"/>
  <c r="AY605" i="1"/>
  <c r="AX605" i="1"/>
  <c r="AW605" i="1"/>
  <c r="P605" i="1"/>
  <c r="AY604" i="1"/>
  <c r="AX604" i="1"/>
  <c r="AW604" i="1"/>
  <c r="P604" i="1"/>
  <c r="AY603" i="1"/>
  <c r="AX603" i="1"/>
  <c r="AW603" i="1"/>
  <c r="P603" i="1"/>
  <c r="AY602" i="1"/>
  <c r="AX602" i="1"/>
  <c r="AW602" i="1"/>
  <c r="P602" i="1"/>
  <c r="AY601" i="1"/>
  <c r="AX601" i="1"/>
  <c r="AW601" i="1"/>
  <c r="P601" i="1"/>
  <c r="AY600" i="1"/>
  <c r="AX600" i="1"/>
  <c r="AW600" i="1"/>
  <c r="P600" i="1"/>
  <c r="AY599" i="1"/>
  <c r="AX599" i="1"/>
  <c r="AW599" i="1"/>
  <c r="P599" i="1"/>
  <c r="AY598" i="1"/>
  <c r="AX598" i="1"/>
  <c r="AW598" i="1"/>
  <c r="P598" i="1"/>
  <c r="AY597" i="1"/>
  <c r="AX597" i="1"/>
  <c r="AW597" i="1"/>
  <c r="P597" i="1"/>
  <c r="AY596" i="1"/>
  <c r="AX596" i="1"/>
  <c r="AW596" i="1"/>
  <c r="P596" i="1"/>
  <c r="AY595" i="1"/>
  <c r="AX595" i="1"/>
  <c r="AW595" i="1"/>
  <c r="P595" i="1"/>
  <c r="AY594" i="1"/>
  <c r="AX594" i="1"/>
  <c r="AW594" i="1"/>
  <c r="P594" i="1"/>
  <c r="AY593" i="1"/>
  <c r="AX593" i="1"/>
  <c r="AW593" i="1"/>
  <c r="P593" i="1"/>
  <c r="AY592" i="1"/>
  <c r="AX592" i="1"/>
  <c r="AW592" i="1"/>
  <c r="P592" i="1"/>
  <c r="AY591" i="1"/>
  <c r="AX591" i="1"/>
  <c r="AW591" i="1"/>
  <c r="P591" i="1"/>
  <c r="AY590" i="1"/>
  <c r="AX590" i="1"/>
  <c r="AW590" i="1"/>
  <c r="P590" i="1"/>
  <c r="AY589" i="1"/>
  <c r="AX589" i="1"/>
  <c r="AW589" i="1"/>
  <c r="P589" i="1"/>
  <c r="AY588" i="1"/>
  <c r="AX588" i="1"/>
  <c r="AW588" i="1"/>
  <c r="P588" i="1"/>
  <c r="AY587" i="1"/>
  <c r="AX587" i="1"/>
  <c r="AW587" i="1"/>
  <c r="P587" i="1"/>
  <c r="AY586" i="1"/>
  <c r="AX586" i="1"/>
  <c r="AW586" i="1"/>
  <c r="P586" i="1"/>
  <c r="AY585" i="1"/>
  <c r="AX585" i="1"/>
  <c r="AW585" i="1"/>
  <c r="P585" i="1"/>
  <c r="AY584" i="1"/>
  <c r="AX584" i="1"/>
  <c r="AW584" i="1"/>
  <c r="P584" i="1"/>
  <c r="AY583" i="1"/>
  <c r="AX583" i="1"/>
  <c r="AW583" i="1"/>
  <c r="P583" i="1"/>
  <c r="AY582" i="1"/>
  <c r="AX582" i="1"/>
  <c r="AW582" i="1"/>
  <c r="P582" i="1"/>
  <c r="AY581" i="1"/>
  <c r="AX581" i="1"/>
  <c r="AW581" i="1"/>
  <c r="P581" i="1"/>
  <c r="AY580" i="1"/>
  <c r="AX580" i="1"/>
  <c r="AW580" i="1"/>
  <c r="P580" i="1"/>
  <c r="AY579" i="1"/>
  <c r="AX579" i="1"/>
  <c r="AW579" i="1"/>
  <c r="P579" i="1"/>
  <c r="AY578" i="1"/>
  <c r="AX578" i="1"/>
  <c r="AW578" i="1"/>
  <c r="P578" i="1"/>
  <c r="AY577" i="1"/>
  <c r="AX577" i="1"/>
  <c r="AW577" i="1"/>
  <c r="P577" i="1"/>
  <c r="AY576" i="1"/>
  <c r="AX576" i="1"/>
  <c r="AW576" i="1"/>
  <c r="P576" i="1"/>
  <c r="AY575" i="1"/>
  <c r="AX575" i="1"/>
  <c r="AW575" i="1"/>
  <c r="P575" i="1"/>
  <c r="AY574" i="1"/>
  <c r="AX574" i="1"/>
  <c r="AW574" i="1"/>
  <c r="P574" i="1"/>
  <c r="AY573" i="1"/>
  <c r="AX573" i="1"/>
  <c r="AW573" i="1"/>
  <c r="P573" i="1"/>
  <c r="AY572" i="1"/>
  <c r="AX572" i="1"/>
  <c r="AW572" i="1"/>
  <c r="P572" i="1"/>
  <c r="AY571" i="1"/>
  <c r="AX571" i="1"/>
  <c r="AW571" i="1"/>
  <c r="P571" i="1"/>
  <c r="AY570" i="1"/>
  <c r="AX570" i="1"/>
  <c r="AW570" i="1"/>
  <c r="P570" i="1"/>
  <c r="AY569" i="1"/>
  <c r="AX569" i="1"/>
  <c r="AW569" i="1"/>
  <c r="P569" i="1"/>
  <c r="AY568" i="1"/>
  <c r="AX568" i="1"/>
  <c r="AW568" i="1"/>
  <c r="P568" i="1"/>
  <c r="AY567" i="1"/>
  <c r="AX567" i="1"/>
  <c r="AW567" i="1"/>
  <c r="P567" i="1"/>
  <c r="AY566" i="1"/>
  <c r="AX566" i="1"/>
  <c r="AW566" i="1"/>
  <c r="P566" i="1"/>
  <c r="AY565" i="1"/>
  <c r="AX565" i="1"/>
  <c r="AW565" i="1"/>
  <c r="P565" i="1"/>
  <c r="AY564" i="1"/>
  <c r="AX564" i="1"/>
  <c r="AW564" i="1"/>
  <c r="P564" i="1"/>
  <c r="AY563" i="1"/>
  <c r="AX563" i="1"/>
  <c r="AW563" i="1"/>
  <c r="P563" i="1"/>
  <c r="AY562" i="1"/>
  <c r="AX562" i="1"/>
  <c r="AW562" i="1"/>
  <c r="P562" i="1"/>
  <c r="AY561" i="1"/>
  <c r="AX561" i="1"/>
  <c r="AW561" i="1"/>
  <c r="P561" i="1"/>
  <c r="AY560" i="1"/>
  <c r="AX560" i="1"/>
  <c r="AW560" i="1"/>
  <c r="P560" i="1"/>
  <c r="AY559" i="1"/>
  <c r="AX559" i="1"/>
  <c r="AW559" i="1"/>
  <c r="P559" i="1"/>
  <c r="AY558" i="1"/>
  <c r="AX558" i="1"/>
  <c r="AW558" i="1"/>
  <c r="P558" i="1"/>
  <c r="AY557" i="1"/>
  <c r="AX557" i="1"/>
  <c r="AW557" i="1"/>
  <c r="P557" i="1"/>
  <c r="AY556" i="1"/>
  <c r="AX556" i="1"/>
  <c r="AW556" i="1"/>
  <c r="P556" i="1"/>
  <c r="AY555" i="1"/>
  <c r="AX555" i="1"/>
  <c r="AW555" i="1"/>
  <c r="P555" i="1"/>
  <c r="AY554" i="1"/>
  <c r="AX554" i="1"/>
  <c r="AW554" i="1"/>
  <c r="P554" i="1"/>
  <c r="AY553" i="1"/>
  <c r="AX553" i="1"/>
  <c r="AW553" i="1"/>
  <c r="P553" i="1"/>
  <c r="AY552" i="1"/>
  <c r="AX552" i="1"/>
  <c r="AW552" i="1"/>
  <c r="P552" i="1"/>
  <c r="AY551" i="1"/>
  <c r="AX551" i="1"/>
  <c r="AW551" i="1"/>
  <c r="P551" i="1"/>
  <c r="AY550" i="1"/>
  <c r="AX550" i="1"/>
  <c r="AW550" i="1"/>
  <c r="P550" i="1"/>
  <c r="AY549" i="1"/>
  <c r="AX549" i="1"/>
  <c r="AW549" i="1"/>
  <c r="P549" i="1"/>
  <c r="AY548" i="1"/>
  <c r="AX548" i="1"/>
  <c r="AW548" i="1"/>
  <c r="P548" i="1"/>
  <c r="AY547" i="1"/>
  <c r="AX547" i="1"/>
  <c r="AW547" i="1"/>
  <c r="P547" i="1"/>
  <c r="AY546" i="1"/>
  <c r="AX546" i="1"/>
  <c r="AW546" i="1"/>
  <c r="P546" i="1"/>
  <c r="AY545" i="1"/>
  <c r="AX545" i="1"/>
  <c r="AW545" i="1"/>
  <c r="P545" i="1"/>
  <c r="AY544" i="1"/>
  <c r="AX544" i="1"/>
  <c r="AW544" i="1"/>
  <c r="P544" i="1"/>
  <c r="AY543" i="1"/>
  <c r="AX543" i="1"/>
  <c r="AW543" i="1"/>
  <c r="P543" i="1"/>
  <c r="AY542" i="1"/>
  <c r="AX542" i="1"/>
  <c r="AW542" i="1"/>
  <c r="P542" i="1"/>
  <c r="AY541" i="1"/>
  <c r="AX541" i="1"/>
  <c r="AW541" i="1"/>
  <c r="P541" i="1"/>
  <c r="AY540" i="1"/>
  <c r="AX540" i="1"/>
  <c r="AW540" i="1"/>
  <c r="P540" i="1"/>
  <c r="AY539" i="1"/>
  <c r="AX539" i="1"/>
  <c r="AW539" i="1"/>
  <c r="P539" i="1"/>
  <c r="AY538" i="1"/>
  <c r="AX538" i="1"/>
  <c r="AW538" i="1"/>
  <c r="P538" i="1"/>
  <c r="AY537" i="1"/>
  <c r="AX537" i="1"/>
  <c r="AW537" i="1"/>
  <c r="P537" i="1"/>
  <c r="AY536" i="1"/>
  <c r="AX536" i="1"/>
  <c r="AW536" i="1"/>
  <c r="P536" i="1"/>
  <c r="AY535" i="1"/>
  <c r="AX535" i="1"/>
  <c r="AW535" i="1"/>
  <c r="P535" i="1"/>
  <c r="AY534" i="1"/>
  <c r="AX534" i="1"/>
  <c r="AW534" i="1"/>
  <c r="P534" i="1"/>
  <c r="AY533" i="1"/>
  <c r="AX533" i="1"/>
  <c r="AW533" i="1"/>
  <c r="P533" i="1"/>
  <c r="AY532" i="1"/>
  <c r="AX532" i="1"/>
  <c r="AW532" i="1"/>
  <c r="P532" i="1"/>
  <c r="AY531" i="1"/>
  <c r="AX531" i="1"/>
  <c r="AW531" i="1"/>
  <c r="P531" i="1"/>
  <c r="AY530" i="1"/>
  <c r="AX530" i="1"/>
  <c r="AW530" i="1"/>
  <c r="P530" i="1"/>
  <c r="AY529" i="1"/>
  <c r="AX529" i="1"/>
  <c r="AW529" i="1"/>
  <c r="P529" i="1"/>
  <c r="AY528" i="1"/>
  <c r="AX528" i="1"/>
  <c r="AW528" i="1"/>
  <c r="P528" i="1"/>
  <c r="AY527" i="1"/>
  <c r="AX527" i="1"/>
  <c r="AW527" i="1"/>
  <c r="P527" i="1"/>
  <c r="AY526" i="1"/>
  <c r="AX526" i="1"/>
  <c r="AW526" i="1"/>
  <c r="P526" i="1"/>
  <c r="AY525" i="1"/>
  <c r="AX525" i="1"/>
  <c r="AW525" i="1"/>
  <c r="P525" i="1"/>
  <c r="AY524" i="1"/>
  <c r="AX524" i="1"/>
  <c r="AW524" i="1"/>
  <c r="P524" i="1"/>
  <c r="AY523" i="1"/>
  <c r="AX523" i="1"/>
  <c r="AW523" i="1"/>
  <c r="P523" i="1"/>
  <c r="AY522" i="1"/>
  <c r="AX522" i="1"/>
  <c r="AW522" i="1"/>
  <c r="P522" i="1"/>
  <c r="AY521" i="1"/>
  <c r="AX521" i="1"/>
  <c r="AW521" i="1"/>
  <c r="P521" i="1"/>
  <c r="AY520" i="1"/>
  <c r="AX520" i="1"/>
  <c r="AW520" i="1"/>
  <c r="P520" i="1"/>
  <c r="AY519" i="1"/>
  <c r="AX519" i="1"/>
  <c r="AW519" i="1"/>
  <c r="P519" i="1"/>
  <c r="AY518" i="1"/>
  <c r="AX518" i="1"/>
  <c r="AW518" i="1"/>
  <c r="P518" i="1"/>
  <c r="AY517" i="1"/>
  <c r="AX517" i="1"/>
  <c r="AW517" i="1"/>
  <c r="P517" i="1"/>
  <c r="AY516" i="1"/>
  <c r="AX516" i="1"/>
  <c r="AW516" i="1"/>
  <c r="P516" i="1"/>
  <c r="AY515" i="1"/>
  <c r="AX515" i="1"/>
  <c r="AW515" i="1"/>
  <c r="P515" i="1"/>
  <c r="AY514" i="1"/>
  <c r="AX514" i="1"/>
  <c r="AW514" i="1"/>
  <c r="P514" i="1"/>
  <c r="AY513" i="1"/>
  <c r="AX513" i="1"/>
  <c r="AW513" i="1"/>
  <c r="P513" i="1"/>
  <c r="AY512" i="1"/>
  <c r="AX512" i="1"/>
  <c r="AW512" i="1"/>
  <c r="P512" i="1"/>
  <c r="AY511" i="1"/>
  <c r="AX511" i="1"/>
  <c r="AW511" i="1"/>
  <c r="P511" i="1"/>
  <c r="AY510" i="1"/>
  <c r="AX510" i="1"/>
  <c r="AW510" i="1"/>
  <c r="P510" i="1"/>
  <c r="AY509" i="1"/>
  <c r="AX509" i="1"/>
  <c r="AW509" i="1"/>
  <c r="P509" i="1"/>
  <c r="AY508" i="1"/>
  <c r="AX508" i="1"/>
  <c r="AW508" i="1"/>
  <c r="P508" i="1"/>
  <c r="AY507" i="1"/>
  <c r="AX507" i="1"/>
  <c r="AW507" i="1"/>
  <c r="P507" i="1"/>
  <c r="AY506" i="1"/>
  <c r="AX506" i="1"/>
  <c r="AW506" i="1"/>
  <c r="P506" i="1"/>
  <c r="AY505" i="1"/>
  <c r="AX505" i="1"/>
  <c r="AW505" i="1"/>
  <c r="P505" i="1"/>
  <c r="AY504" i="1"/>
  <c r="AX504" i="1"/>
  <c r="AW504" i="1"/>
  <c r="P504" i="1"/>
  <c r="AY503" i="1"/>
  <c r="AX503" i="1"/>
  <c r="AW503" i="1"/>
  <c r="P503" i="1"/>
  <c r="AY502" i="1"/>
  <c r="AX502" i="1"/>
  <c r="AW502" i="1"/>
  <c r="P502" i="1"/>
  <c r="AY501" i="1"/>
  <c r="AX501" i="1"/>
  <c r="AW501" i="1"/>
  <c r="P501" i="1"/>
  <c r="AY500" i="1"/>
  <c r="AX500" i="1"/>
  <c r="AW500" i="1"/>
  <c r="P500" i="1"/>
  <c r="AY499" i="1"/>
  <c r="AX499" i="1"/>
  <c r="AW499" i="1"/>
  <c r="P499" i="1"/>
  <c r="AY498" i="1"/>
  <c r="AX498" i="1"/>
  <c r="AW498" i="1"/>
  <c r="P498" i="1"/>
  <c r="AY497" i="1"/>
  <c r="AX497" i="1"/>
  <c r="AW497" i="1"/>
  <c r="P497" i="1"/>
  <c r="AY496" i="1"/>
  <c r="AX496" i="1"/>
  <c r="AW496" i="1"/>
  <c r="P496" i="1"/>
  <c r="AY495" i="1"/>
  <c r="AX495" i="1"/>
  <c r="AW495" i="1"/>
  <c r="P495" i="1"/>
  <c r="AY494" i="1"/>
  <c r="AX494" i="1"/>
  <c r="AW494" i="1"/>
  <c r="P494" i="1"/>
  <c r="AY493" i="1"/>
  <c r="AX493" i="1"/>
  <c r="AW493" i="1"/>
  <c r="P493" i="1"/>
  <c r="AY492" i="1"/>
  <c r="AX492" i="1"/>
  <c r="AW492" i="1"/>
  <c r="P492" i="1"/>
  <c r="AY491" i="1"/>
  <c r="AX491" i="1"/>
  <c r="AW491" i="1"/>
  <c r="P491" i="1"/>
  <c r="AY490" i="1"/>
  <c r="AX490" i="1"/>
  <c r="AW490" i="1"/>
  <c r="P490" i="1"/>
  <c r="AY489" i="1"/>
  <c r="AX489" i="1"/>
  <c r="AW489" i="1"/>
  <c r="P489" i="1"/>
  <c r="AY488" i="1"/>
  <c r="AX488" i="1"/>
  <c r="AW488" i="1"/>
  <c r="P488" i="1"/>
  <c r="AY487" i="1"/>
  <c r="AX487" i="1"/>
  <c r="AW487" i="1"/>
  <c r="P487" i="1"/>
  <c r="AY486" i="1"/>
  <c r="AX486" i="1"/>
  <c r="AW486" i="1"/>
  <c r="P486" i="1"/>
  <c r="AY485" i="1"/>
  <c r="AX485" i="1"/>
  <c r="AW485" i="1"/>
  <c r="P485" i="1"/>
  <c r="AY484" i="1"/>
  <c r="AX484" i="1"/>
  <c r="AW484" i="1"/>
  <c r="P484" i="1"/>
  <c r="AY483" i="1"/>
  <c r="AX483" i="1"/>
  <c r="AW483" i="1"/>
  <c r="P483" i="1"/>
  <c r="AY482" i="1"/>
  <c r="AX482" i="1"/>
  <c r="AW482" i="1"/>
  <c r="P482" i="1"/>
  <c r="AY481" i="1"/>
  <c r="AX481" i="1"/>
  <c r="AW481" i="1"/>
  <c r="P481" i="1"/>
  <c r="AY480" i="1"/>
  <c r="AX480" i="1"/>
  <c r="AW480" i="1"/>
  <c r="P480" i="1"/>
  <c r="AY479" i="1"/>
  <c r="AX479" i="1"/>
  <c r="AW479" i="1"/>
  <c r="P479" i="1"/>
  <c r="AY478" i="1"/>
  <c r="AX478" i="1"/>
  <c r="AW478" i="1"/>
  <c r="P478" i="1"/>
  <c r="AY477" i="1"/>
  <c r="AX477" i="1"/>
  <c r="AW477" i="1"/>
  <c r="P477" i="1"/>
  <c r="AY476" i="1"/>
  <c r="AX476" i="1"/>
  <c r="AW476" i="1"/>
  <c r="P476" i="1"/>
  <c r="AY475" i="1"/>
  <c r="AX475" i="1"/>
  <c r="AW475" i="1"/>
  <c r="P475" i="1"/>
  <c r="AY474" i="1"/>
  <c r="AX474" i="1"/>
  <c r="AW474" i="1"/>
  <c r="P474" i="1"/>
  <c r="AY473" i="1"/>
  <c r="AX473" i="1"/>
  <c r="AW473" i="1"/>
  <c r="P473" i="1"/>
  <c r="AY472" i="1"/>
  <c r="AX472" i="1"/>
  <c r="AW472" i="1"/>
  <c r="P472" i="1"/>
  <c r="AY471" i="1"/>
  <c r="AX471" i="1"/>
  <c r="AW471" i="1"/>
  <c r="P471" i="1"/>
  <c r="AY470" i="1"/>
  <c r="AX470" i="1"/>
  <c r="AW470" i="1"/>
  <c r="P470" i="1"/>
  <c r="AY469" i="1"/>
  <c r="AX469" i="1"/>
  <c r="AW469" i="1"/>
  <c r="P469" i="1"/>
  <c r="AY468" i="1"/>
  <c r="AX468" i="1"/>
  <c r="AW468" i="1"/>
  <c r="P468" i="1"/>
  <c r="AY467" i="1"/>
  <c r="AX467" i="1"/>
  <c r="AW467" i="1"/>
  <c r="P467" i="1"/>
  <c r="AY466" i="1"/>
  <c r="AX466" i="1"/>
  <c r="AW466" i="1"/>
  <c r="P466" i="1"/>
  <c r="AY465" i="1"/>
  <c r="AX465" i="1"/>
  <c r="AW465" i="1"/>
  <c r="P465" i="1"/>
  <c r="AY464" i="1"/>
  <c r="AX464" i="1"/>
  <c r="AW464" i="1"/>
  <c r="P464" i="1"/>
  <c r="AY463" i="1"/>
  <c r="AX463" i="1"/>
  <c r="AW463" i="1"/>
  <c r="P463" i="1"/>
  <c r="AY462" i="1"/>
  <c r="AX462" i="1"/>
  <c r="AW462" i="1"/>
  <c r="P462" i="1"/>
  <c r="AY461" i="1"/>
  <c r="AX461" i="1"/>
  <c r="AW461" i="1"/>
  <c r="P461" i="1"/>
  <c r="AY460" i="1"/>
  <c r="AX460" i="1"/>
  <c r="AW460" i="1"/>
  <c r="P460" i="1"/>
  <c r="AY459" i="1"/>
  <c r="AX459" i="1"/>
  <c r="AW459" i="1"/>
  <c r="P459" i="1"/>
  <c r="AY458" i="1"/>
  <c r="AX458" i="1"/>
  <c r="AW458" i="1"/>
  <c r="P458" i="1"/>
  <c r="AY457" i="1"/>
  <c r="AX457" i="1"/>
  <c r="AW457" i="1"/>
  <c r="P457" i="1"/>
  <c r="AY456" i="1"/>
  <c r="AX456" i="1"/>
  <c r="AW456" i="1"/>
  <c r="P456" i="1"/>
  <c r="AY455" i="1"/>
  <c r="AX455" i="1"/>
  <c r="AW455" i="1"/>
  <c r="P455" i="1"/>
  <c r="AY454" i="1"/>
  <c r="AX454" i="1"/>
  <c r="AW454" i="1"/>
  <c r="P454" i="1"/>
  <c r="AY453" i="1"/>
  <c r="AX453" i="1"/>
  <c r="AW453" i="1"/>
  <c r="P453" i="1"/>
  <c r="AY452" i="1"/>
  <c r="AX452" i="1"/>
  <c r="AW452" i="1"/>
  <c r="P452" i="1"/>
  <c r="AY451" i="1"/>
  <c r="AX451" i="1"/>
  <c r="AW451" i="1"/>
  <c r="P451" i="1"/>
  <c r="AY450" i="1"/>
  <c r="AX450" i="1"/>
  <c r="AW450" i="1"/>
  <c r="P450" i="1"/>
  <c r="AY449" i="1"/>
  <c r="AX449" i="1"/>
  <c r="AW449" i="1"/>
  <c r="P449" i="1"/>
  <c r="AY448" i="1"/>
  <c r="AX448" i="1"/>
  <c r="AW448" i="1"/>
  <c r="P448" i="1"/>
  <c r="AY447" i="1"/>
  <c r="AX447" i="1"/>
  <c r="AW447" i="1"/>
  <c r="P447" i="1"/>
  <c r="AY446" i="1"/>
  <c r="AX446" i="1"/>
  <c r="AW446" i="1"/>
  <c r="P446" i="1"/>
  <c r="AY445" i="1"/>
  <c r="AX445" i="1"/>
  <c r="AW445" i="1"/>
  <c r="P445" i="1"/>
  <c r="AY444" i="1"/>
  <c r="AX444" i="1"/>
  <c r="AW444" i="1"/>
  <c r="P444" i="1"/>
  <c r="AY443" i="1"/>
  <c r="AX443" i="1"/>
  <c r="AW443" i="1"/>
  <c r="P443" i="1"/>
  <c r="AY442" i="1"/>
  <c r="AX442" i="1"/>
  <c r="AW442" i="1"/>
  <c r="P442" i="1"/>
  <c r="AY441" i="1"/>
  <c r="AX441" i="1"/>
  <c r="AW441" i="1"/>
  <c r="P441" i="1"/>
  <c r="AY440" i="1"/>
  <c r="AX440" i="1"/>
  <c r="AW440" i="1"/>
  <c r="P440" i="1"/>
  <c r="AY439" i="1"/>
  <c r="AX439" i="1"/>
  <c r="AW439" i="1"/>
  <c r="P439" i="1"/>
  <c r="AY438" i="1"/>
  <c r="AX438" i="1"/>
  <c r="AW438" i="1"/>
  <c r="P438" i="1"/>
  <c r="AY437" i="1"/>
  <c r="AX437" i="1"/>
  <c r="AW437" i="1"/>
  <c r="P437" i="1"/>
  <c r="AY436" i="1"/>
  <c r="AX436" i="1"/>
  <c r="AW436" i="1"/>
  <c r="P436" i="1"/>
  <c r="AY435" i="1"/>
  <c r="AX435" i="1"/>
  <c r="AW435" i="1"/>
  <c r="P435" i="1"/>
  <c r="AY434" i="1"/>
  <c r="AX434" i="1"/>
  <c r="AW434" i="1"/>
  <c r="P434" i="1"/>
  <c r="AY433" i="1"/>
  <c r="AX433" i="1"/>
  <c r="AW433" i="1"/>
  <c r="P433" i="1"/>
  <c r="AY432" i="1"/>
  <c r="AX432" i="1"/>
  <c r="AW432" i="1"/>
  <c r="P432" i="1"/>
  <c r="AY431" i="1"/>
  <c r="AX431" i="1"/>
  <c r="AW431" i="1"/>
  <c r="P431" i="1"/>
  <c r="AY430" i="1"/>
  <c r="AX430" i="1"/>
  <c r="AW430" i="1"/>
  <c r="P430" i="1"/>
  <c r="AY429" i="1"/>
  <c r="AX429" i="1"/>
  <c r="AW429" i="1"/>
  <c r="P429" i="1"/>
  <c r="AY428" i="1"/>
  <c r="AX428" i="1"/>
  <c r="AW428" i="1"/>
  <c r="P428" i="1"/>
  <c r="AY427" i="1"/>
  <c r="AX427" i="1"/>
  <c r="AW427" i="1"/>
  <c r="P427" i="1"/>
  <c r="AY426" i="1"/>
  <c r="AX426" i="1"/>
  <c r="AW426" i="1"/>
  <c r="P426" i="1"/>
  <c r="AY425" i="1"/>
  <c r="AX425" i="1"/>
  <c r="AW425" i="1"/>
  <c r="P425" i="1"/>
  <c r="AY424" i="1"/>
  <c r="AX424" i="1"/>
  <c r="AW424" i="1"/>
  <c r="P424" i="1"/>
  <c r="AY423" i="1"/>
  <c r="AX423" i="1"/>
  <c r="AW423" i="1"/>
  <c r="P423" i="1"/>
  <c r="AY422" i="1"/>
  <c r="AX422" i="1"/>
  <c r="AW422" i="1"/>
  <c r="P422" i="1"/>
  <c r="AY421" i="1"/>
  <c r="AX421" i="1"/>
  <c r="AW421" i="1"/>
  <c r="P421" i="1"/>
  <c r="AY420" i="1"/>
  <c r="AX420" i="1"/>
  <c r="AW420" i="1"/>
  <c r="P420" i="1"/>
  <c r="AY419" i="1"/>
  <c r="AX419" i="1"/>
  <c r="AW419" i="1"/>
  <c r="P419" i="1"/>
  <c r="AY418" i="1"/>
  <c r="AX418" i="1"/>
  <c r="AW418" i="1"/>
  <c r="P418" i="1"/>
  <c r="AY417" i="1"/>
  <c r="AX417" i="1"/>
  <c r="AW417" i="1"/>
  <c r="P417" i="1"/>
  <c r="AY416" i="1"/>
  <c r="AX416" i="1"/>
  <c r="AW416" i="1"/>
  <c r="P416" i="1"/>
  <c r="AY415" i="1"/>
  <c r="AX415" i="1"/>
  <c r="AW415" i="1"/>
  <c r="P415" i="1"/>
  <c r="AY414" i="1"/>
  <c r="AX414" i="1"/>
  <c r="AW414" i="1"/>
  <c r="P414" i="1"/>
  <c r="AY413" i="1"/>
  <c r="AX413" i="1"/>
  <c r="AW413" i="1"/>
  <c r="P413" i="1"/>
  <c r="AY412" i="1"/>
  <c r="AX412" i="1"/>
  <c r="AW412" i="1"/>
  <c r="P412" i="1"/>
  <c r="AY411" i="1"/>
  <c r="AX411" i="1"/>
  <c r="AW411" i="1"/>
  <c r="P411" i="1"/>
  <c r="AY410" i="1"/>
  <c r="AX410" i="1"/>
  <c r="AW410" i="1"/>
  <c r="P410" i="1"/>
  <c r="AY409" i="1"/>
  <c r="AX409" i="1"/>
  <c r="AW409" i="1"/>
  <c r="P409" i="1"/>
  <c r="AY408" i="1"/>
  <c r="AX408" i="1"/>
  <c r="AW408" i="1"/>
  <c r="P408" i="1"/>
  <c r="AY407" i="1"/>
  <c r="AX407" i="1"/>
  <c r="AW407" i="1"/>
  <c r="P407" i="1"/>
  <c r="AY406" i="1"/>
  <c r="AX406" i="1"/>
  <c r="AW406" i="1"/>
  <c r="P406" i="1"/>
  <c r="AY405" i="1"/>
  <c r="AX405" i="1"/>
  <c r="AW405" i="1"/>
  <c r="P405" i="1"/>
  <c r="AY404" i="1"/>
  <c r="AX404" i="1"/>
  <c r="AW404" i="1"/>
  <c r="P404" i="1"/>
  <c r="AY403" i="1"/>
  <c r="AX403" i="1"/>
  <c r="AW403" i="1"/>
  <c r="P403" i="1"/>
  <c r="AY402" i="1"/>
  <c r="AX402" i="1"/>
  <c r="AW402" i="1"/>
  <c r="P402" i="1"/>
  <c r="AY401" i="1"/>
  <c r="AX401" i="1"/>
  <c r="AW401" i="1"/>
  <c r="P401" i="1"/>
  <c r="AY400" i="1"/>
  <c r="AX400" i="1"/>
  <c r="AW400" i="1"/>
  <c r="P400" i="1"/>
  <c r="AY399" i="1"/>
  <c r="AX399" i="1"/>
  <c r="AW399" i="1"/>
  <c r="P399" i="1"/>
  <c r="AY398" i="1"/>
  <c r="AX398" i="1"/>
  <c r="AW398" i="1"/>
  <c r="P398" i="1"/>
  <c r="AY397" i="1"/>
  <c r="AX397" i="1"/>
  <c r="AW397" i="1"/>
  <c r="P397" i="1"/>
  <c r="AY396" i="1"/>
  <c r="AX396" i="1"/>
  <c r="AW396" i="1"/>
  <c r="P396" i="1"/>
  <c r="AY395" i="1"/>
  <c r="AX395" i="1"/>
  <c r="AW395" i="1"/>
  <c r="P395" i="1"/>
  <c r="AY394" i="1"/>
  <c r="AX394" i="1"/>
  <c r="AW394" i="1"/>
  <c r="P394" i="1"/>
  <c r="AY393" i="1"/>
  <c r="AX393" i="1"/>
  <c r="AW393" i="1"/>
  <c r="P393" i="1"/>
  <c r="AY392" i="1"/>
  <c r="AX392" i="1"/>
  <c r="AW392" i="1"/>
  <c r="P392" i="1"/>
  <c r="AY391" i="1"/>
  <c r="AX391" i="1"/>
  <c r="AW391" i="1"/>
  <c r="P391" i="1"/>
  <c r="AY390" i="1"/>
  <c r="AX390" i="1"/>
  <c r="AW390" i="1"/>
  <c r="P390" i="1"/>
  <c r="AY389" i="1"/>
  <c r="AX389" i="1"/>
  <c r="AW389" i="1"/>
  <c r="P389" i="1"/>
  <c r="AY388" i="1"/>
  <c r="AX388" i="1"/>
  <c r="AW388" i="1"/>
  <c r="P388" i="1"/>
  <c r="AY387" i="1"/>
  <c r="AX387" i="1"/>
  <c r="AW387" i="1"/>
  <c r="P387" i="1"/>
  <c r="AY386" i="1"/>
  <c r="AX386" i="1"/>
  <c r="AW386" i="1"/>
  <c r="P386" i="1"/>
  <c r="AY385" i="1"/>
  <c r="AX385" i="1"/>
  <c r="AW385" i="1"/>
  <c r="P385" i="1"/>
  <c r="AY384" i="1"/>
  <c r="AX384" i="1"/>
  <c r="AW384" i="1"/>
  <c r="P384" i="1"/>
  <c r="AY383" i="1"/>
  <c r="AX383" i="1"/>
  <c r="AW383" i="1"/>
  <c r="P383" i="1"/>
  <c r="AY382" i="1"/>
  <c r="AX382" i="1"/>
  <c r="AW382" i="1"/>
  <c r="P382" i="1"/>
  <c r="AY381" i="1"/>
  <c r="AX381" i="1"/>
  <c r="AW381" i="1"/>
  <c r="P381" i="1"/>
  <c r="AY380" i="1"/>
  <c r="AX380" i="1"/>
  <c r="AW380" i="1"/>
  <c r="P380" i="1"/>
  <c r="AY379" i="1"/>
  <c r="AX379" i="1"/>
  <c r="AW379" i="1"/>
  <c r="P379" i="1"/>
  <c r="AY378" i="1"/>
  <c r="AX378" i="1"/>
  <c r="AW378" i="1"/>
  <c r="P378" i="1"/>
  <c r="AY377" i="1"/>
  <c r="AX377" i="1"/>
  <c r="AW377" i="1"/>
  <c r="P377" i="1"/>
  <c r="AY376" i="1"/>
  <c r="AX376" i="1"/>
  <c r="AW376" i="1"/>
  <c r="P376" i="1"/>
  <c r="AY375" i="1"/>
  <c r="AX375" i="1"/>
  <c r="AW375" i="1"/>
  <c r="P375" i="1"/>
  <c r="AY374" i="1"/>
  <c r="AX374" i="1"/>
  <c r="AW374" i="1"/>
  <c r="P374" i="1"/>
  <c r="AY373" i="1"/>
  <c r="AX373" i="1"/>
  <c r="AW373" i="1"/>
  <c r="P373" i="1"/>
  <c r="AY372" i="1"/>
  <c r="AX372" i="1"/>
  <c r="AW372" i="1"/>
  <c r="P372" i="1"/>
  <c r="AY371" i="1"/>
  <c r="AX371" i="1"/>
  <c r="AW371" i="1"/>
  <c r="P371" i="1"/>
  <c r="AY370" i="1"/>
  <c r="AX370" i="1"/>
  <c r="AW370" i="1"/>
  <c r="P370" i="1"/>
  <c r="AY369" i="1"/>
  <c r="AX369" i="1"/>
  <c r="AW369" i="1"/>
  <c r="P369" i="1"/>
  <c r="AY368" i="1"/>
  <c r="AX368" i="1"/>
  <c r="AW368" i="1"/>
  <c r="P368" i="1"/>
  <c r="AY367" i="1"/>
  <c r="AX367" i="1"/>
  <c r="AW367" i="1"/>
  <c r="P367" i="1"/>
  <c r="AY366" i="1"/>
  <c r="AX366" i="1"/>
  <c r="AW366" i="1"/>
  <c r="P366" i="1"/>
  <c r="AY365" i="1"/>
  <c r="AX365" i="1"/>
  <c r="AW365" i="1"/>
  <c r="P365" i="1"/>
  <c r="AY364" i="1"/>
  <c r="AX364" i="1"/>
  <c r="AW364" i="1"/>
  <c r="P364" i="1"/>
  <c r="AY363" i="1"/>
  <c r="AX363" i="1"/>
  <c r="AW363" i="1"/>
  <c r="P363" i="1"/>
  <c r="AY362" i="1"/>
  <c r="AX362" i="1"/>
  <c r="AW362" i="1"/>
  <c r="P362" i="1"/>
  <c r="AY361" i="1"/>
  <c r="AX361" i="1"/>
  <c r="AW361" i="1"/>
  <c r="P361" i="1"/>
  <c r="AY360" i="1"/>
  <c r="AX360" i="1"/>
  <c r="AW360" i="1"/>
  <c r="P360" i="1"/>
  <c r="AY359" i="1"/>
  <c r="AX359" i="1"/>
  <c r="AW359" i="1"/>
  <c r="P359" i="1"/>
  <c r="AY358" i="1"/>
  <c r="AX358" i="1"/>
  <c r="AW358" i="1"/>
  <c r="P358" i="1"/>
  <c r="AY357" i="1"/>
  <c r="AX357" i="1"/>
  <c r="AW357" i="1"/>
  <c r="P357" i="1"/>
  <c r="AY356" i="1"/>
  <c r="AX356" i="1"/>
  <c r="AW356" i="1"/>
  <c r="P356" i="1"/>
  <c r="AY355" i="1"/>
  <c r="AX355" i="1"/>
  <c r="AW355" i="1"/>
  <c r="P355" i="1"/>
  <c r="AY354" i="1"/>
  <c r="AX354" i="1"/>
  <c r="AW354" i="1"/>
  <c r="P354" i="1"/>
  <c r="AY353" i="1"/>
  <c r="AX353" i="1"/>
  <c r="AW353" i="1"/>
  <c r="P353" i="1"/>
  <c r="AY352" i="1"/>
  <c r="AX352" i="1"/>
  <c r="AW352" i="1"/>
  <c r="P352" i="1"/>
  <c r="AY351" i="1"/>
  <c r="AX351" i="1"/>
  <c r="AW351" i="1"/>
  <c r="P351" i="1"/>
  <c r="AY350" i="1"/>
  <c r="AX350" i="1"/>
  <c r="AW350" i="1"/>
  <c r="P350" i="1"/>
  <c r="AY349" i="1"/>
  <c r="AX349" i="1"/>
  <c r="AW349" i="1"/>
  <c r="P349" i="1"/>
  <c r="AY348" i="1"/>
  <c r="AX348" i="1"/>
  <c r="AW348" i="1"/>
  <c r="P348" i="1"/>
  <c r="AY347" i="1"/>
  <c r="AX347" i="1"/>
  <c r="AW347" i="1"/>
  <c r="P347" i="1"/>
  <c r="AY346" i="1"/>
  <c r="AX346" i="1"/>
  <c r="AW346" i="1"/>
  <c r="P346" i="1"/>
  <c r="AY345" i="1"/>
  <c r="AX345" i="1"/>
  <c r="AW345" i="1"/>
  <c r="P345" i="1"/>
  <c r="AY344" i="1"/>
  <c r="AX344" i="1"/>
  <c r="AW344" i="1"/>
  <c r="P344" i="1"/>
  <c r="AY343" i="1"/>
  <c r="AX343" i="1"/>
  <c r="AW343" i="1"/>
  <c r="P343" i="1"/>
  <c r="AY342" i="1"/>
  <c r="AX342" i="1"/>
  <c r="AW342" i="1"/>
  <c r="P342" i="1"/>
  <c r="AY341" i="1"/>
  <c r="AX341" i="1"/>
  <c r="AW341" i="1"/>
  <c r="P341" i="1"/>
  <c r="AY340" i="1"/>
  <c r="AX340" i="1"/>
  <c r="AW340" i="1"/>
  <c r="P340" i="1"/>
  <c r="AY339" i="1"/>
  <c r="AX339" i="1"/>
  <c r="AW339" i="1"/>
  <c r="P339" i="1"/>
  <c r="AY338" i="1"/>
  <c r="AX338" i="1"/>
  <c r="AW338" i="1"/>
  <c r="P338" i="1"/>
  <c r="AY337" i="1"/>
  <c r="AX337" i="1"/>
  <c r="AW337" i="1"/>
  <c r="P337" i="1"/>
  <c r="AY336" i="1"/>
  <c r="AX336" i="1"/>
  <c r="AW336" i="1"/>
  <c r="P336" i="1"/>
  <c r="AY335" i="1"/>
  <c r="AX335" i="1"/>
  <c r="AW335" i="1"/>
  <c r="P335" i="1"/>
  <c r="AY334" i="1"/>
  <c r="AX334" i="1"/>
  <c r="AW334" i="1"/>
  <c r="P334" i="1"/>
  <c r="AY333" i="1"/>
  <c r="AX333" i="1"/>
  <c r="AW333" i="1"/>
  <c r="P333" i="1"/>
  <c r="AY332" i="1"/>
  <c r="AX332" i="1"/>
  <c r="AW332" i="1"/>
  <c r="P332" i="1"/>
  <c r="AY331" i="1"/>
  <c r="AX331" i="1"/>
  <c r="AW331" i="1"/>
  <c r="P331" i="1"/>
  <c r="AY330" i="1"/>
  <c r="AX330" i="1"/>
  <c r="AW330" i="1"/>
  <c r="P330" i="1"/>
  <c r="AY329" i="1"/>
  <c r="AX329" i="1"/>
  <c r="AW329" i="1"/>
  <c r="P329" i="1"/>
  <c r="AY328" i="1"/>
  <c r="AX328" i="1"/>
  <c r="AW328" i="1"/>
  <c r="P328" i="1"/>
  <c r="AY327" i="1"/>
  <c r="AX327" i="1"/>
  <c r="AW327" i="1"/>
  <c r="P327" i="1"/>
  <c r="AY326" i="1"/>
  <c r="AX326" i="1"/>
  <c r="AW326" i="1"/>
  <c r="P326" i="1"/>
  <c r="AY325" i="1"/>
  <c r="AX325" i="1"/>
  <c r="AW325" i="1"/>
  <c r="P325" i="1"/>
  <c r="AY324" i="1"/>
  <c r="AX324" i="1"/>
  <c r="AW324" i="1"/>
  <c r="P324" i="1"/>
  <c r="AY323" i="1"/>
  <c r="AX323" i="1"/>
  <c r="AW323" i="1"/>
  <c r="P323" i="1"/>
  <c r="AY322" i="1"/>
  <c r="AX322" i="1"/>
  <c r="AW322" i="1"/>
  <c r="P322" i="1"/>
  <c r="AY321" i="1"/>
  <c r="AX321" i="1"/>
  <c r="AW321" i="1"/>
  <c r="P321" i="1"/>
  <c r="AY320" i="1"/>
  <c r="AX320" i="1"/>
  <c r="AW320" i="1"/>
  <c r="P320" i="1"/>
  <c r="AY319" i="1"/>
  <c r="AX319" i="1"/>
  <c r="AW319" i="1"/>
  <c r="P319" i="1"/>
  <c r="AY318" i="1"/>
  <c r="AX318" i="1"/>
  <c r="AW318" i="1"/>
  <c r="P318" i="1"/>
  <c r="AY317" i="1"/>
  <c r="AX317" i="1"/>
  <c r="AW317" i="1"/>
  <c r="P317" i="1"/>
  <c r="AY316" i="1"/>
  <c r="AX316" i="1"/>
  <c r="AW316" i="1"/>
  <c r="P316" i="1"/>
  <c r="AY315" i="1"/>
  <c r="AX315" i="1"/>
  <c r="AW315" i="1"/>
  <c r="P315" i="1"/>
  <c r="AY314" i="1"/>
  <c r="AX314" i="1"/>
  <c r="AW314" i="1"/>
  <c r="P314" i="1"/>
  <c r="AY313" i="1"/>
  <c r="AX313" i="1"/>
  <c r="AW313" i="1"/>
  <c r="P313" i="1"/>
  <c r="AY312" i="1"/>
  <c r="AX312" i="1"/>
  <c r="AW312" i="1"/>
  <c r="P312" i="1"/>
  <c r="AY311" i="1"/>
  <c r="AX311" i="1"/>
  <c r="AW311" i="1"/>
  <c r="P311" i="1"/>
  <c r="AY310" i="1"/>
  <c r="AX310" i="1"/>
  <c r="AW310" i="1"/>
  <c r="P310" i="1"/>
  <c r="AY309" i="1"/>
  <c r="AX309" i="1"/>
  <c r="AW309" i="1"/>
  <c r="P309" i="1"/>
  <c r="AY308" i="1"/>
  <c r="AX308" i="1"/>
  <c r="AW308" i="1"/>
  <c r="P308" i="1"/>
  <c r="AY307" i="1"/>
  <c r="AX307" i="1"/>
  <c r="AW307" i="1"/>
  <c r="P307" i="1"/>
  <c r="AY306" i="1"/>
  <c r="AX306" i="1"/>
  <c r="AW306" i="1"/>
  <c r="P306" i="1"/>
  <c r="AY305" i="1"/>
  <c r="AX305" i="1"/>
  <c r="AW305" i="1"/>
  <c r="P305" i="1"/>
  <c r="AY304" i="1"/>
  <c r="AX304" i="1"/>
  <c r="AW304" i="1"/>
  <c r="P304" i="1"/>
  <c r="AY303" i="1"/>
  <c r="AX303" i="1"/>
  <c r="AW303" i="1"/>
  <c r="P303" i="1"/>
  <c r="AY302" i="1"/>
  <c r="AX302" i="1"/>
  <c r="AW302" i="1"/>
  <c r="P302" i="1"/>
  <c r="AY301" i="1"/>
  <c r="AX301" i="1"/>
  <c r="AW301" i="1"/>
  <c r="P301" i="1"/>
  <c r="AY300" i="1"/>
  <c r="AX300" i="1"/>
  <c r="AW300" i="1"/>
  <c r="P300" i="1"/>
  <c r="AY299" i="1"/>
  <c r="AX299" i="1"/>
  <c r="AW299" i="1"/>
  <c r="P299" i="1"/>
  <c r="AY298" i="1"/>
  <c r="AX298" i="1"/>
  <c r="AW298" i="1"/>
  <c r="P298" i="1"/>
  <c r="AY297" i="1"/>
  <c r="AX297" i="1"/>
  <c r="AW297" i="1"/>
  <c r="P297" i="1"/>
  <c r="AY296" i="1"/>
  <c r="AX296" i="1"/>
  <c r="AW296" i="1"/>
  <c r="P296" i="1"/>
  <c r="AY295" i="1"/>
  <c r="AX295" i="1"/>
  <c r="AW295" i="1"/>
  <c r="P295" i="1"/>
  <c r="AY294" i="1"/>
  <c r="AX294" i="1"/>
  <c r="AW294" i="1"/>
  <c r="P294" i="1"/>
  <c r="AY293" i="1"/>
  <c r="AX293" i="1"/>
  <c r="AW293" i="1"/>
  <c r="P293" i="1"/>
  <c r="AY292" i="1"/>
  <c r="AX292" i="1"/>
  <c r="AW292" i="1"/>
  <c r="P292" i="1"/>
  <c r="AY291" i="1"/>
  <c r="AX291" i="1"/>
  <c r="AW291" i="1"/>
  <c r="P291" i="1"/>
  <c r="AY290" i="1"/>
  <c r="AX290" i="1"/>
  <c r="AW290" i="1"/>
  <c r="P290" i="1"/>
  <c r="AY289" i="1"/>
  <c r="AX289" i="1"/>
  <c r="AW289" i="1"/>
  <c r="P289" i="1"/>
  <c r="AY288" i="1"/>
  <c r="AX288" i="1"/>
  <c r="AW288" i="1"/>
  <c r="P288" i="1"/>
  <c r="AY287" i="1"/>
  <c r="AX287" i="1"/>
  <c r="AW287" i="1"/>
  <c r="P287" i="1"/>
  <c r="AY286" i="1"/>
  <c r="AX286" i="1"/>
  <c r="AW286" i="1"/>
  <c r="P286" i="1"/>
  <c r="AY285" i="1"/>
  <c r="AX285" i="1"/>
  <c r="AW285" i="1"/>
  <c r="P285" i="1"/>
  <c r="AY284" i="1"/>
  <c r="AX284" i="1"/>
  <c r="AW284" i="1"/>
  <c r="P284" i="1"/>
  <c r="AY283" i="1"/>
  <c r="AX283" i="1"/>
  <c r="AW283" i="1"/>
  <c r="P283" i="1"/>
  <c r="AY282" i="1"/>
  <c r="AX282" i="1"/>
  <c r="AW282" i="1"/>
  <c r="P282" i="1"/>
  <c r="AY281" i="1"/>
  <c r="AX281" i="1"/>
  <c r="AW281" i="1"/>
  <c r="P281" i="1"/>
  <c r="AY280" i="1"/>
  <c r="AX280" i="1"/>
  <c r="AW280" i="1"/>
  <c r="P280" i="1"/>
  <c r="AY279" i="1"/>
  <c r="AX279" i="1"/>
  <c r="AW279" i="1"/>
  <c r="P279" i="1"/>
  <c r="AY278" i="1"/>
  <c r="AX278" i="1"/>
  <c r="AW278" i="1"/>
  <c r="P278" i="1"/>
  <c r="AY277" i="1"/>
  <c r="AX277" i="1"/>
  <c r="AW277" i="1"/>
  <c r="P277" i="1"/>
  <c r="AY276" i="1"/>
  <c r="AX276" i="1"/>
  <c r="AW276" i="1"/>
  <c r="P276" i="1"/>
  <c r="AY275" i="1"/>
  <c r="AX275" i="1"/>
  <c r="AW275" i="1"/>
  <c r="P275" i="1"/>
  <c r="AY274" i="1"/>
  <c r="AX274" i="1"/>
  <c r="AW274" i="1"/>
  <c r="P274" i="1"/>
  <c r="AY273" i="1"/>
  <c r="AX273" i="1"/>
  <c r="AW273" i="1"/>
  <c r="P273" i="1"/>
  <c r="AY272" i="1"/>
  <c r="AX272" i="1"/>
  <c r="AW272" i="1"/>
  <c r="P272" i="1"/>
  <c r="AY271" i="1"/>
  <c r="AX271" i="1"/>
  <c r="AW271" i="1"/>
  <c r="P271" i="1"/>
  <c r="AY270" i="1"/>
  <c r="AX270" i="1"/>
  <c r="AW270" i="1"/>
  <c r="P270" i="1"/>
  <c r="AY269" i="1"/>
  <c r="AX269" i="1"/>
  <c r="AW269" i="1"/>
  <c r="P269" i="1"/>
  <c r="AY268" i="1"/>
  <c r="AX268" i="1"/>
  <c r="AW268" i="1"/>
  <c r="P268" i="1"/>
  <c r="AY267" i="1"/>
  <c r="AX267" i="1"/>
  <c r="AW267" i="1"/>
  <c r="P267" i="1"/>
  <c r="AY266" i="1"/>
  <c r="AX266" i="1"/>
  <c r="AW266" i="1"/>
  <c r="P266" i="1"/>
  <c r="AY265" i="1"/>
  <c r="AX265" i="1"/>
  <c r="AW265" i="1"/>
  <c r="P265" i="1"/>
  <c r="AY264" i="1"/>
  <c r="AX264" i="1"/>
  <c r="AW264" i="1"/>
  <c r="P264" i="1"/>
  <c r="AY263" i="1"/>
  <c r="AX263" i="1"/>
  <c r="AW263" i="1"/>
  <c r="P263" i="1"/>
  <c r="AY262" i="1"/>
  <c r="AX262" i="1"/>
  <c r="AW262" i="1"/>
  <c r="P262" i="1"/>
  <c r="AY261" i="1"/>
  <c r="AX261" i="1"/>
  <c r="AW261" i="1"/>
  <c r="P261" i="1"/>
  <c r="AY260" i="1"/>
  <c r="AX260" i="1"/>
  <c r="AW260" i="1"/>
  <c r="P260" i="1"/>
  <c r="AY259" i="1"/>
  <c r="AX259" i="1"/>
  <c r="AW259" i="1"/>
  <c r="P259" i="1"/>
  <c r="AY258" i="1"/>
  <c r="AX258" i="1"/>
  <c r="AW258" i="1"/>
  <c r="P258" i="1"/>
  <c r="AY257" i="1"/>
  <c r="AX257" i="1"/>
  <c r="AW257" i="1"/>
  <c r="P257" i="1"/>
  <c r="AY256" i="1"/>
  <c r="AX256" i="1"/>
  <c r="AW256" i="1"/>
  <c r="P256" i="1"/>
  <c r="AY255" i="1"/>
  <c r="AX255" i="1"/>
  <c r="AW255" i="1"/>
  <c r="P255" i="1"/>
  <c r="AY254" i="1"/>
  <c r="AX254" i="1"/>
  <c r="AW254" i="1"/>
  <c r="P254" i="1"/>
  <c r="AY253" i="1"/>
  <c r="AX253" i="1"/>
  <c r="AW253" i="1"/>
  <c r="P253" i="1"/>
  <c r="AY252" i="1"/>
  <c r="AX252" i="1"/>
  <c r="AW252" i="1"/>
  <c r="P252" i="1"/>
  <c r="AY251" i="1"/>
  <c r="AX251" i="1"/>
  <c r="AW251" i="1"/>
  <c r="P251" i="1"/>
  <c r="AY250" i="1"/>
  <c r="AX250" i="1"/>
  <c r="AW250" i="1"/>
  <c r="P250" i="1"/>
  <c r="AY249" i="1"/>
  <c r="AX249" i="1"/>
  <c r="AW249" i="1"/>
  <c r="P249" i="1"/>
  <c r="AY248" i="1"/>
  <c r="AX248" i="1"/>
  <c r="AW248" i="1"/>
  <c r="P248" i="1"/>
  <c r="AY247" i="1"/>
  <c r="AX247" i="1"/>
  <c r="AW247" i="1"/>
  <c r="P247" i="1"/>
  <c r="AY246" i="1"/>
  <c r="AX246" i="1"/>
  <c r="AW246" i="1"/>
  <c r="P246" i="1"/>
  <c r="AY245" i="1"/>
  <c r="AX245" i="1"/>
  <c r="AW245" i="1"/>
  <c r="P245" i="1"/>
  <c r="AY244" i="1"/>
  <c r="AX244" i="1"/>
  <c r="AW244" i="1"/>
  <c r="P244" i="1"/>
  <c r="AY243" i="1"/>
  <c r="AX243" i="1"/>
  <c r="AW243" i="1"/>
  <c r="P243" i="1"/>
  <c r="AY242" i="1"/>
  <c r="AX242" i="1"/>
  <c r="AW242" i="1"/>
  <c r="P242" i="1"/>
  <c r="AY241" i="1"/>
  <c r="AX241" i="1"/>
  <c r="AW241" i="1"/>
  <c r="P241" i="1"/>
  <c r="AY240" i="1"/>
  <c r="AX240" i="1"/>
  <c r="AW240" i="1"/>
  <c r="P240" i="1"/>
  <c r="AY239" i="1"/>
  <c r="AX239" i="1"/>
  <c r="AW239" i="1"/>
  <c r="P239" i="1"/>
  <c r="AY238" i="1"/>
  <c r="AX238" i="1"/>
  <c r="AW238" i="1"/>
  <c r="P238" i="1"/>
  <c r="AY237" i="1"/>
  <c r="AX237" i="1"/>
  <c r="AW237" i="1"/>
  <c r="P237" i="1"/>
  <c r="AY236" i="1"/>
  <c r="AX236" i="1"/>
  <c r="AW236" i="1"/>
  <c r="P236" i="1"/>
  <c r="AY235" i="1"/>
  <c r="AX235" i="1"/>
  <c r="AW235" i="1"/>
  <c r="P235" i="1"/>
  <c r="AY234" i="1"/>
  <c r="AX234" i="1"/>
  <c r="AW234" i="1"/>
  <c r="P234" i="1"/>
  <c r="AY233" i="1"/>
  <c r="AX233" i="1"/>
  <c r="AW233" i="1"/>
  <c r="P233" i="1"/>
  <c r="AY232" i="1"/>
  <c r="AX232" i="1"/>
  <c r="AW232" i="1"/>
  <c r="P232" i="1"/>
  <c r="AY231" i="1"/>
  <c r="AX231" i="1"/>
  <c r="AW231" i="1"/>
  <c r="P231" i="1"/>
  <c r="AY230" i="1"/>
  <c r="AX230" i="1"/>
  <c r="AW230" i="1"/>
  <c r="P230" i="1"/>
  <c r="AY229" i="1"/>
  <c r="AX229" i="1"/>
  <c r="AW229" i="1"/>
  <c r="P229" i="1"/>
  <c r="AY228" i="1"/>
  <c r="AX228" i="1"/>
  <c r="AW228" i="1"/>
  <c r="P228" i="1"/>
  <c r="AY227" i="1"/>
  <c r="AX227" i="1"/>
  <c r="AW227" i="1"/>
  <c r="P227" i="1"/>
  <c r="AY226" i="1"/>
  <c r="AX226" i="1"/>
  <c r="AW226" i="1"/>
  <c r="P226" i="1"/>
  <c r="AY225" i="1"/>
  <c r="AX225" i="1"/>
  <c r="AW225" i="1"/>
  <c r="P225" i="1"/>
  <c r="AY224" i="1"/>
  <c r="AX224" i="1"/>
  <c r="AW224" i="1"/>
  <c r="P224" i="1"/>
  <c r="AY223" i="1"/>
  <c r="AX223" i="1"/>
  <c r="AW223" i="1"/>
  <c r="P223" i="1"/>
  <c r="AY222" i="1"/>
  <c r="AX222" i="1"/>
  <c r="AW222" i="1"/>
  <c r="P222" i="1"/>
  <c r="AY221" i="1"/>
  <c r="AX221" i="1"/>
  <c r="AW221" i="1"/>
  <c r="P221" i="1"/>
  <c r="AY220" i="1"/>
  <c r="AX220" i="1"/>
  <c r="AW220" i="1"/>
  <c r="P220" i="1"/>
  <c r="AY219" i="1"/>
  <c r="AX219" i="1"/>
  <c r="AW219" i="1"/>
  <c r="P219" i="1"/>
  <c r="AY218" i="1"/>
  <c r="AX218" i="1"/>
  <c r="AW218" i="1"/>
  <c r="P218" i="1"/>
  <c r="AY217" i="1"/>
  <c r="AX217" i="1"/>
  <c r="AW217" i="1"/>
  <c r="P217" i="1"/>
  <c r="AY216" i="1"/>
  <c r="AX216" i="1"/>
  <c r="AW216" i="1"/>
  <c r="P216" i="1"/>
  <c r="AY215" i="1"/>
  <c r="AX215" i="1"/>
  <c r="AW215" i="1"/>
  <c r="P215" i="1"/>
  <c r="AY214" i="1"/>
  <c r="AX214" i="1"/>
  <c r="AW214" i="1"/>
  <c r="P214" i="1"/>
  <c r="AY213" i="1"/>
  <c r="AX213" i="1"/>
  <c r="AW213" i="1"/>
  <c r="P213" i="1"/>
  <c r="AY212" i="1"/>
  <c r="AX212" i="1"/>
  <c r="AW212" i="1"/>
  <c r="P212" i="1"/>
  <c r="AY211" i="1"/>
  <c r="AX211" i="1"/>
  <c r="AW211" i="1"/>
  <c r="P211" i="1"/>
  <c r="AY210" i="1"/>
  <c r="AX210" i="1"/>
  <c r="AW210" i="1"/>
  <c r="P210" i="1"/>
  <c r="AY209" i="1"/>
  <c r="AX209" i="1"/>
  <c r="AW209" i="1"/>
  <c r="P209" i="1"/>
  <c r="AY208" i="1"/>
  <c r="AX208" i="1"/>
  <c r="AW208" i="1"/>
  <c r="P208" i="1"/>
  <c r="AY207" i="1"/>
  <c r="AX207" i="1"/>
  <c r="AW207" i="1"/>
  <c r="P207" i="1"/>
  <c r="AY206" i="1"/>
  <c r="AX206" i="1"/>
  <c r="AW206" i="1"/>
  <c r="P206" i="1"/>
  <c r="AY205" i="1"/>
  <c r="AX205" i="1"/>
  <c r="AW205" i="1"/>
  <c r="P205" i="1"/>
  <c r="AY204" i="1"/>
  <c r="AX204" i="1"/>
  <c r="AW204" i="1"/>
  <c r="P204" i="1"/>
  <c r="AY203" i="1"/>
  <c r="AX203" i="1"/>
  <c r="AW203" i="1"/>
  <c r="P203" i="1"/>
  <c r="AY202" i="1"/>
  <c r="AX202" i="1"/>
  <c r="AW202" i="1"/>
  <c r="P202" i="1"/>
  <c r="AY201" i="1"/>
  <c r="AX201" i="1"/>
  <c r="AW201" i="1"/>
  <c r="P201" i="1"/>
  <c r="AY200" i="1"/>
  <c r="AX200" i="1"/>
  <c r="AW200" i="1"/>
  <c r="P200" i="1"/>
  <c r="AY199" i="1"/>
  <c r="AX199" i="1"/>
  <c r="AW199" i="1"/>
  <c r="P199" i="1"/>
  <c r="AY198" i="1"/>
  <c r="AX198" i="1"/>
  <c r="AW198" i="1"/>
  <c r="P198" i="1"/>
  <c r="AY197" i="1"/>
  <c r="AX197" i="1"/>
  <c r="AW197" i="1"/>
  <c r="P197" i="1"/>
  <c r="AY196" i="1"/>
  <c r="AX196" i="1"/>
  <c r="AW196" i="1"/>
  <c r="P196" i="1"/>
  <c r="AY195" i="1"/>
  <c r="AX195" i="1"/>
  <c r="AW195" i="1"/>
  <c r="P195" i="1"/>
  <c r="AY194" i="1"/>
  <c r="AX194" i="1"/>
  <c r="AW194" i="1"/>
  <c r="P194" i="1"/>
  <c r="AY193" i="1"/>
  <c r="AX193" i="1"/>
  <c r="AW193" i="1"/>
  <c r="P193" i="1"/>
  <c r="AY192" i="1"/>
  <c r="AX192" i="1"/>
  <c r="AW192" i="1"/>
  <c r="P192" i="1"/>
  <c r="AY191" i="1"/>
  <c r="AX191" i="1"/>
  <c r="AW191" i="1"/>
  <c r="P191" i="1"/>
  <c r="AY190" i="1"/>
  <c r="AX190" i="1"/>
  <c r="AW190" i="1"/>
  <c r="P190" i="1"/>
  <c r="AY189" i="1"/>
  <c r="AX189" i="1"/>
  <c r="AW189" i="1"/>
  <c r="P189" i="1"/>
  <c r="AY188" i="1"/>
  <c r="AX188" i="1"/>
  <c r="AW188" i="1"/>
  <c r="P188" i="1"/>
  <c r="AY187" i="1"/>
  <c r="AX187" i="1"/>
  <c r="AW187" i="1"/>
  <c r="P187" i="1"/>
  <c r="AY186" i="1"/>
  <c r="AX186" i="1"/>
  <c r="AW186" i="1"/>
  <c r="P186" i="1"/>
  <c r="AY185" i="1"/>
  <c r="AX185" i="1"/>
  <c r="AW185" i="1"/>
  <c r="P185" i="1"/>
  <c r="AY184" i="1"/>
  <c r="AX184" i="1"/>
  <c r="AW184" i="1"/>
  <c r="P184" i="1"/>
  <c r="AY183" i="1"/>
  <c r="AX183" i="1"/>
  <c r="AW183" i="1"/>
  <c r="P183" i="1"/>
  <c r="AY182" i="1"/>
  <c r="AX182" i="1"/>
  <c r="AW182" i="1"/>
  <c r="P182" i="1"/>
  <c r="AY181" i="1"/>
  <c r="AX181" i="1"/>
  <c r="AW181" i="1"/>
  <c r="P181" i="1"/>
  <c r="AY180" i="1"/>
  <c r="AX180" i="1"/>
  <c r="AW180" i="1"/>
  <c r="P180" i="1"/>
  <c r="AY179" i="1"/>
  <c r="AX179" i="1"/>
  <c r="AW179" i="1"/>
  <c r="P179" i="1"/>
  <c r="AY178" i="1"/>
  <c r="AX178" i="1"/>
  <c r="AW178" i="1"/>
  <c r="P178" i="1"/>
  <c r="AY177" i="1"/>
  <c r="AX177" i="1"/>
  <c r="AW177" i="1"/>
  <c r="P177" i="1"/>
  <c r="AY176" i="1"/>
  <c r="AX176" i="1"/>
  <c r="AW176" i="1"/>
  <c r="P176" i="1"/>
  <c r="AY175" i="1"/>
  <c r="AX175" i="1"/>
  <c r="AW175" i="1"/>
  <c r="P175" i="1"/>
  <c r="AY174" i="1"/>
  <c r="AX174" i="1"/>
  <c r="AW174" i="1"/>
  <c r="P174" i="1"/>
  <c r="AY173" i="1"/>
  <c r="AX173" i="1"/>
  <c r="AW173" i="1"/>
  <c r="P173" i="1"/>
  <c r="AY172" i="1"/>
  <c r="AX172" i="1"/>
  <c r="P172" i="1"/>
  <c r="AY171" i="1"/>
  <c r="AX171" i="1"/>
  <c r="AW171" i="1"/>
  <c r="P171" i="1"/>
  <c r="AY170" i="1"/>
  <c r="AX170" i="1"/>
  <c r="AW170" i="1"/>
  <c r="P170" i="1"/>
  <c r="AY169" i="1"/>
  <c r="AX169" i="1"/>
  <c r="AW169" i="1"/>
  <c r="P169" i="1"/>
  <c r="AY168" i="1"/>
  <c r="AX168" i="1"/>
  <c r="AW168" i="1"/>
  <c r="P168" i="1"/>
  <c r="AY167" i="1"/>
  <c r="AX167" i="1"/>
  <c r="AW167" i="1"/>
  <c r="P167" i="1"/>
  <c r="AY166" i="1"/>
  <c r="AX166" i="1"/>
  <c r="AW166" i="1"/>
  <c r="P166" i="1"/>
  <c r="AY165" i="1"/>
  <c r="AX165" i="1"/>
  <c r="AW165" i="1"/>
  <c r="P165" i="1"/>
  <c r="AY164" i="1"/>
  <c r="AX164" i="1"/>
  <c r="AW164" i="1"/>
  <c r="P164" i="1"/>
  <c r="AY163" i="1"/>
  <c r="AX163" i="1"/>
  <c r="AW163" i="1"/>
  <c r="P163" i="1"/>
  <c r="AY162" i="1"/>
  <c r="AX162" i="1"/>
  <c r="AW162" i="1"/>
  <c r="P162" i="1"/>
  <c r="AY161" i="1"/>
  <c r="AX161" i="1"/>
  <c r="AW161" i="1"/>
  <c r="P161" i="1"/>
  <c r="AY160" i="1"/>
  <c r="AX160" i="1"/>
  <c r="AW160" i="1"/>
  <c r="P160" i="1"/>
  <c r="AY159" i="1"/>
  <c r="AX159" i="1"/>
  <c r="AW159" i="1"/>
  <c r="P159" i="1"/>
  <c r="AY158" i="1"/>
  <c r="AX158" i="1"/>
  <c r="AW158" i="1"/>
  <c r="P158" i="1"/>
  <c r="AY157" i="1"/>
  <c r="AX157" i="1"/>
  <c r="AW157" i="1"/>
  <c r="P157" i="1"/>
  <c r="AY156" i="1"/>
  <c r="AX156" i="1"/>
  <c r="AW156" i="1"/>
  <c r="P156" i="1"/>
  <c r="AY155" i="1"/>
  <c r="AX155" i="1"/>
  <c r="AW155" i="1"/>
  <c r="P155" i="1"/>
  <c r="AY154" i="1"/>
  <c r="AX154" i="1"/>
  <c r="AW154" i="1"/>
  <c r="P154" i="1"/>
  <c r="AY153" i="1"/>
  <c r="AX153" i="1"/>
  <c r="AW153" i="1"/>
  <c r="P153" i="1"/>
  <c r="AY152" i="1"/>
  <c r="AX152" i="1"/>
  <c r="AW152" i="1"/>
  <c r="P152" i="1"/>
  <c r="AY151" i="1"/>
  <c r="AX151" i="1"/>
  <c r="AW151" i="1"/>
  <c r="P151" i="1"/>
  <c r="AY150" i="1"/>
  <c r="AX150" i="1"/>
  <c r="AW150" i="1"/>
  <c r="P150" i="1"/>
  <c r="AY149" i="1"/>
  <c r="AX149" i="1"/>
  <c r="AW149" i="1"/>
  <c r="P149" i="1"/>
  <c r="AY148" i="1"/>
  <c r="AX148" i="1"/>
  <c r="AW148" i="1"/>
  <c r="P148" i="1"/>
  <c r="AY147" i="1"/>
  <c r="AX147" i="1"/>
  <c r="AW147" i="1"/>
  <c r="P147" i="1"/>
  <c r="AY146" i="1"/>
  <c r="AX146" i="1"/>
  <c r="AW146" i="1"/>
  <c r="P146" i="1"/>
  <c r="AY145" i="1"/>
  <c r="AX145" i="1"/>
  <c r="AW145" i="1"/>
  <c r="P145" i="1"/>
  <c r="AY144" i="1"/>
  <c r="AX144" i="1"/>
  <c r="AW144" i="1"/>
  <c r="P144" i="1"/>
  <c r="AY143" i="1"/>
  <c r="AX143" i="1"/>
  <c r="AW143" i="1"/>
  <c r="P143" i="1"/>
  <c r="AY142" i="1"/>
  <c r="AX142" i="1"/>
  <c r="AW142" i="1"/>
  <c r="P142" i="1"/>
  <c r="AY141" i="1"/>
  <c r="AX141" i="1"/>
  <c r="AW141" i="1"/>
  <c r="P141" i="1"/>
  <c r="AY140" i="1"/>
  <c r="AX140" i="1"/>
  <c r="AW140" i="1"/>
  <c r="P140" i="1"/>
  <c r="AY139" i="1"/>
  <c r="AX139" i="1"/>
  <c r="AW139" i="1"/>
  <c r="P139" i="1"/>
  <c r="AY138" i="1"/>
  <c r="AX138" i="1"/>
  <c r="AW138" i="1"/>
  <c r="P138" i="1"/>
  <c r="AY137" i="1"/>
  <c r="AX137" i="1"/>
  <c r="AW137" i="1"/>
  <c r="P137" i="1"/>
  <c r="AY136" i="1"/>
  <c r="AX136" i="1"/>
  <c r="AW136" i="1"/>
  <c r="P136" i="1"/>
  <c r="AY135" i="1"/>
  <c r="AX135" i="1"/>
  <c r="AW135" i="1"/>
  <c r="P135" i="1"/>
  <c r="AY134" i="1"/>
  <c r="AX134" i="1"/>
  <c r="AW134" i="1"/>
  <c r="P134" i="1"/>
  <c r="AY133" i="1"/>
  <c r="AX133" i="1"/>
  <c r="AW133" i="1"/>
  <c r="P133" i="1"/>
  <c r="AY132" i="1"/>
  <c r="AX132" i="1"/>
  <c r="AW132" i="1"/>
  <c r="P132" i="1"/>
  <c r="AY131" i="1"/>
  <c r="AX131" i="1"/>
  <c r="AW131" i="1"/>
  <c r="P131" i="1"/>
  <c r="AY130" i="1"/>
  <c r="AX130" i="1"/>
  <c r="AW130" i="1"/>
  <c r="P130" i="1"/>
  <c r="AY129" i="1"/>
  <c r="AX129" i="1"/>
  <c r="AW129" i="1"/>
  <c r="P129" i="1"/>
  <c r="AY128" i="1"/>
  <c r="AX128" i="1"/>
  <c r="AW128" i="1"/>
  <c r="P128" i="1"/>
  <c r="AY127" i="1"/>
  <c r="AX127" i="1"/>
  <c r="AW127" i="1"/>
  <c r="P127" i="1"/>
  <c r="AY126" i="1"/>
  <c r="AX126" i="1"/>
  <c r="AW126" i="1"/>
  <c r="P126" i="1"/>
  <c r="AY125" i="1"/>
  <c r="AX125" i="1"/>
  <c r="AW125" i="1"/>
  <c r="P125" i="1"/>
  <c r="AY124" i="1"/>
  <c r="AX124" i="1"/>
  <c r="AW124" i="1"/>
  <c r="P124" i="1"/>
  <c r="AY123" i="1"/>
  <c r="AX123" i="1"/>
  <c r="AW123" i="1"/>
  <c r="P123" i="1"/>
  <c r="AY122" i="1"/>
  <c r="AX122" i="1"/>
  <c r="AW122" i="1"/>
  <c r="P122" i="1"/>
  <c r="AY121" i="1"/>
  <c r="AX121" i="1"/>
  <c r="AW121" i="1"/>
  <c r="P121" i="1"/>
  <c r="AY120" i="1"/>
  <c r="AX120" i="1"/>
  <c r="AW120" i="1"/>
  <c r="P120" i="1"/>
  <c r="AY119" i="1"/>
  <c r="AX119" i="1"/>
  <c r="AW119" i="1"/>
  <c r="P119" i="1"/>
  <c r="AY118" i="1"/>
  <c r="AX118" i="1"/>
  <c r="AW118" i="1"/>
  <c r="P118" i="1"/>
  <c r="AY117" i="1"/>
  <c r="AX117" i="1"/>
  <c r="AW117" i="1"/>
  <c r="P117" i="1"/>
  <c r="AY116" i="1"/>
  <c r="AX116" i="1"/>
  <c r="AW116" i="1"/>
  <c r="P116" i="1"/>
  <c r="AY115" i="1"/>
  <c r="AX115" i="1"/>
  <c r="AW115" i="1"/>
  <c r="P115" i="1"/>
  <c r="AY114" i="1"/>
  <c r="AX114" i="1"/>
  <c r="AW114" i="1"/>
  <c r="P114" i="1"/>
  <c r="AY113" i="1"/>
  <c r="AX113" i="1"/>
  <c r="AW113" i="1"/>
  <c r="P113" i="1"/>
  <c r="AY112" i="1"/>
  <c r="AX112" i="1"/>
  <c r="AW112" i="1"/>
  <c r="P112" i="1"/>
  <c r="AY111" i="1"/>
  <c r="AX111" i="1"/>
  <c r="AW111" i="1"/>
  <c r="P111" i="1"/>
  <c r="AY110" i="1"/>
  <c r="AX110" i="1"/>
  <c r="AW110" i="1"/>
  <c r="P110" i="1"/>
  <c r="AY109" i="1"/>
  <c r="AX109" i="1"/>
  <c r="AW109" i="1"/>
  <c r="P109" i="1"/>
  <c r="AY108" i="1"/>
  <c r="AX108" i="1"/>
  <c r="AW108" i="1"/>
  <c r="P108" i="1"/>
  <c r="AY107" i="1"/>
  <c r="AX107" i="1"/>
  <c r="AW107" i="1"/>
  <c r="P107" i="1"/>
  <c r="AY106" i="1"/>
  <c r="AX106" i="1"/>
  <c r="AW106" i="1"/>
  <c r="P106" i="1"/>
  <c r="AY105" i="1"/>
  <c r="AX105" i="1"/>
  <c r="AW105" i="1"/>
  <c r="P105" i="1"/>
  <c r="AY104" i="1"/>
  <c r="AX104" i="1"/>
  <c r="AW104" i="1"/>
  <c r="P104" i="1"/>
  <c r="AY103" i="1"/>
  <c r="AX103" i="1"/>
  <c r="AW103" i="1"/>
  <c r="P103" i="1"/>
  <c r="AY102" i="1"/>
  <c r="AX102" i="1"/>
  <c r="AW102" i="1"/>
  <c r="P102" i="1"/>
  <c r="AY101" i="1"/>
  <c r="AX101" i="1"/>
  <c r="AW101" i="1"/>
  <c r="P101" i="1"/>
  <c r="AY100" i="1"/>
  <c r="AX100" i="1"/>
  <c r="AW100" i="1"/>
  <c r="P100" i="1"/>
  <c r="AY99" i="1"/>
  <c r="AX99" i="1"/>
  <c r="AW99" i="1"/>
  <c r="P99" i="1"/>
  <c r="AY98" i="1"/>
  <c r="AX98" i="1"/>
  <c r="AW98" i="1"/>
  <c r="P98" i="1"/>
  <c r="AY97" i="1"/>
  <c r="AX97" i="1"/>
  <c r="AW97" i="1"/>
  <c r="P97" i="1"/>
  <c r="AY96" i="1"/>
  <c r="AX96" i="1"/>
  <c r="AW96" i="1"/>
  <c r="P96" i="1"/>
  <c r="AY95" i="1"/>
  <c r="AX95" i="1"/>
  <c r="AW95" i="1"/>
  <c r="P95" i="1"/>
  <c r="AY94" i="1"/>
  <c r="AX94" i="1"/>
  <c r="AW94" i="1"/>
  <c r="P94" i="1"/>
  <c r="AY93" i="1"/>
  <c r="AX93" i="1"/>
  <c r="AW93" i="1"/>
  <c r="P93" i="1"/>
  <c r="AY92" i="1"/>
  <c r="AX92" i="1"/>
  <c r="AW92" i="1"/>
  <c r="P92" i="1"/>
  <c r="AY91" i="1"/>
  <c r="AX91" i="1"/>
  <c r="AW91" i="1"/>
  <c r="P91" i="1"/>
  <c r="AY90" i="1"/>
  <c r="AX90" i="1"/>
  <c r="AW90" i="1"/>
  <c r="P90" i="1"/>
  <c r="AY89" i="1"/>
  <c r="AX89" i="1"/>
  <c r="AW89" i="1"/>
  <c r="P89" i="1"/>
  <c r="AY88" i="1"/>
  <c r="AX88" i="1"/>
  <c r="AW88" i="1"/>
  <c r="P88" i="1"/>
  <c r="AY87" i="1"/>
  <c r="AX87" i="1"/>
  <c r="AW87" i="1"/>
  <c r="P87" i="1"/>
  <c r="AY86" i="1"/>
  <c r="AX86" i="1"/>
  <c r="AW86" i="1"/>
  <c r="P86" i="1"/>
  <c r="AY85" i="1"/>
  <c r="AX85" i="1"/>
  <c r="AW85" i="1"/>
  <c r="P85" i="1"/>
  <c r="AY84" i="1"/>
  <c r="AX84" i="1"/>
  <c r="AW84" i="1"/>
  <c r="P84" i="1"/>
  <c r="AY83" i="1"/>
  <c r="AX83" i="1"/>
  <c r="AW83" i="1"/>
  <c r="P83" i="1"/>
  <c r="AY82" i="1"/>
  <c r="AX82" i="1"/>
  <c r="AW82" i="1"/>
  <c r="P82" i="1"/>
  <c r="AY81" i="1"/>
  <c r="AX81" i="1"/>
  <c r="AW81" i="1"/>
  <c r="P81" i="1"/>
  <c r="AY80" i="1"/>
  <c r="AX80" i="1"/>
  <c r="AW80" i="1"/>
  <c r="P80" i="1"/>
  <c r="AY79" i="1"/>
  <c r="AX79" i="1"/>
  <c r="AW79" i="1"/>
  <c r="P79" i="1"/>
  <c r="AY78" i="1"/>
  <c r="AX78" i="1"/>
  <c r="AW78" i="1"/>
  <c r="P78" i="1"/>
  <c r="AY77" i="1"/>
  <c r="AX77" i="1"/>
  <c r="AW77" i="1"/>
  <c r="P77" i="1"/>
  <c r="AY76" i="1"/>
  <c r="AX76" i="1"/>
  <c r="AW76" i="1"/>
  <c r="P76" i="1"/>
  <c r="AY75" i="1"/>
  <c r="AX75" i="1"/>
  <c r="AW75" i="1"/>
  <c r="P75" i="1"/>
  <c r="AY74" i="1"/>
  <c r="AX74" i="1"/>
  <c r="AW74" i="1"/>
  <c r="P74" i="1"/>
  <c r="AY73" i="1"/>
  <c r="AX73" i="1"/>
  <c r="AW73" i="1"/>
  <c r="P73" i="1"/>
  <c r="AY72" i="1"/>
  <c r="AX72" i="1"/>
  <c r="AW72" i="1"/>
  <c r="P72" i="1"/>
  <c r="AY71" i="1"/>
  <c r="AX71" i="1"/>
  <c r="AW71" i="1"/>
  <c r="P71" i="1"/>
  <c r="AY70" i="1"/>
  <c r="AX70" i="1"/>
  <c r="AW70" i="1"/>
  <c r="P70" i="1"/>
  <c r="AY69" i="1"/>
  <c r="AX69" i="1"/>
  <c r="AW69" i="1"/>
  <c r="P69" i="1"/>
  <c r="AY68" i="1"/>
  <c r="AX68" i="1"/>
  <c r="AW68" i="1"/>
  <c r="P68" i="1"/>
  <c r="AY67" i="1"/>
  <c r="AX67" i="1"/>
  <c r="AW67" i="1"/>
  <c r="P67" i="1"/>
  <c r="AY66" i="1"/>
  <c r="AX66" i="1"/>
  <c r="AW66" i="1"/>
  <c r="P66" i="1"/>
  <c r="AY65" i="1"/>
  <c r="AX65" i="1"/>
  <c r="AW65" i="1"/>
  <c r="P65" i="1"/>
  <c r="AY64" i="1"/>
  <c r="AX64" i="1"/>
  <c r="AW64" i="1"/>
  <c r="P64" i="1"/>
  <c r="AY63" i="1"/>
  <c r="AX63" i="1"/>
  <c r="AW63" i="1"/>
  <c r="P63" i="1"/>
  <c r="AY62" i="1"/>
  <c r="AX62" i="1"/>
  <c r="AW62" i="1"/>
  <c r="P62" i="1"/>
  <c r="AY61" i="1"/>
  <c r="AX61" i="1"/>
  <c r="AW61" i="1"/>
  <c r="P61" i="1"/>
  <c r="AY60" i="1"/>
  <c r="AX60" i="1"/>
  <c r="AW60" i="1"/>
  <c r="P60" i="1"/>
  <c r="AY59" i="1"/>
  <c r="AX59" i="1"/>
  <c r="AW59" i="1"/>
  <c r="P59" i="1"/>
  <c r="AY58" i="1"/>
  <c r="AX58" i="1"/>
  <c r="AW58" i="1"/>
  <c r="P58" i="1"/>
  <c r="AY57" i="1"/>
  <c r="AX57" i="1"/>
  <c r="AW57" i="1"/>
  <c r="P57" i="1"/>
  <c r="AY56" i="1"/>
  <c r="AX56" i="1"/>
  <c r="AW56" i="1"/>
  <c r="P56" i="1"/>
  <c r="AY55" i="1"/>
  <c r="AX55" i="1"/>
  <c r="AW55" i="1"/>
  <c r="P55" i="1"/>
  <c r="AY54" i="1"/>
  <c r="AX54" i="1"/>
  <c r="AW54" i="1"/>
  <c r="P54" i="1"/>
  <c r="AY53" i="1"/>
  <c r="AX53" i="1"/>
  <c r="AW53" i="1"/>
  <c r="P53" i="1"/>
  <c r="AY52" i="1"/>
  <c r="AX52" i="1"/>
  <c r="AW52" i="1"/>
  <c r="P52" i="1"/>
  <c r="AY51" i="1"/>
  <c r="AX51" i="1"/>
  <c r="AW51" i="1"/>
  <c r="P51" i="1"/>
  <c r="AY50" i="1"/>
  <c r="AX50" i="1"/>
  <c r="AW50" i="1"/>
  <c r="P50" i="1"/>
  <c r="AY49" i="1"/>
  <c r="AX49" i="1"/>
  <c r="AW49" i="1"/>
  <c r="P49" i="1"/>
  <c r="AY48" i="1"/>
  <c r="AX48" i="1"/>
  <c r="AW48" i="1"/>
  <c r="P48" i="1"/>
  <c r="AY47" i="1"/>
  <c r="AX47" i="1"/>
  <c r="AW47" i="1"/>
  <c r="P47" i="1"/>
  <c r="AY46" i="1"/>
  <c r="AX46" i="1"/>
  <c r="AW46" i="1"/>
  <c r="P46" i="1"/>
  <c r="AY45" i="1"/>
  <c r="AX45" i="1"/>
  <c r="AW45" i="1"/>
  <c r="P45" i="1"/>
  <c r="AY44" i="1"/>
  <c r="AX44" i="1"/>
  <c r="AW44" i="1"/>
  <c r="P44" i="1"/>
  <c r="AY43" i="1"/>
  <c r="AX43" i="1"/>
  <c r="AW43" i="1"/>
  <c r="P43" i="1"/>
  <c r="AY42" i="1"/>
  <c r="AX42" i="1"/>
  <c r="AW42" i="1"/>
  <c r="P42" i="1"/>
  <c r="AY41" i="1"/>
  <c r="AX41" i="1"/>
  <c r="AW41" i="1"/>
  <c r="P41" i="1"/>
  <c r="AY40" i="1"/>
  <c r="AX40" i="1"/>
  <c r="AW40" i="1"/>
  <c r="P40" i="1"/>
  <c r="AY39" i="1"/>
  <c r="AX39" i="1"/>
  <c r="AW39" i="1"/>
  <c r="P39" i="1"/>
  <c r="AY38" i="1"/>
  <c r="AX38" i="1"/>
  <c r="AW38" i="1"/>
  <c r="P38" i="1"/>
  <c r="AY37" i="1"/>
  <c r="AX37" i="1"/>
  <c r="AW37" i="1"/>
  <c r="P37" i="1"/>
  <c r="AY36" i="1"/>
  <c r="AX36" i="1"/>
  <c r="AW36" i="1"/>
  <c r="P36" i="1"/>
  <c r="AY35" i="1"/>
  <c r="AX35" i="1"/>
  <c r="AW35" i="1"/>
  <c r="P35" i="1"/>
  <c r="AY34" i="1"/>
  <c r="AX34" i="1"/>
  <c r="AW34" i="1"/>
  <c r="P34" i="1"/>
  <c r="AY33" i="1"/>
  <c r="AX33" i="1"/>
  <c r="AW33" i="1"/>
  <c r="P33" i="1"/>
  <c r="AY32" i="1"/>
  <c r="AX32" i="1"/>
  <c r="AW32" i="1"/>
  <c r="P32" i="1"/>
  <c r="AY31" i="1"/>
  <c r="AX31" i="1"/>
  <c r="AW31" i="1"/>
  <c r="P31" i="1"/>
  <c r="AY30" i="1"/>
  <c r="AX30" i="1"/>
  <c r="AW30" i="1"/>
  <c r="P30" i="1"/>
  <c r="AY29" i="1"/>
  <c r="AX29" i="1"/>
  <c r="AW29" i="1"/>
  <c r="P29" i="1"/>
  <c r="AY28" i="1"/>
  <c r="AX28" i="1"/>
  <c r="AW28" i="1"/>
  <c r="P28" i="1"/>
  <c r="AY27" i="1"/>
  <c r="AX27" i="1"/>
  <c r="AW27" i="1"/>
  <c r="P27" i="1"/>
  <c r="AY26" i="1"/>
  <c r="AX26" i="1"/>
  <c r="AW26" i="1"/>
  <c r="P26" i="1"/>
  <c r="AY25" i="1"/>
  <c r="AX25" i="1"/>
  <c r="AW25" i="1"/>
  <c r="P25" i="1"/>
  <c r="AY24" i="1"/>
  <c r="AX24" i="1"/>
  <c r="AW24" i="1"/>
  <c r="P24" i="1"/>
  <c r="AY23" i="1"/>
  <c r="AX23" i="1"/>
  <c r="AW23" i="1"/>
  <c r="P23" i="1"/>
  <c r="AY22" i="1"/>
  <c r="AX22" i="1"/>
  <c r="AW22" i="1"/>
  <c r="P22" i="1"/>
  <c r="AY21" i="1"/>
  <c r="AX21" i="1"/>
  <c r="AW21" i="1"/>
  <c r="P21" i="1"/>
  <c r="AY20" i="1"/>
  <c r="AX20" i="1"/>
  <c r="AW20" i="1"/>
  <c r="P20" i="1"/>
  <c r="AY19" i="1"/>
  <c r="AX19" i="1"/>
  <c r="AW19" i="1"/>
  <c r="P19" i="1"/>
  <c r="AY18" i="1"/>
  <c r="AX18" i="1"/>
  <c r="AW18" i="1"/>
  <c r="P18" i="1"/>
  <c r="AY17" i="1"/>
  <c r="AX17" i="1"/>
  <c r="AW17" i="1"/>
  <c r="P17" i="1"/>
  <c r="AY16" i="1"/>
  <c r="AX16" i="1"/>
  <c r="AW16" i="1"/>
  <c r="P16" i="1"/>
  <c r="AY15" i="1"/>
  <c r="AX15" i="1"/>
  <c r="AW15" i="1"/>
  <c r="P15" i="1"/>
  <c r="AY14" i="1"/>
  <c r="AX14" i="1"/>
  <c r="AW14" i="1"/>
  <c r="P14" i="1"/>
  <c r="AY13" i="1"/>
  <c r="AX13" i="1"/>
  <c r="AW13" i="1"/>
  <c r="P13" i="1"/>
  <c r="AY12" i="1"/>
  <c r="AX12" i="1"/>
  <c r="AW12" i="1"/>
  <c r="P12" i="1"/>
  <c r="AY11" i="1"/>
  <c r="AX11" i="1"/>
  <c r="AW11" i="1"/>
  <c r="P11" i="1"/>
  <c r="AY10" i="1"/>
  <c r="AX10" i="1"/>
  <c r="AW10" i="1"/>
  <c r="P10" i="1"/>
  <c r="AY9" i="1"/>
  <c r="AX9" i="1"/>
  <c r="AW9" i="1"/>
  <c r="P9" i="1"/>
  <c r="AY8" i="1"/>
  <c r="AX8" i="1"/>
  <c r="AW8" i="1"/>
  <c r="P8" i="1"/>
  <c r="AY7" i="1"/>
  <c r="AX7" i="1"/>
  <c r="AW7" i="1"/>
  <c r="P7" i="1"/>
  <c r="AY6" i="1"/>
  <c r="AX6" i="1"/>
  <c r="AW6" i="1"/>
  <c r="P6" i="1"/>
  <c r="AY5" i="1"/>
  <c r="AX5" i="1"/>
  <c r="AW5" i="1"/>
  <c r="P5" i="1"/>
  <c r="AY4" i="1"/>
  <c r="AX4" i="1"/>
  <c r="AW4" i="1"/>
  <c r="P4" i="1"/>
  <c r="AY3" i="1"/>
  <c r="AX3" i="1"/>
  <c r="AW3" i="1"/>
  <c r="P3" i="1"/>
  <c r="AY2" i="1"/>
  <c r="AX2" i="1"/>
  <c r="AW2" i="1"/>
  <c r="P2" i="1"/>
</calcChain>
</file>

<file path=xl/sharedStrings.xml><?xml version="1.0" encoding="utf-8"?>
<sst xmlns="http://schemas.openxmlformats.org/spreadsheetml/2006/main" count="14871" uniqueCount="5743">
  <si>
    <t>STT</t>
  </si>
  <si>
    <t>Site</t>
  </si>
  <si>
    <t>Mã CSHT</t>
  </si>
  <si>
    <t>Tên CSHT</t>
  </si>
  <si>
    <t>Số hợp đồng</t>
  </si>
  <si>
    <t>Ngày đáo hạn</t>
  </si>
  <si>
    <t>Đơn giá 2025
(chưa VAT)</t>
  </si>
  <si>
    <t>Đơn giá mới 2026
(chưa VAT)</t>
  </si>
  <si>
    <t>Chênh lệch đơn giá
2026 - 2025</t>
  </si>
  <si>
    <t>Tổng 2025 đã trả
(theo bảng tổng hợp)</t>
  </si>
  <si>
    <t>Còn nợ CN 2025 tồn
15/4/2026</t>
  </si>
  <si>
    <t>Người thụ hưởng</t>
  </si>
  <si>
    <t>Số tài khoản</t>
  </si>
  <si>
    <t>Tên ngân hàng</t>
  </si>
  <si>
    <t>T01/2025</t>
  </si>
  <si>
    <t>T02/2025</t>
  </si>
  <si>
    <t>T03/2025</t>
  </si>
  <si>
    <t>T04/2025</t>
  </si>
  <si>
    <t>T05/2025</t>
  </si>
  <si>
    <t>T06/2025</t>
  </si>
  <si>
    <t>T07/2025</t>
  </si>
  <si>
    <t>T08/2025</t>
  </si>
  <si>
    <t>T09/2025</t>
  </si>
  <si>
    <t>T10/2025</t>
  </si>
  <si>
    <t>T11/2025</t>
  </si>
  <si>
    <t>T12/2025</t>
  </si>
  <si>
    <t>T01/2026</t>
  </si>
  <si>
    <t>T02/2026</t>
  </si>
  <si>
    <t>T03/2026</t>
  </si>
  <si>
    <t>T04/2026</t>
  </si>
  <si>
    <t>T05/2026</t>
  </si>
  <si>
    <t>T06/2026</t>
  </si>
  <si>
    <t>T07/2026</t>
  </si>
  <si>
    <t>T08/2026</t>
  </si>
  <si>
    <t>T09/2026</t>
  </si>
  <si>
    <t>T10/2026</t>
  </si>
  <si>
    <t>T11/2026</t>
  </si>
  <si>
    <t>T12/2026</t>
  </si>
  <si>
    <t>Tổng TT chi tiết 2025</t>
  </si>
  <si>
    <t>Tổng TT chi tiết 2026</t>
  </si>
  <si>
    <t>Số tháng có TT</t>
  </si>
  <si>
    <t>Đã thanh toán 2026
đến 31/3/2026</t>
  </si>
  <si>
    <t>HBH</t>
  </si>
  <si>
    <t>Tổ hạ tầng Hòa Bình</t>
  </si>
  <si>
    <t>NO_MA_1HBH</t>
  </si>
  <si>
    <t>Thuê đất làm nhà để MFĐ</t>
  </si>
  <si>
    <t>Quách Ngọc Xuyên</t>
  </si>
  <si>
    <t>Tổ hạ tầng Tân Lạc</t>
  </si>
  <si>
    <t>NO_MA_2HBH</t>
  </si>
  <si>
    <t>Đặt thiết bị VNPT Wifi</t>
  </si>
  <si>
    <t>Vì Văn Mầng</t>
  </si>
  <si>
    <t>Lường Thị Ánh (Vì Thị Phong)</t>
  </si>
  <si>
    <t>Ngô Văn Hùng</t>
  </si>
  <si>
    <t>NO_MA_5HBH</t>
  </si>
  <si>
    <t>Thuê vị trí đặt thiết bị Wifi cho Chùa Tiên</t>
  </si>
  <si>
    <t>Đinh Văn Toàn</t>
  </si>
  <si>
    <t>CSHT_HBH_00001</t>
  </si>
  <si>
    <t>DINH-CU-LCS</t>
  </si>
  <si>
    <t>Công ty TNHH Thương Mại Ngọc Anh</t>
  </si>
  <si>
    <t>5415250001</t>
  </si>
  <si>
    <t>TMCP Lộc Phát Việt Nam- CN Hòa Bình</t>
  </si>
  <si>
    <t>CSHT_HBH_00003</t>
  </si>
  <si>
    <t>CHO-VO-LCS</t>
  </si>
  <si>
    <t>Công ty CPĐT PT Kiên Trung</t>
  </si>
  <si>
    <t>1200201058738</t>
  </si>
  <si>
    <t>Nông nghiệp và phát triển nông thôn Việt Nam- CN Sở giao dịch</t>
  </si>
  <si>
    <t>CSHT_HBH_00004</t>
  </si>
  <si>
    <t>LUNG-VAN-TLC</t>
  </si>
  <si>
    <t>Nguyễn Bá Âu</t>
  </si>
  <si>
    <t>978579286</t>
  </si>
  <si>
    <t>MB Bank</t>
  </si>
  <si>
    <t>CSHT_HBH_00005</t>
  </si>
  <si>
    <t>SAO-BAY-KBI</t>
  </si>
  <si>
    <t>Nguyễn Thị Thanh Vân</t>
  </si>
  <si>
    <t>8800030755</t>
  </si>
  <si>
    <t>BIDV- CN Hà Nội</t>
  </si>
  <si>
    <t>CSHT_HBH_00020</t>
  </si>
  <si>
    <t>YEN-THUONG-CPG</t>
  </si>
  <si>
    <t>UBND xã Yên Thượng</t>
  </si>
  <si>
    <t>CSHT_HBH_00008</t>
  </si>
  <si>
    <t>THANH-HOI-TLC</t>
  </si>
  <si>
    <t>Đinh Thị Trang</t>
  </si>
  <si>
    <t>CSHT_HBH_00009</t>
  </si>
  <si>
    <t>BAO-HIEU2-YTY</t>
  </si>
  <si>
    <t>CSHT_HBH_00052</t>
  </si>
  <si>
    <t>XOM-MAY-HBH</t>
  </si>
  <si>
    <t>Hà Văn Danh</t>
  </si>
  <si>
    <t>Đỗ Chu Đằng</t>
  </si>
  <si>
    <t>3000205011779</t>
  </si>
  <si>
    <t>Agribank CN Hòa Bình</t>
  </si>
  <si>
    <t>CSHT_HBH_00012</t>
  </si>
  <si>
    <t>CAU-TRONG-TLC</t>
  </si>
  <si>
    <t>Công Ty CP Xây Lắp OWA Việt Nam (Công ty TNHH Công nghệ vô tuyến)</t>
  </si>
  <si>
    <t>Công ty cổ phần xây lắp OWA Việt Nam</t>
  </si>
  <si>
    <t>19514703</t>
  </si>
  <si>
    <t>TMCP Thịnh Vượng, chi nhánh Hà Thành</t>
  </si>
  <si>
    <t>CSHT_HBH_00053</t>
  </si>
  <si>
    <t>YEN-MONG-HBH</t>
  </si>
  <si>
    <t>Nguyễn Văn Huyền/ Đinh Thị Chức</t>
  </si>
  <si>
    <t>Đinh Thị Chức</t>
  </si>
  <si>
    <t>103880307648</t>
  </si>
  <si>
    <t>Ngân hàng Vietinbank</t>
  </si>
  <si>
    <t>CSHT_HBH_00078</t>
  </si>
  <si>
    <t>KHO-MIN-HBH</t>
  </si>
  <si>
    <t>Nguyễn Thị Vi</t>
  </si>
  <si>
    <t>3011205093522</t>
  </si>
  <si>
    <t>Agribank - Hòa Bình</t>
  </si>
  <si>
    <t>CSHT_HBH_00016</t>
  </si>
  <si>
    <t>LY-HUNG-YTY</t>
  </si>
  <si>
    <t>Công Ty CP Xây Lắp OWA Việt Nam</t>
  </si>
  <si>
    <t>CSHT_HBH_00017</t>
  </si>
  <si>
    <t>PHU-LAI-YTY</t>
  </si>
  <si>
    <t>Nguyễn Thành Định (Nguyễn Thành Nội )</t>
  </si>
  <si>
    <t>Nguyễn Thành Đinh</t>
  </si>
  <si>
    <t>798934566666</t>
  </si>
  <si>
    <t>Ngân hàng MB Bank</t>
  </si>
  <si>
    <t>CSHT_HBH_00018</t>
  </si>
  <si>
    <t>YEN-NGHIEP-LCS</t>
  </si>
  <si>
    <t>Bùi văn cường (Bùi Văn Hưởn )</t>
  </si>
  <si>
    <t>Bùi Văn Cường</t>
  </si>
  <si>
    <t>16610299999</t>
  </si>
  <si>
    <t>Ngân hàng LP Bank</t>
  </si>
  <si>
    <t>CSHT_HBH_00079</t>
  </si>
  <si>
    <t>DONG-CHUA-HBH</t>
  </si>
  <si>
    <t>Vũ Quốc Hải</t>
  </si>
  <si>
    <t>3000215015182</t>
  </si>
  <si>
    <t>CSHT_HBH_00081</t>
  </si>
  <si>
    <t>PHO-THAI-TPO</t>
  </si>
  <si>
    <t>Lại Thanh Hoàng ( Phạm Thị Chiên )</t>
  </si>
  <si>
    <t>Phạm Thị Chiên</t>
  </si>
  <si>
    <t>584344907349</t>
  </si>
  <si>
    <t>LPBank - CN Hòa Bình</t>
  </si>
  <si>
    <t>CSHT_HBH_00021</t>
  </si>
  <si>
    <t>BAC-SON-KBI</t>
  </si>
  <si>
    <t>Bùi Văn Giàng ( Bùi Thị Thìn)</t>
  </si>
  <si>
    <t>Bùi Thị Thìn</t>
  </si>
  <si>
    <t>3006236051966</t>
  </si>
  <si>
    <t>Agribank - Kim Bôi</t>
  </si>
  <si>
    <t>CSHT_HBH_00023</t>
  </si>
  <si>
    <t>CAO-SON-DBC</t>
  </si>
  <si>
    <t>Đinh Văn Chẩn</t>
  </si>
  <si>
    <t>28382630001</t>
  </si>
  <si>
    <t>LpBank - CN Đà Bắc</t>
  </si>
  <si>
    <t>CSHT_HBH_00024</t>
  </si>
  <si>
    <t>DOAN-KET-DBC</t>
  </si>
  <si>
    <t>Lò văn Ten</t>
  </si>
  <si>
    <t>Hoàng Cao Đạt</t>
  </si>
  <si>
    <t>3000215033727</t>
  </si>
  <si>
    <t>Agribank Hoà Bình</t>
  </si>
  <si>
    <t>CSHT_HBH_00025</t>
  </si>
  <si>
    <t>TONG-DAU-MCU</t>
  </si>
  <si>
    <t>Lê Văn Vinh - (Nguyễn Văn Nguyên )</t>
  </si>
  <si>
    <t>Lê Văn Vinh</t>
  </si>
  <si>
    <t>87256666</t>
  </si>
  <si>
    <t>Vietinbank</t>
  </si>
  <si>
    <t>CSHT_HBH_00026</t>
  </si>
  <si>
    <t>BAC-SON-TLC</t>
  </si>
  <si>
    <t>Công ty TNHH Thu Phương</t>
  </si>
  <si>
    <t>118000049524</t>
  </si>
  <si>
    <t>Vietinbank Hòa Bình</t>
  </si>
  <si>
    <t>CSHT_HBH_00027</t>
  </si>
  <si>
    <t>DO-NHAN-TLC</t>
  </si>
  <si>
    <t>Nguyễn Đức Long</t>
  </si>
  <si>
    <t>45510000452721</t>
  </si>
  <si>
    <t>BIDV - Hòa Bình</t>
  </si>
  <si>
    <t>CSHT_HBH_00028</t>
  </si>
  <si>
    <t>GIA-MO-TLC</t>
  </si>
  <si>
    <t>Ngô Ngọc Hải</t>
  </si>
  <si>
    <t>Ngô Văn Thảo</t>
  </si>
  <si>
    <t>3007205047602</t>
  </si>
  <si>
    <t>Agribank - CN Tân Lạc</t>
  </si>
  <si>
    <t>CSHT_HBH_00029</t>
  </si>
  <si>
    <t>K-850-TLC</t>
  </si>
  <si>
    <t>Ngô Giang Nam</t>
  </si>
  <si>
    <t>CSHT_HBH_00030</t>
  </si>
  <si>
    <t>MAN-DUC-TLC</t>
  </si>
  <si>
    <t>Ngô Ngọc Sơn</t>
  </si>
  <si>
    <t>CSHT_HBH_00031</t>
  </si>
  <si>
    <t>NGOC-MY-TLC</t>
  </si>
  <si>
    <t>Bùi Thị Lâm (Trần Đức Mạnh )</t>
  </si>
  <si>
    <t>Bùi Thị Lâm</t>
  </si>
  <si>
    <t>3007333456333</t>
  </si>
  <si>
    <t>CSHT_HBH_00032</t>
  </si>
  <si>
    <t>PHU-CUONG-TLC</t>
  </si>
  <si>
    <t>Đinh Đăng Khoa</t>
  </si>
  <si>
    <t>Tổ hạ tầng Lương Sơn</t>
  </si>
  <si>
    <t>CSHT_HBH_00033</t>
  </si>
  <si>
    <t>CAO-DAM-LSN</t>
  </si>
  <si>
    <t>Nguyễn Thị Hậu</t>
  </si>
  <si>
    <t>Nguyễn thị Hậu</t>
  </si>
  <si>
    <t>4550133196</t>
  </si>
  <si>
    <t>BIDV -CN Lương Sơn</t>
  </si>
  <si>
    <t>CSHT_HBH_00034</t>
  </si>
  <si>
    <t>NGOI-HOA-TLC</t>
  </si>
  <si>
    <t>CSHT_HBH_00035</t>
  </si>
  <si>
    <t>DOAN-KET-YTY</t>
  </si>
  <si>
    <t>Bùi Văn Dậu</t>
  </si>
  <si>
    <t>CSHT_HBH_00036</t>
  </si>
  <si>
    <t>DON-DUONG-YTY</t>
  </si>
  <si>
    <t>CSHT_HBH_00037</t>
  </si>
  <si>
    <t>HUU-LOI-YTY</t>
  </si>
  <si>
    <t>Đinh Văn Quynh</t>
  </si>
  <si>
    <t>CSHT_HBH_00038</t>
  </si>
  <si>
    <t>LAC-LUONG-YTY</t>
  </si>
  <si>
    <t>Bùi Văn Việt</t>
  </si>
  <si>
    <t>CSHT_HBH_00039</t>
  </si>
  <si>
    <t>LAC-THINH-YTY</t>
  </si>
  <si>
    <t>Công ty TNHH TM và Dịch vụ Nguyên Minh</t>
  </si>
  <si>
    <t>Công ty TNHH TM và DV Nguyên Minh</t>
  </si>
  <si>
    <t>4550090699</t>
  </si>
  <si>
    <t>BIDV Hòa Bình</t>
  </si>
  <si>
    <t>CSHT_HBH_00040</t>
  </si>
  <si>
    <t>CAO-DUONG-LSN</t>
  </si>
  <si>
    <t>CSHT_HBH_00042</t>
  </si>
  <si>
    <t>CHIENG-CHAU-MCU</t>
  </si>
  <si>
    <t>Hà Huy Toàn ( Hà Văn Ằng )</t>
  </si>
  <si>
    <t>Hà Huy Toàn</t>
  </si>
  <si>
    <t>3004288828888</t>
  </si>
  <si>
    <t>AGRIBANK - Mai Châu</t>
  </si>
  <si>
    <t>CSHT_HBH_00044</t>
  </si>
  <si>
    <t>MAI-HA-MCU</t>
  </si>
  <si>
    <t>Hà Thị Phượng (chồng: Vì Thanh Túc)</t>
  </si>
  <si>
    <t>Hà Thị Phượng</t>
  </si>
  <si>
    <t>3004205008339</t>
  </si>
  <si>
    <t>Agribank - Hòa bình</t>
  </si>
  <si>
    <t>CSHT_HBH_00045</t>
  </si>
  <si>
    <t>MAI-HICH-MCU</t>
  </si>
  <si>
    <t>Vì Văn Tuấn</t>
  </si>
  <si>
    <t>Bùi Văn Chung</t>
  </si>
  <si>
    <t>3007999201284</t>
  </si>
  <si>
    <t>Agribank - CN Hòa bình</t>
  </si>
  <si>
    <t>CSHT_HBH_00046</t>
  </si>
  <si>
    <t>PA-CO-MCU</t>
  </si>
  <si>
    <t>Sùng A Chừ</t>
  </si>
  <si>
    <t>3004215015007</t>
  </si>
  <si>
    <t>CSHT_HBH_00047</t>
  </si>
  <si>
    <t>PIENG-VE-MCU</t>
  </si>
  <si>
    <t>Hà Văn Nhường (Bường ) (vợ: Hà Thị Vương: 01669780146)</t>
  </si>
  <si>
    <t>Hà Thị Vương</t>
  </si>
  <si>
    <t>3004205119035</t>
  </si>
  <si>
    <t>CSHT_HBH_00048</t>
  </si>
  <si>
    <t>HIEN-LUONG-DBC</t>
  </si>
  <si>
    <t>Đinh Thế Hiệp</t>
  </si>
  <si>
    <t>CSHT_HBH_00050</t>
  </si>
  <si>
    <t>TAN-MINH-DBC</t>
  </si>
  <si>
    <t>Lường Văn Đan</t>
  </si>
  <si>
    <t>CSHT_HBH_00051</t>
  </si>
  <si>
    <t>TAY-MANG-DBC</t>
  </si>
  <si>
    <t>Công ty thăng long</t>
  </si>
  <si>
    <t>Công ty CP xây dựng Viễn thông thăng long</t>
  </si>
  <si>
    <t>1440201024705</t>
  </si>
  <si>
    <t>Nông nghiệp và phát triển nông thôn Việt Nam- CN Bắc Hà Nội</t>
  </si>
  <si>
    <t>CSHT_HBH_00084</t>
  </si>
  <si>
    <t>THONG-NHAT-HBH</t>
  </si>
  <si>
    <t>Nguyễn Ngọc Tuấn</t>
  </si>
  <si>
    <t>3012205110017</t>
  </si>
  <si>
    <t>CSHT_HBH_00112</t>
  </si>
  <si>
    <t>CHO-THAY-KSN</t>
  </si>
  <si>
    <t>Nguyễn Văn Tố</t>
  </si>
  <si>
    <t>Nguyễn Ánh Sao</t>
  </si>
  <si>
    <t>976061987</t>
  </si>
  <si>
    <t>Ngân hàng MB bank</t>
  </si>
  <si>
    <t>CSHT_HBH_00054</t>
  </si>
  <si>
    <t>BAI-CHAO-KBI</t>
  </si>
  <si>
    <t>CSHT_HBH_00055</t>
  </si>
  <si>
    <t>NHA-MAY-THUY-DIEN-TPO</t>
  </si>
  <si>
    <t>Công ty Thủy điện Hòa Bình - Phường Tân Thịnh</t>
  </si>
  <si>
    <t>CSHT_HBH_00056</t>
  </si>
  <si>
    <t>YEN-HOA-DBC</t>
  </si>
  <si>
    <t>Lường Văn Đáng</t>
  </si>
  <si>
    <t>CSHT_HBH_00115</t>
  </si>
  <si>
    <t>HOP-THINH-KSN</t>
  </si>
  <si>
    <t>Đinh Thị Tới</t>
  </si>
  <si>
    <t>5550155665555</t>
  </si>
  <si>
    <t>MB Bank, CN Hòa Bình</t>
  </si>
  <si>
    <t>CSHT_HBH_00117</t>
  </si>
  <si>
    <t>PHU-MINH-KSN</t>
  </si>
  <si>
    <t>Nguyễn Văn Sang</t>
  </si>
  <si>
    <t>Lê Thị Luyến</t>
  </si>
  <si>
    <t>3005205026860</t>
  </si>
  <si>
    <t>CSHT_HBH_00061</t>
  </si>
  <si>
    <t>BINH-SON-KBI</t>
  </si>
  <si>
    <t>Bùi Văn Phú</t>
  </si>
  <si>
    <t>338914204</t>
  </si>
  <si>
    <t>CSHT_HBH_00062</t>
  </si>
  <si>
    <t>DONG-BAC-KBI</t>
  </si>
  <si>
    <t>Nguyễn Ngọc Sơn</t>
  </si>
  <si>
    <t>3006205081428</t>
  </si>
  <si>
    <t>CSHT_HBH_00063</t>
  </si>
  <si>
    <t>KIM-BINH-KBI</t>
  </si>
  <si>
    <t>CSHT_HBH_00065</t>
  </si>
  <si>
    <t>TAN-THANH-LSN</t>
  </si>
  <si>
    <t>CSHT_HBH_00067</t>
  </si>
  <si>
    <t>TIEN-SON-LSN</t>
  </si>
  <si>
    <t>Nguyễn Thanh Tâm</t>
  </si>
  <si>
    <t>3608085555</t>
  </si>
  <si>
    <t>Ngân hàng TMCP kỹ thương Việt Nam ( Techcombank)</t>
  </si>
  <si>
    <t>CSHT_HBH_00068</t>
  </si>
  <si>
    <t>TRUONG-SON-LSN</t>
  </si>
  <si>
    <t>CSHT_HBH_00069</t>
  </si>
  <si>
    <t>VIBA-LUONG-SON-LSN</t>
  </si>
  <si>
    <t>Nguyễn Văn Hạnh</t>
  </si>
  <si>
    <t>4550480281</t>
  </si>
  <si>
    <t>CSHT_HBH_00070</t>
  </si>
  <si>
    <t>KIM-TIEN-KBI</t>
  </si>
  <si>
    <t>Quách Thị Tâm</t>
  </si>
  <si>
    <t>Quách THị Tâm</t>
  </si>
  <si>
    <t>CSHT_HBH_00071</t>
  </si>
  <si>
    <t>KIM-TRUY-KBI</t>
  </si>
  <si>
    <t>Bùi Thị Lân</t>
  </si>
  <si>
    <t>CSHT_HBH_00072</t>
  </si>
  <si>
    <t>SUOI-KHOANG-KBI</t>
  </si>
  <si>
    <t>Công ty Cổ phần Thành An</t>
  </si>
  <si>
    <t>55966688</t>
  </si>
  <si>
    <t>VPBank Hòa Bình</t>
  </si>
  <si>
    <t>CSHT_HBH_00073</t>
  </si>
  <si>
    <t>TU-SON-KBI</t>
  </si>
  <si>
    <t>Bùi Văn Thuần</t>
  </si>
  <si>
    <t>3000205069161</t>
  </si>
  <si>
    <t>Agribank - CN Hòa Bình</t>
  </si>
  <si>
    <t>CSHT_HBH_00074</t>
  </si>
  <si>
    <t>VINH-DONG-KBI</t>
  </si>
  <si>
    <t>Bùi Văn Thắng</t>
  </si>
  <si>
    <t>3006215000396</t>
  </si>
  <si>
    <t>Agribank</t>
  </si>
  <si>
    <t>CSHT_HBH_00075</t>
  </si>
  <si>
    <t>TU-DO-LCS</t>
  </si>
  <si>
    <t>Bùi Văn Chuẩn</t>
  </si>
  <si>
    <t>Phạm Trung Thành</t>
  </si>
  <si>
    <t>3008205059944</t>
  </si>
  <si>
    <t>CSHT_HBH_00076</t>
  </si>
  <si>
    <t>VAN-NGHIA-LCS</t>
  </si>
  <si>
    <t>Bùi Thanh Nga</t>
  </si>
  <si>
    <t>Ngân hàng Agribank</t>
  </si>
  <si>
    <t>CSHT_HBH_00145</t>
  </si>
  <si>
    <t>YEN-QUANG2-KSN</t>
  </si>
  <si>
    <t>Nguyễn Văn Đạo</t>
  </si>
  <si>
    <t>CSHT_HBH_00152</t>
  </si>
  <si>
    <t>DONG-PHONG-CPG</t>
  </si>
  <si>
    <t>Vũ Thị Chinh</t>
  </si>
  <si>
    <t>CSHT_HBH_00153</t>
  </si>
  <si>
    <t>BAC-PHONG-CPG</t>
  </si>
  <si>
    <t>Vũ Minh Tân</t>
  </si>
  <si>
    <t>CSHT_HBH_00160</t>
  </si>
  <si>
    <t>VIET-XO-TPO</t>
  </si>
  <si>
    <t>Trường Cao đẳng nghề Sông Đà</t>
  </si>
  <si>
    <t>Trường CĐ Nghề Sông Đà</t>
  </si>
  <si>
    <t>4550003882</t>
  </si>
  <si>
    <t>CSHT_HBH_00167</t>
  </si>
  <si>
    <t>CAY-DA-DAN-CHU-HBH</t>
  </si>
  <si>
    <t>Nguyễn Văn Chính</t>
  </si>
  <si>
    <t>3012205123915</t>
  </si>
  <si>
    <t>CSHT_HBH_00170</t>
  </si>
  <si>
    <t>PHO-BANG-CPG</t>
  </si>
  <si>
    <t>Lê Thị Liễu</t>
  </si>
  <si>
    <t>3010215021999</t>
  </si>
  <si>
    <t>Agribank Cao phong</t>
  </si>
  <si>
    <t>CSHT_HBH_00171</t>
  </si>
  <si>
    <t>MONG-HOA-KSN</t>
  </si>
  <si>
    <t>Đinh Văn Năm</t>
  </si>
  <si>
    <t>CSHT_HBH_00085</t>
  </si>
  <si>
    <t>VU-LAM-LCS</t>
  </si>
  <si>
    <t>Bùi Thị Thanh Nhàn (Ngô Văn Xuân)</t>
  </si>
  <si>
    <t>CSHT_HBH_00086</t>
  </si>
  <si>
    <t>XUAT-HOA-LCS</t>
  </si>
  <si>
    <t>Bùi Thị Thúy Vân (Quách Văn Quân )</t>
  </si>
  <si>
    <t>16/HĐKT</t>
  </si>
  <si>
    <t>CSHT_HBH_00087</t>
  </si>
  <si>
    <t>AN-BINH-LTY</t>
  </si>
  <si>
    <t>Thiệu Thị Lan</t>
  </si>
  <si>
    <t>3009205012936</t>
  </si>
  <si>
    <t>CSHT_HBH_00089</t>
  </si>
  <si>
    <t>DONG-TAM2-LTY</t>
  </si>
  <si>
    <t>CSHT_HBH_00090</t>
  </si>
  <si>
    <t>KHOAN-DU-LTY</t>
  </si>
  <si>
    <t>Nguyễn Thi Hồng Nhung</t>
  </si>
  <si>
    <t>HKD Nguyễn Thị Hồng Nhung</t>
  </si>
  <si>
    <t>3009235000633</t>
  </si>
  <si>
    <t>Agribank - Chi nhánh lạc thủy Hòa BÌnh</t>
  </si>
  <si>
    <t>CSHT_HBH_00092</t>
  </si>
  <si>
    <t>NGA-3-SONG-BOI-LTY</t>
  </si>
  <si>
    <t>CSHT_HBH_00093</t>
  </si>
  <si>
    <t>PHU-LAO-LTY</t>
  </si>
  <si>
    <t>CSHT_HBH_00095</t>
  </si>
  <si>
    <t>THUNG-TRAM-LTY</t>
  </si>
  <si>
    <t>Lưu Xuân Chương</t>
  </si>
  <si>
    <t>108881989105</t>
  </si>
  <si>
    <t>Ngân hàng TMCP Công thương Việt Nam, CN Hòa Bình</t>
  </si>
  <si>
    <t>CSHT_HBH_00096</t>
  </si>
  <si>
    <t>YEN-BONG-LTY</t>
  </si>
  <si>
    <t>Đào Thị Quyên</t>
  </si>
  <si>
    <t>3009205031323</t>
  </si>
  <si>
    <t>CSHT_HBH_00098</t>
  </si>
  <si>
    <t>LIEN-SON-LSN</t>
  </si>
  <si>
    <t>Bùi Đình Toán</t>
  </si>
  <si>
    <t>Bùi Đình Mạnh</t>
  </si>
  <si>
    <t>4550796702</t>
  </si>
  <si>
    <t>BIDV</t>
  </si>
  <si>
    <t>CSHT_HBH_00099</t>
  </si>
  <si>
    <t>LONG-SON-LSN</t>
  </si>
  <si>
    <t>Phạm Văn Hiến</t>
  </si>
  <si>
    <t>Phạm Thị Loan</t>
  </si>
  <si>
    <t>978569769</t>
  </si>
  <si>
    <t>Ngân hàng MB Bank chi nhánh Hòa Bình</t>
  </si>
  <si>
    <t>CSHT_HBH_00100</t>
  </si>
  <si>
    <t>NHUAN-TRACH-LSN</t>
  </si>
  <si>
    <t>Bạch Văn Vội</t>
  </si>
  <si>
    <t>Bạch Công Thành</t>
  </si>
  <si>
    <t>109001427266</t>
  </si>
  <si>
    <t>CSHT_HBH_00101</t>
  </si>
  <si>
    <t>TAI-DINH-CU-LAM-SON-LSN</t>
  </si>
  <si>
    <t>CSHT_HBH_00177</t>
  </si>
  <si>
    <t>CU-CHINH-LAN-TPO</t>
  </si>
  <si>
    <t>Lê Vĩnh Thành</t>
  </si>
  <si>
    <t>104004579350</t>
  </si>
  <si>
    <t>Vietinbank - Hòa Bình</t>
  </si>
  <si>
    <t>CSHT_HBH_00180</t>
  </si>
  <si>
    <t>DAN-HOA-KSN</t>
  </si>
  <si>
    <t>Nguyễn Văn Long</t>
  </si>
  <si>
    <t>CSHT_HBH_00183</t>
  </si>
  <si>
    <t>THINH-LANG-TPO</t>
  </si>
  <si>
    <t>Nguyễn Thị Nhung</t>
  </si>
  <si>
    <t>3011215002497</t>
  </si>
  <si>
    <t>CSHT_HBH_00107</t>
  </si>
  <si>
    <t>CHO-OC-LCS</t>
  </si>
  <si>
    <t>CSHT_HBH_00108</t>
  </si>
  <si>
    <t>YEN-PHU-LCS</t>
  </si>
  <si>
    <t>Quách Thái</t>
  </si>
  <si>
    <t>CSHT_HBH_00109</t>
  </si>
  <si>
    <t>HOP-CHAU-LSN</t>
  </si>
  <si>
    <t>Đinh Thị Huyền</t>
  </si>
  <si>
    <t>Bà Đinh thị Huyền</t>
  </si>
  <si>
    <t>349610582</t>
  </si>
  <si>
    <t>Ngân hàng Quân đội (MB) - CN Xuân Mai</t>
  </si>
  <si>
    <t>CSHT_HBH_00111</t>
  </si>
  <si>
    <t>NGA3-MUONG-KHEN-TLC</t>
  </si>
  <si>
    <t>CTCP PTDN Huyện Tân Lạc</t>
  </si>
  <si>
    <t>Công ty cổ phần phát triển doanh nghiệp huyện Tân Lạc</t>
  </si>
  <si>
    <t>3007201002230</t>
  </si>
  <si>
    <t>Nông nghiệp và phát triển nông thôn - CN Tân Lạc Hòa Bình</t>
  </si>
  <si>
    <t>CSHT_HBH_00190</t>
  </si>
  <si>
    <t>DOC-LAP-KSN</t>
  </si>
  <si>
    <t>Nguyễn Văn Bồng</t>
  </si>
  <si>
    <t>3005205057313</t>
  </si>
  <si>
    <t>CSHT_HBH_00113</t>
  </si>
  <si>
    <t>KCN-LUONG-SON-LSN</t>
  </si>
  <si>
    <t>Công ty ALMINE VIỆT NAM</t>
  </si>
  <si>
    <t>Công ty TNHH Almine Việt Nam</t>
  </si>
  <si>
    <t>112002774293</t>
  </si>
  <si>
    <t>Vietinbank - chi nhánh Quang Minh</t>
  </si>
  <si>
    <t>CSHT_HBH_00215</t>
  </si>
  <si>
    <t>THU-PHONG-CPG</t>
  </si>
  <si>
    <t>Mai Thị Thu Thuỷ</t>
  </si>
  <si>
    <t>Võ Minh Tuấn</t>
  </si>
  <si>
    <t>4550332744</t>
  </si>
  <si>
    <t>BIDV -CN Hòa bình</t>
  </si>
  <si>
    <t>CSHT_HBH_00216</t>
  </si>
  <si>
    <t>YEN-LAP-CPG</t>
  </si>
  <si>
    <t>Nguyễn Thị Yến</t>
  </si>
  <si>
    <t>Bùi Văn Hiếu</t>
  </si>
  <si>
    <t>3010333686999</t>
  </si>
  <si>
    <t>Agribank Hòa Bình</t>
  </si>
  <si>
    <t>CSHT_HBH_00235</t>
  </si>
  <si>
    <t>CHO-THAI-BINH-HBH</t>
  </si>
  <si>
    <t>Nguyễn Xuân Khôi</t>
  </si>
  <si>
    <t>4550045468</t>
  </si>
  <si>
    <t>CSHT_HBH_00239</t>
  </si>
  <si>
    <t>CU-CHINH-LAN2-HBH</t>
  </si>
  <si>
    <t>Nguyễn Thị Thu</t>
  </si>
  <si>
    <t>Nguyễn Tiến Thuần</t>
  </si>
  <si>
    <t>45510001112602</t>
  </si>
  <si>
    <t>Ngân hàng BIDV</t>
  </si>
  <si>
    <t>CSHT_HBH_00254</t>
  </si>
  <si>
    <t>XOM-CAN-KSN</t>
  </si>
  <si>
    <t>Nguyễn Thị Muội</t>
  </si>
  <si>
    <t>Nguyễn Văn Thể</t>
  </si>
  <si>
    <t>104879576610</t>
  </si>
  <si>
    <t>CSHT_HBH_00119</t>
  </si>
  <si>
    <t>AN-NGHIA2-LCS</t>
  </si>
  <si>
    <t>Nguyễn Thị Nga</t>
  </si>
  <si>
    <t>4551026493</t>
  </si>
  <si>
    <t>BIDV, CN Hòa Bình</t>
  </si>
  <si>
    <t>CSHT_HBH_00120</t>
  </si>
  <si>
    <t>AN-NGHIA-LCS</t>
  </si>
  <si>
    <t>CSHT_HBH_00121</t>
  </si>
  <si>
    <t>BUNG-LCS</t>
  </si>
  <si>
    <t>Bùi Văn Sỹ</t>
  </si>
  <si>
    <t>CSHT_HBH_00122</t>
  </si>
  <si>
    <t>A-THUC-DA-BAC-DBC</t>
  </si>
  <si>
    <t>Hồ Quang Cảnh</t>
  </si>
  <si>
    <t>40/2025/HĐKT</t>
  </si>
  <si>
    <t>CSHT_HBH_00255</t>
  </si>
  <si>
    <t>KS-HO-NGOC-TPO</t>
  </si>
  <si>
    <t>Đỗ Văn Hải</t>
  </si>
  <si>
    <t>3011205049123</t>
  </si>
  <si>
    <t>CSHT_HBH_00256</t>
  </si>
  <si>
    <t>SN11-TO-27-PLM-TPO</t>
  </si>
  <si>
    <t>Trần Văn Thụ</t>
  </si>
  <si>
    <t>197400888888</t>
  </si>
  <si>
    <t>Viettinbank - Hòa Bình</t>
  </si>
  <si>
    <t>CSHT_HBH_00125</t>
  </si>
  <si>
    <t>CHO-BEN-LSN</t>
  </si>
  <si>
    <t>CSHT_HBH_00126</t>
  </si>
  <si>
    <t>PHUC-TUY-LCS</t>
  </si>
  <si>
    <t>Bùi Thị Sòn</t>
  </si>
  <si>
    <t>Bùi Thị Tành</t>
  </si>
  <si>
    <t>915470695</t>
  </si>
  <si>
    <t>CSHT_HBH_00127</t>
  </si>
  <si>
    <t>BAI-LANG-LSN</t>
  </si>
  <si>
    <t>Đinh Công Phú</t>
  </si>
  <si>
    <t>Bùi Thị Tươi</t>
  </si>
  <si>
    <t>45510000945674</t>
  </si>
  <si>
    <t>CSHT_HBH_00128</t>
  </si>
  <si>
    <t>TAN-VINH-LSN</t>
  </si>
  <si>
    <t>Bùi Văn Tiến</t>
  </si>
  <si>
    <t>8822455201</t>
  </si>
  <si>
    <t>BIDV - CN Lương Sơn</t>
  </si>
  <si>
    <t>CSHT_HBH_00129</t>
  </si>
  <si>
    <t>CO-LUONG-MCU</t>
  </si>
  <si>
    <t>Nguyễn Thị Nghệ (Nguyễn Xuân Định)</t>
  </si>
  <si>
    <t>Nguyễn Thị Nghệ</t>
  </si>
  <si>
    <t>3004205084909</t>
  </si>
  <si>
    <t>CSHT_HBH_00130</t>
  </si>
  <si>
    <t>YEN-TRI-YTY</t>
  </si>
  <si>
    <t>Công ty TNHH xây dựng và thương mại hưng thành 168</t>
  </si>
  <si>
    <t>4886908888</t>
  </si>
  <si>
    <t>Đầu tư phát triển Việt Nam - CN Tam điệp Ninh Bình</t>
  </si>
  <si>
    <t>CSHT_HBH_00131</t>
  </si>
  <si>
    <t>SUOI-NANH-DBC</t>
  </si>
  <si>
    <t>Đinh Ngọc Lâm</t>
  </si>
  <si>
    <t>CSHT_HBH_00132</t>
  </si>
  <si>
    <t>MY-THANH-LCS</t>
  </si>
  <si>
    <t>UBND xã Mỹ Thành - CT: Nguyễn Đức Tuyên</t>
  </si>
  <si>
    <t>CSHT_HBH_00133</t>
  </si>
  <si>
    <t>NAM-HOA-LCS</t>
  </si>
  <si>
    <t>CSHT_HBH_00134</t>
  </si>
  <si>
    <t>NGOC-SON-LCS</t>
  </si>
  <si>
    <t>Bùi Văn Iệng</t>
  </si>
  <si>
    <t>CSHT_HBH_00135</t>
  </si>
  <si>
    <t>THUONG-COC-LCS</t>
  </si>
  <si>
    <t>Bùi Văn Lân</t>
  </si>
  <si>
    <t>CSHT_HBH_00136</t>
  </si>
  <si>
    <t>CHUA-TIEN-LTY</t>
  </si>
  <si>
    <t>Đoàn Quang Tiến</t>
  </si>
  <si>
    <t>37/2025/HĐKT</t>
  </si>
  <si>
    <t>Phạm Văn Mạnh</t>
  </si>
  <si>
    <t>3000205073803</t>
  </si>
  <si>
    <t>Agribank, Chi nhánh Hòa Bình</t>
  </si>
  <si>
    <t>CSHT_HBH_00139</t>
  </si>
  <si>
    <t>SAM-KHOE-MCU</t>
  </si>
  <si>
    <t>Đinh Văn Thinh</t>
  </si>
  <si>
    <t>3004016061981</t>
  </si>
  <si>
    <t>CSHT_HBH_00142</t>
  </si>
  <si>
    <t>DEN-BO-DBC</t>
  </si>
  <si>
    <t>CSHT_HBH_00265</t>
  </si>
  <si>
    <t>XOM-MO-KSN</t>
  </si>
  <si>
    <t>Lê Quang Bình</t>
  </si>
  <si>
    <t>CSHT_HBH_00277</t>
  </si>
  <si>
    <t>CHAM-MAT2-TPO</t>
  </si>
  <si>
    <t>Lê Thị Lẻ</t>
  </si>
  <si>
    <t>3011205080117</t>
  </si>
  <si>
    <t>CSHT_HBH_00278</t>
  </si>
  <si>
    <t>TH-DONG-TIEN-TPO</t>
  </si>
  <si>
    <t>Vương Xuân Ánh</t>
  </si>
  <si>
    <t>3011205082300</t>
  </si>
  <si>
    <t>CSHT_HBH_00293</t>
  </si>
  <si>
    <t>N3-YEN-QUANG-KSN</t>
  </si>
  <si>
    <t>Đinh Văn Hùng</t>
  </si>
  <si>
    <t>Bùi Văn Huyền</t>
  </si>
  <si>
    <t>8855803602</t>
  </si>
  <si>
    <t>Ngân hàng BIDV - Hòa Bình</t>
  </si>
  <si>
    <t>CSHT_HBH_00147</t>
  </si>
  <si>
    <t>CU-YEN-LSN</t>
  </si>
  <si>
    <t>Trần Thị Khuyến</t>
  </si>
  <si>
    <t>31000230310</t>
  </si>
  <si>
    <t>Vietcombank CN Hải Phòng</t>
  </si>
  <si>
    <t>CSHT_HBH_00149</t>
  </si>
  <si>
    <t>TAN-SON-MCU</t>
  </si>
  <si>
    <t>Ngần Thị Yến (Lò Văn Phúc /)</t>
  </si>
  <si>
    <t>Ngần Thị Yến</t>
  </si>
  <si>
    <t>3004205025706</t>
  </si>
  <si>
    <t>CSHT_HBH_00150</t>
  </si>
  <si>
    <t>MY-HOA-TLC</t>
  </si>
  <si>
    <t>Phạm Thị Hiền</t>
  </si>
  <si>
    <t>3007208002191</t>
  </si>
  <si>
    <t>CSHT_HBH_00294</t>
  </si>
  <si>
    <t>N4-TRUONG-HOANG-TPO</t>
  </si>
  <si>
    <t>Khương Thị Thảo</t>
  </si>
  <si>
    <t>2226868</t>
  </si>
  <si>
    <t>VPbank Hòa Bình</t>
  </si>
  <si>
    <t>CSHT_HBH_00303</t>
  </si>
  <si>
    <t>SECTOR-LINH-YEN-TPO</t>
  </si>
  <si>
    <t>Nguyễn Văn Linh</t>
  </si>
  <si>
    <t>3000215014348</t>
  </si>
  <si>
    <t>CSHT_HBH_00318</t>
  </si>
  <si>
    <t>SECTOR-DOC-CUN-CPG011</t>
  </si>
  <si>
    <t>Cao Thị Tầm</t>
  </si>
  <si>
    <t>880119638888</t>
  </si>
  <si>
    <t>MB Bank - Hòa Bình</t>
  </si>
  <si>
    <t>CSHT_HBH_00154</t>
  </si>
  <si>
    <t>BA-CAU-YTY</t>
  </si>
  <si>
    <t>Nguyễn Thị Hồng Tâm (Ngô Minh Trọng )</t>
  </si>
  <si>
    <t>Nguyễn Thị Hồng Tâm</t>
  </si>
  <si>
    <t>918014988</t>
  </si>
  <si>
    <t>CSHT_HBH_00155</t>
  </si>
  <si>
    <t>QUY-MY-TLC</t>
  </si>
  <si>
    <t>Bùi Văn Hiện</t>
  </si>
  <si>
    <t>3007205154944</t>
  </si>
  <si>
    <t>CSHT_HBH_00156</t>
  </si>
  <si>
    <t>LIEN-VU-LCS</t>
  </si>
  <si>
    <t>Bùi Văn Hồi</t>
  </si>
  <si>
    <t>Bùi Huy Hiển</t>
  </si>
  <si>
    <t>3003205298245</t>
  </si>
  <si>
    <t>CSHT_HBH_00157</t>
  </si>
  <si>
    <t>NONG-TRUONG-2-9-YTY</t>
  </si>
  <si>
    <t>CSHT_HBH_00158</t>
  </si>
  <si>
    <t>DA-PHUC-YTY</t>
  </si>
  <si>
    <t>Bùi Văn Kiên</t>
  </si>
  <si>
    <t>CSHT_HBH_00159</t>
  </si>
  <si>
    <t>HOP-HOA-LSN</t>
  </si>
  <si>
    <t>Nguyễn Hồng Phước ( Nguyễn Thị Nhiên )</t>
  </si>
  <si>
    <t>Nguyễn Hồng Phước</t>
  </si>
  <si>
    <t>8617051986</t>
  </si>
  <si>
    <t>CSHT_HBH_00410</t>
  </si>
  <si>
    <t>SECTOR-CHUA-KHANH-CPG</t>
  </si>
  <si>
    <t>UBND xã Yên Thượng (Thạch Yên)</t>
  </si>
  <si>
    <t>CSHT_HBH_00161</t>
  </si>
  <si>
    <t>NGA3-TRAM-KBI</t>
  </si>
  <si>
    <t>Lê Thanh Tuấn</t>
  </si>
  <si>
    <t>3006205109750</t>
  </si>
  <si>
    <t>CSHT_HBH_00163</t>
  </si>
  <si>
    <t>CHI-NE-LTY</t>
  </si>
  <si>
    <t>Đào Duy Huân</t>
  </si>
  <si>
    <t>Vũ Mạnh Khương</t>
  </si>
  <si>
    <t>4550325540</t>
  </si>
  <si>
    <t>Ngân hàng BIDV - CN Hòa Bình</t>
  </si>
  <si>
    <t>CSHT_HBH_00164</t>
  </si>
  <si>
    <t>SUOI-NAY-LSN</t>
  </si>
  <si>
    <t>Nguyễn Văn Vượng</t>
  </si>
  <si>
    <t>CSHT_HBH_00165</t>
  </si>
  <si>
    <t>CUOI-HA-KBI</t>
  </si>
  <si>
    <t>Bùi Văn Nâm</t>
  </si>
  <si>
    <t>CSHT_HBH_00166</t>
  </si>
  <si>
    <t>TUAN-DAO-LCS</t>
  </si>
  <si>
    <t>Quách Văn Phí</t>
  </si>
  <si>
    <t>CSHT_HBH_00423</t>
  </si>
  <si>
    <t>SECTOR-XOM-MAY-2-TPO</t>
  </si>
  <si>
    <t>Nguyễn Thị Nhâm</t>
  </si>
  <si>
    <t>3011205078167</t>
  </si>
  <si>
    <t>CSHT_HBH_00168</t>
  </si>
  <si>
    <t>GO-MU-LSN</t>
  </si>
  <si>
    <t>Phạm Đức Bảo</t>
  </si>
  <si>
    <t>Phùng Thế Nam</t>
  </si>
  <si>
    <t>3001205026210</t>
  </si>
  <si>
    <t>CSHT_HBH_00169</t>
  </si>
  <si>
    <t>TUAN-LO-TLC</t>
  </si>
  <si>
    <t>Phạm Thị Hương</t>
  </si>
  <si>
    <t>CSHT_HBH_00424</t>
  </si>
  <si>
    <t>SECTOR-XOM-CANG-XA-HB-TPO</t>
  </si>
  <si>
    <t>Nguyễn Văn Quang</t>
  </si>
  <si>
    <t>CSHT_HBH_00426</t>
  </si>
  <si>
    <t>SECTOR-DOC-LAP2-KSN</t>
  </si>
  <si>
    <t>Bùi Văn Hòa</t>
  </si>
  <si>
    <t>Bùi Văn Hoàn</t>
  </si>
  <si>
    <t>978600122</t>
  </si>
  <si>
    <t>CSHT_HBH_00174</t>
  </si>
  <si>
    <t>HAO-LY-DBC</t>
  </si>
  <si>
    <t>Nguyễn Huy Dụ</t>
  </si>
  <si>
    <t>CSHT_HBH_00175</t>
  </si>
  <si>
    <t>MY-HOA-KBI</t>
  </si>
  <si>
    <t>Nguyễn Huỳnh Quang</t>
  </si>
  <si>
    <t>3009205004807</t>
  </si>
  <si>
    <t>Agribank - Lạc Thủy</t>
  </si>
  <si>
    <t>CSHT_HBH_00176</t>
  </si>
  <si>
    <t>QUY-HAU-TLC</t>
  </si>
  <si>
    <t>Bùi Văn Ba</t>
  </si>
  <si>
    <t>379526071</t>
  </si>
  <si>
    <t>LP bank</t>
  </si>
  <si>
    <t>CSHT_HBH_00431</t>
  </si>
  <si>
    <t>SECTOR-XUAN PHONG-CPG</t>
  </si>
  <si>
    <t>Bùi Văn Dựng</t>
  </si>
  <si>
    <t>CSHT_HBH_00179</t>
  </si>
  <si>
    <t>AN-LAC-LTY</t>
  </si>
  <si>
    <t>Nguyễn Xuân Hòa - UB xã An Bình</t>
  </si>
  <si>
    <t>VP HĐND và UBND xã An Bình</t>
  </si>
  <si>
    <t>3009666656368</t>
  </si>
  <si>
    <t>CSHT_HBH_00457</t>
  </si>
  <si>
    <t>IP MANH MAU-TPO</t>
  </si>
  <si>
    <t>Nguyễn Đức Mạnh</t>
  </si>
  <si>
    <t>3000215015754</t>
  </si>
  <si>
    <t>CSHT_HBH_00181</t>
  </si>
  <si>
    <t>NAM-THUONG-KBI</t>
  </si>
  <si>
    <t>CSHT_HBH_00182</t>
  </si>
  <si>
    <t>TAN-PHEO-DBC</t>
  </si>
  <si>
    <t>Hà Văn An</t>
  </si>
  <si>
    <t>3002215021268</t>
  </si>
  <si>
    <t>Nông nghiêp và PTNT Đà bắc</t>
  </si>
  <si>
    <t>CSHT_HBH_00458</t>
  </si>
  <si>
    <t>IP NGOAN CHUAN-TPO</t>
  </si>
  <si>
    <t>Vũ Đình Chuẩn</t>
  </si>
  <si>
    <t>3011211000006</t>
  </si>
  <si>
    <t>CSHT_HBH_00184</t>
  </si>
  <si>
    <t>LAC-HUNG-YTY</t>
  </si>
  <si>
    <t>Bùi Thị Hường (sau điều chuyển ông: Bùi Tiến Lợi: 0984022988)</t>
  </si>
  <si>
    <t>CSHT_HBH_00186</t>
  </si>
  <si>
    <t>DONG-CHUM-DBC</t>
  </si>
  <si>
    <t>Lường văn Pầng</t>
  </si>
  <si>
    <t>CSHT_HBH_00477</t>
  </si>
  <si>
    <t>SECTOR-YEN-MONG-TPO</t>
  </si>
  <si>
    <t>Nguyễn Thế Anh</t>
  </si>
  <si>
    <t>3011205122100</t>
  </si>
  <si>
    <t>CSHT_HBH_00188</t>
  </si>
  <si>
    <t>LIEN-HOA-LTY</t>
  </si>
  <si>
    <t>Quách Văn Thực</t>
  </si>
  <si>
    <t>3009205110364</t>
  </si>
  <si>
    <t>CSHT_HBH_00189</t>
  </si>
  <si>
    <t>YEN-HOA-YTY</t>
  </si>
  <si>
    <t>CSHT_HBH_00478</t>
  </si>
  <si>
    <t>SECTOR-XOM-MIEU-KY-SON-TPO</t>
  </si>
  <si>
    <t>Đinh Văn Điện</t>
  </si>
  <si>
    <t>Nguyễn Thị Sâm</t>
  </si>
  <si>
    <t>3005205145700</t>
  </si>
  <si>
    <t>CSHT_HBH_00191</t>
  </si>
  <si>
    <t>TU-NE-TLC</t>
  </si>
  <si>
    <t>Ngô Trung Thủy</t>
  </si>
  <si>
    <t>Ngô Chung Thủy</t>
  </si>
  <si>
    <t>3007666638888</t>
  </si>
  <si>
    <t>CSHT_HBH_00480</t>
  </si>
  <si>
    <t>SECTOR-CAO-PHONG3-CPG</t>
  </si>
  <si>
    <t>Nguyễn Hữu Cường</t>
  </si>
  <si>
    <t>4550002579</t>
  </si>
  <si>
    <t>CSHT_HBH_00194</t>
  </si>
  <si>
    <t>DONG-TAM-LTY</t>
  </si>
  <si>
    <t>Vũ Đông Hải ( cũ Vũ Quang Minh )</t>
  </si>
  <si>
    <t>Vũ Đông Hải</t>
  </si>
  <si>
    <t>904110737</t>
  </si>
  <si>
    <t>CSHT_HBH_00195</t>
  </si>
  <si>
    <t>TRUNG-HOA-TLC</t>
  </si>
  <si>
    <t>Lê Xuân Trường</t>
  </si>
  <si>
    <t>3007205056967</t>
  </si>
  <si>
    <t>CSHT_HBH_00196</t>
  </si>
  <si>
    <t>NUONG-RAM-KBI</t>
  </si>
  <si>
    <t>Quách Đình Sứ</t>
  </si>
  <si>
    <t>Bùi Xuân Thao</t>
  </si>
  <si>
    <t>3006205130865</t>
  </si>
  <si>
    <t>CSHT_HBH_00197</t>
  </si>
  <si>
    <t>DONG-LAI-TLC</t>
  </si>
  <si>
    <t>CSHT_HBH_00198</t>
  </si>
  <si>
    <t>TIEN-PHONG-DBC</t>
  </si>
  <si>
    <t>Bùi Văn Hiển</t>
  </si>
  <si>
    <t>72939310001</t>
  </si>
  <si>
    <t>Lộc Phát LP Bank Đà Bắc</t>
  </si>
  <si>
    <t>CSHT_HBH_00199</t>
  </si>
  <si>
    <t>HOP-THANH-LSN</t>
  </si>
  <si>
    <t>CSHT_HBH_00202</t>
  </si>
  <si>
    <t>KIM-SON-KBI</t>
  </si>
  <si>
    <t>CSHT_HBH_00203</t>
  </si>
  <si>
    <t>BINH-THANH2-CPG</t>
  </si>
  <si>
    <t>Bùi Thị Thu Hằng</t>
  </si>
  <si>
    <t>3000215004157</t>
  </si>
  <si>
    <t>CSHT_HBH_00204</t>
  </si>
  <si>
    <t>CO-PHAY-DBC</t>
  </si>
  <si>
    <t>Lường Văn Hương</t>
  </si>
  <si>
    <t>CSHT_HBH_00205</t>
  </si>
  <si>
    <t>TAN-THANH2-LSN</t>
  </si>
  <si>
    <t>Nguyễn Thị Điển</t>
  </si>
  <si>
    <t>36/2025/HĐKT</t>
  </si>
  <si>
    <t>CSHT_HBH_00206</t>
  </si>
  <si>
    <t>HUNG-TIEN-KBI</t>
  </si>
  <si>
    <t>Công ty Cổ phần Lạc Thịnh</t>
  </si>
  <si>
    <t>689/2014/HĐKT</t>
  </si>
  <si>
    <t>CSHT_HBH_00207</t>
  </si>
  <si>
    <t>XOM-LONG-MCU</t>
  </si>
  <si>
    <t>Lò Văn Chiến</t>
  </si>
  <si>
    <t>64460040001</t>
  </si>
  <si>
    <t>LP Bank - Hòa Bình</t>
  </si>
  <si>
    <t>CSHT_HBH_00208</t>
  </si>
  <si>
    <t>QUYET-CHIEN-TLC</t>
  </si>
  <si>
    <t>Triệu Thị Xuân Quỳnh</t>
  </si>
  <si>
    <t>TRiệu thị xuân Quỳnh</t>
  </si>
  <si>
    <t>3000215022431</t>
  </si>
  <si>
    <t>CSHT_HBH_00209</t>
  </si>
  <si>
    <t>XOM-BIN-TLC</t>
  </si>
  <si>
    <t>CSHT_HBH_00210</t>
  </si>
  <si>
    <t>XOM-KHANH-TLC</t>
  </si>
  <si>
    <t>Công ty TNHH Tân Phong</t>
  </si>
  <si>
    <t>3007201001720</t>
  </si>
  <si>
    <t>Agribank- chi nhánh Tân Lạc</t>
  </si>
  <si>
    <t>CSHT_HBH_00212</t>
  </si>
  <si>
    <t>XOM-LIEU-YTY</t>
  </si>
  <si>
    <t>Bùi Xuân Hiền</t>
  </si>
  <si>
    <t>3008215019845</t>
  </si>
  <si>
    <t>CSHT_HBH_00213</t>
  </si>
  <si>
    <t>XOM-THOI-YTY</t>
  </si>
  <si>
    <t>CSHT_HBH_00481</t>
  </si>
  <si>
    <t>SECTOR-CD-SU-PHAM-TPO</t>
  </si>
  <si>
    <t>Trường Cao đẳng Sư Phạm Hoà Bình</t>
  </si>
  <si>
    <t>CSHT_HBH_00484</t>
  </si>
  <si>
    <t>SECTOR-THANH-CHAT-TPO</t>
  </si>
  <si>
    <t>Nguyễn Lâm Sơn</t>
  </si>
  <si>
    <t>CSHT_HBH_00485</t>
  </si>
  <si>
    <t>SECTOR-TINH-UY-TPO</t>
  </si>
  <si>
    <t>Nguyễn Thị Lan</t>
  </si>
  <si>
    <t>Đinh Tuấn Đạt</t>
  </si>
  <si>
    <t>942448999</t>
  </si>
  <si>
    <t>CSHT_HBH_00217</t>
  </si>
  <si>
    <t>LAC-SY-YTY</t>
  </si>
  <si>
    <t>CSHT_HBH_00218</t>
  </si>
  <si>
    <t>XOM-CAO-LSN</t>
  </si>
  <si>
    <t>Bùi Viết Mừng</t>
  </si>
  <si>
    <t>3001205227930</t>
  </si>
  <si>
    <t>CSHT_HBH_00219</t>
  </si>
  <si>
    <t>BAI-SANG-MCU</t>
  </si>
  <si>
    <t>CSHT_HBH_00220</t>
  </si>
  <si>
    <t>XOM-BON-DBC</t>
  </si>
  <si>
    <t>Đặng Văn Kế</t>
  </si>
  <si>
    <t>CSHT_HBH_00222</t>
  </si>
  <si>
    <t>DONG-MON-LTY</t>
  </si>
  <si>
    <t>Bùi Văn Bên - chồng ( Đinh Thị Dung )</t>
  </si>
  <si>
    <t>Đinh Thị Dung</t>
  </si>
  <si>
    <t>8896559920</t>
  </si>
  <si>
    <t>CSHT_HBH_00223</t>
  </si>
  <si>
    <t>THUNG-REC-KBI</t>
  </si>
  <si>
    <t>Dương Minh Dũng</t>
  </si>
  <si>
    <t>8888392247024</t>
  </si>
  <si>
    <t>CSHT_HBH_00224</t>
  </si>
  <si>
    <t>THUONG-TIEN-KBI</t>
  </si>
  <si>
    <t>Bùi Văn Vọng</t>
  </si>
  <si>
    <t>3006205147720</t>
  </si>
  <si>
    <t>CSHT_HBH_00225</t>
  </si>
  <si>
    <t>XUAN-DUONG-LSN</t>
  </si>
  <si>
    <t>Bùi Văn Đoàn</t>
  </si>
  <si>
    <t>CSHT_HBH_00226</t>
  </si>
  <si>
    <t>LA-VAN-CAU-LCS</t>
  </si>
  <si>
    <t>CSHT_HBH_00227</t>
  </si>
  <si>
    <t>CHI-DAO-LCS</t>
  </si>
  <si>
    <t>Quách Thanh Tuấn</t>
  </si>
  <si>
    <t>CSHT_HBH_00228</t>
  </si>
  <si>
    <t>NGOC-LAU-LCS</t>
  </si>
  <si>
    <t>Bùi Văn Chưởng</t>
  </si>
  <si>
    <t>CSHT_HBH_00229</t>
  </si>
  <si>
    <t>TK12-PTTH-LSN</t>
  </si>
  <si>
    <t>Phạm Thị Thanh ( Nguyễn Bắc Hà )</t>
  </si>
  <si>
    <t>Phạm thị Thanh</t>
  </si>
  <si>
    <t>45510001195931</t>
  </si>
  <si>
    <t>BIDV - Lương Sơn</t>
  </si>
  <si>
    <t>CSHT_HBH_00230</t>
  </si>
  <si>
    <t>LO-SON-TLC</t>
  </si>
  <si>
    <t>Phạm Gia Phát</t>
  </si>
  <si>
    <t>CSHT_HBH_00492</t>
  </si>
  <si>
    <t>TO-17-PHUONG-LAM-TPO</t>
  </si>
  <si>
    <t>Đặng Văn Tuệ</t>
  </si>
  <si>
    <t>Đặng Thị Ánh Tuyết</t>
  </si>
  <si>
    <t>4550301920</t>
  </si>
  <si>
    <t>CSHT_HBH_00232</t>
  </si>
  <si>
    <t>BINH-CHAN-LCS</t>
  </si>
  <si>
    <t>Cao Văn Chung</t>
  </si>
  <si>
    <t>CSHT_HBH_00233</t>
  </si>
  <si>
    <t>MIEN-DOI-LCS</t>
  </si>
  <si>
    <t>Bùi Văn Sâm / vợ: Bùi Thị Lý</t>
  </si>
  <si>
    <t>CSHT_HBH_00234</t>
  </si>
  <si>
    <t>XOM-CU-KBI</t>
  </si>
  <si>
    <t>Bùi Văn Đàn</t>
  </si>
  <si>
    <t>3006205275318</t>
  </si>
  <si>
    <t>CSHT_HBH_00496</t>
  </si>
  <si>
    <t>CAO-PHONG4-CPG</t>
  </si>
  <si>
    <t>Vũ Thị Quế</t>
  </si>
  <si>
    <t>CSHT_HBH_00237</t>
  </si>
  <si>
    <t>XOM-RANH-DBC</t>
  </si>
  <si>
    <t>Bàn Tiến Tâm</t>
  </si>
  <si>
    <t>CSHT_HBH_00238</t>
  </si>
  <si>
    <t>DU-SANG-KBI</t>
  </si>
  <si>
    <t>Bùi Thị Phong</t>
  </si>
  <si>
    <t>Bùi Thị Toản</t>
  </si>
  <si>
    <t>3006205153723</t>
  </si>
  <si>
    <t>CSHT_HBH_00505</t>
  </si>
  <si>
    <t>SECTOR-XOM-TRAI-TPO</t>
  </si>
  <si>
    <t>Bùi Văn Lâm</t>
  </si>
  <si>
    <t>CSHT_HBH_00240</t>
  </si>
  <si>
    <t>PTTH-THANH-PHO-TPO</t>
  </si>
  <si>
    <t>CSHT_HBH_00241</t>
  </si>
  <si>
    <t>NDH-SAN-GOLF-LSN</t>
  </si>
  <si>
    <t>Hoàng Thị Loan</t>
  </si>
  <si>
    <t>CSHT_HBH_00242</t>
  </si>
  <si>
    <t>CUN-PHEO-MCU</t>
  </si>
  <si>
    <t>Vì văn Điệp / Đinh thị Luyến</t>
  </si>
  <si>
    <t>Vì văn Điệp</t>
  </si>
  <si>
    <t>3004205078888</t>
  </si>
  <si>
    <t>CSHT_HBH_00244</t>
  </si>
  <si>
    <t>PTTH-LAC-THUY-LTY</t>
  </si>
  <si>
    <t>Truyền hình huyện Lạc thủy</t>
  </si>
  <si>
    <t>CSHT_HBH_00245</t>
  </si>
  <si>
    <t>HOA-SON2-LSN</t>
  </si>
  <si>
    <t>Nguyễn Hậu Lộc ( Hạ Huy Tu )</t>
  </si>
  <si>
    <t>Nguyễn Hậu Lộc</t>
  </si>
  <si>
    <t>4552748523</t>
  </si>
  <si>
    <t>CSHT_HBH_00246</t>
  </si>
  <si>
    <t>PIENG-DAU-MCU</t>
  </si>
  <si>
    <t>Hà Văn Thăng (Hà Văn Yển )</t>
  </si>
  <si>
    <t>Hà Văn Thăng</t>
  </si>
  <si>
    <t>964179654</t>
  </si>
  <si>
    <t>CSHT_HBH_00247</t>
  </si>
  <si>
    <t>KHU6-MAN-DUC-TLC</t>
  </si>
  <si>
    <t>Trần Thị Thanh Hoa</t>
  </si>
  <si>
    <t>3007205019455</t>
  </si>
  <si>
    <t>CSHT_HBH_00248</t>
  </si>
  <si>
    <t>DONG-RUONG-DBC</t>
  </si>
  <si>
    <t>Xa Nguyên Hồng</t>
  </si>
  <si>
    <t>CSHT_HBH_00249</t>
  </si>
  <si>
    <t>XOM-DA-YEN-PHU-(BINH-HEM)-LCS</t>
  </si>
  <si>
    <t>Bùi văn Mỉnh</t>
  </si>
  <si>
    <t>CSHT_HBH_00250</t>
  </si>
  <si>
    <t>BINH-CANG-LCS</t>
  </si>
  <si>
    <t>Bùi Thị Nhân (Quách Văn Ngọc )</t>
  </si>
  <si>
    <t>CSHT_HBH_00251</t>
  </si>
  <si>
    <t>QUANG-VINH-LCS</t>
  </si>
  <si>
    <t>Lương Văn Lực</t>
  </si>
  <si>
    <t>CSHT_HBH_00252</t>
  </si>
  <si>
    <t>BAO-LA-MCU</t>
  </si>
  <si>
    <t>Lường văn Huân</t>
  </si>
  <si>
    <t>Lường Văn Huân</t>
  </si>
  <si>
    <t>3004205127765</t>
  </si>
  <si>
    <t>CSHT_HBH_00253</t>
  </si>
  <si>
    <t>XOM-NGOA-MCU</t>
  </si>
  <si>
    <t>Hà Văn Nghiệp</t>
  </si>
  <si>
    <t>65998770001</t>
  </si>
  <si>
    <t>CSHT_HBH_00512</t>
  </si>
  <si>
    <t>SECTOR_XOM_ CHIENG</t>
  </si>
  <si>
    <t>Bùi Thị Hiểm</t>
  </si>
  <si>
    <t>Bùi Trung Hiếu</t>
  </si>
  <si>
    <t>338601982</t>
  </si>
  <si>
    <t>CSHT_HBH_00533</t>
  </si>
  <si>
    <t>HƯU-NGHỊ 3-TPO</t>
  </si>
  <si>
    <t>Trần Thị Hằng</t>
  </si>
  <si>
    <t>105868262414</t>
  </si>
  <si>
    <t>CSHT_HBH_00536</t>
  </si>
  <si>
    <t>Sector-Thong-Nhat3-TPO</t>
  </si>
  <si>
    <t>Bàn Sinh Lương</t>
  </si>
  <si>
    <t>Bàn Kim Dang</t>
  </si>
  <si>
    <t>53683681988</t>
  </si>
  <si>
    <t>CSHT_HBH_00257</t>
  </si>
  <si>
    <t>TU-LY-DBC</t>
  </si>
  <si>
    <t>Xa Hồng Tâm</t>
  </si>
  <si>
    <t>CSHT_HBH_00264</t>
  </si>
  <si>
    <t>CU-YEN2-LCS</t>
  </si>
  <si>
    <t>Nguyễn Trọng Lựu</t>
  </si>
  <si>
    <t>111333656666</t>
  </si>
  <si>
    <t>CSHT_HBH_00537</t>
  </si>
  <si>
    <t>Hop-Thanh2-TPO</t>
  </si>
  <si>
    <t>Đỗ Phúc Nhượng</t>
  </si>
  <si>
    <t>Đinh Thị Tân</t>
  </si>
  <si>
    <t>349032351</t>
  </si>
  <si>
    <t>CSHT_HBH_00266</t>
  </si>
  <si>
    <t>DONG-TAM3-LTY</t>
  </si>
  <si>
    <t>Bùi Văn Tươi</t>
  </si>
  <si>
    <t>CSHT_HBH_00267</t>
  </si>
  <si>
    <t>RESORT-KBI</t>
  </si>
  <si>
    <t>Bùi Văn Quân</t>
  </si>
  <si>
    <t>382073470</t>
  </si>
  <si>
    <t>Quân đội MB - Kim Bôi</t>
  </si>
  <si>
    <t>CSHT_HBH_00268</t>
  </si>
  <si>
    <t>BENH-VIEN-LCS</t>
  </si>
  <si>
    <t>Bùi Văn Chung - vợ: Nguyễn Thị Thúy</t>
  </si>
  <si>
    <t>CSHT_HBH_00269</t>
  </si>
  <si>
    <t>BA-KHAN-MCU</t>
  </si>
  <si>
    <t>Bùi Văn Hôn (Bùi Văn Kiều )</t>
  </si>
  <si>
    <t>Bùi Văn Hôn</t>
  </si>
  <si>
    <t>3007205033990</t>
  </si>
  <si>
    <t>CSHT_HBH_00270</t>
  </si>
  <si>
    <t>PHU-VINH-TLC</t>
  </si>
  <si>
    <t>Bùi văn Thiệp</t>
  </si>
  <si>
    <t>Bùi Văn Thiệp</t>
  </si>
  <si>
    <t>3007215026537</t>
  </si>
  <si>
    <t>CSHT_HBH_00271</t>
  </si>
  <si>
    <t>THANH-HA-LTY</t>
  </si>
  <si>
    <t>Công ty CP Viễn thông và Xây Dựng</t>
  </si>
  <si>
    <t>2025468001</t>
  </si>
  <si>
    <t>Indovina, chi nhánh Đống Đa</t>
  </si>
  <si>
    <t>CSHT_HBH_00272</t>
  </si>
  <si>
    <t>GIAP-DAT-DBC</t>
  </si>
  <si>
    <t>Bàn Văn Xuân</t>
  </si>
  <si>
    <t>Lê văn Thuận</t>
  </si>
  <si>
    <t>CSHT_HBH_00273</t>
  </si>
  <si>
    <t>CHO-NOI-LSN</t>
  </si>
  <si>
    <t>27/2025/HĐKT</t>
  </si>
  <si>
    <t>45510000332744</t>
  </si>
  <si>
    <t>CSHT_HBH_00274</t>
  </si>
  <si>
    <t>DINH-LONG_SON-LSN</t>
  </si>
  <si>
    <t>Bùi Thị Phương Thủy</t>
  </si>
  <si>
    <t>3000205078422</t>
  </si>
  <si>
    <t>CSHT_HBH_00275</t>
  </si>
  <si>
    <t>DAM-SANG-KBI</t>
  </si>
  <si>
    <t>CSHT_HBH_00276</t>
  </si>
  <si>
    <t>GO-CHE-KBI</t>
  </si>
  <si>
    <t>Nguyễn Thị Hiền</t>
  </si>
  <si>
    <t>8869208110</t>
  </si>
  <si>
    <t>CSHT_HBH_00539</t>
  </si>
  <si>
    <t>Hop-Thinh2-TPO</t>
  </si>
  <si>
    <t>Nguyễn Mỹ Lương (Cấn Thị Loan)</t>
  </si>
  <si>
    <t>Nguyễn Mỹ Lương</t>
  </si>
  <si>
    <t>358904850</t>
  </si>
  <si>
    <t>MB Bank Hòa Bình</t>
  </si>
  <si>
    <t>CSHT_HBH_00549</t>
  </si>
  <si>
    <t>Sector-Xom-Ong-CPG</t>
  </si>
  <si>
    <t>Bùi Văn Chiền</t>
  </si>
  <si>
    <t>CSHT_HBH_00552</t>
  </si>
  <si>
    <t>Sector-Xuan-Phong2-CPG</t>
  </si>
  <si>
    <t>Bùi Quang Phác</t>
  </si>
  <si>
    <t>CSHT_HBH_00557</t>
  </si>
  <si>
    <t>Mong-Hoa2-TPO</t>
  </si>
  <si>
    <t>Nguyễn Văn Khen</t>
  </si>
  <si>
    <t>CSHT_HBH_00281</t>
  </si>
  <si>
    <t>SERENA-SAO-BAY-KBI</t>
  </si>
  <si>
    <t>CSHT_HBH_00282</t>
  </si>
  <si>
    <t>SUOI-THAN-KBI</t>
  </si>
  <si>
    <t>CSHT_HBH_00283</t>
  </si>
  <si>
    <t>TRUNG-THANH-DBC</t>
  </si>
  <si>
    <t>Hà Văn Cộng</t>
  </si>
  <si>
    <t>CSHT_HBH_00284</t>
  </si>
  <si>
    <t>RE-HOP-CHAU-LSN</t>
  </si>
  <si>
    <t>Trần Công Lộc</t>
  </si>
  <si>
    <t>26/2025/HĐKT</t>
  </si>
  <si>
    <t>928190017</t>
  </si>
  <si>
    <t>LP Bank- Hòa Bình</t>
  </si>
  <si>
    <t>CSHT_HBH_00285</t>
  </si>
  <si>
    <t>BAI-KHOAI-KBI</t>
  </si>
  <si>
    <t>CSHT_HBH_00286</t>
  </si>
  <si>
    <t>PHO-MY-KBI</t>
  </si>
  <si>
    <t>CSHT_HBH_00287</t>
  </si>
  <si>
    <t>GAO-DA-LSN</t>
  </si>
  <si>
    <t>4550088889</t>
  </si>
  <si>
    <t>CSHT_HBH_00288</t>
  </si>
  <si>
    <t>VAY-NUA-DBC</t>
  </si>
  <si>
    <t>Triệu Văn Tuấn</t>
  </si>
  <si>
    <t>CSHT_HBH_00289</t>
  </si>
  <si>
    <t>XOM-MONG-TK14-TT-LSN</t>
  </si>
  <si>
    <t>Nguyễn Văn Xuân</t>
  </si>
  <si>
    <t>Nguyễn Thu Sang</t>
  </si>
  <si>
    <t>4550981447</t>
  </si>
  <si>
    <t>BIDV -</t>
  </si>
  <si>
    <t>CSHT_HBH_00558</t>
  </si>
  <si>
    <t>Quynh-Lam-TPO</t>
  </si>
  <si>
    <t>Vi Quốc Toản (Bạch Thị Hà Vân)</t>
  </si>
  <si>
    <t>Bạch Thị Hà Vân</t>
  </si>
  <si>
    <t>911122589</t>
  </si>
  <si>
    <t>CSHT_HBH_00559</t>
  </si>
  <si>
    <t>CHAM-MAT3-TPO</t>
  </si>
  <si>
    <t>Bạch Công Năm</t>
  </si>
  <si>
    <t>974475518</t>
  </si>
  <si>
    <t>CSHT_HBH_00571</t>
  </si>
  <si>
    <t>Sector-Bai-Nai3-TPO</t>
  </si>
  <si>
    <t>Nguyễn Văn Hưởng (Bùi Thị Nhàn)</t>
  </si>
  <si>
    <t>Bùi Thị Nhàn</t>
  </si>
  <si>
    <t>109872243357</t>
  </si>
  <si>
    <t>CSHT_TPO_00838</t>
  </si>
  <si>
    <t>Sector-Xóm Mu-TLC</t>
  </si>
  <si>
    <t>Bùi Văn Hoan</t>
  </si>
  <si>
    <t>987211324</t>
  </si>
  <si>
    <t>CSHT_HBH_00006</t>
  </si>
  <si>
    <t>BENH-VIEN-TINH-TPO</t>
  </si>
  <si>
    <t>Bệnh viện đa khoa Hoà Bình</t>
  </si>
  <si>
    <t>CSHT_HBH_00295</t>
  </si>
  <si>
    <t>MUONG-TUONG-DBC</t>
  </si>
  <si>
    <t>Bùi Văn Vinh</t>
  </si>
  <si>
    <t>CSHT_HBH_00296</t>
  </si>
  <si>
    <t>NA-MEO-MCU</t>
  </si>
  <si>
    <t>Khà Văn Cót (Khà Văn Quát )</t>
  </si>
  <si>
    <t>Ngần Thị Nhung</t>
  </si>
  <si>
    <t>57551650001</t>
  </si>
  <si>
    <t>Ngân Hàng Liên Việt chi nhánh Mai Châu</t>
  </si>
  <si>
    <t>CSHT_HBH_00297</t>
  </si>
  <si>
    <t>PHU-LUONG-LCS</t>
  </si>
  <si>
    <t>Bùi Văn Ểnh</t>
  </si>
  <si>
    <t>CSHT_HBH_00298</t>
  </si>
  <si>
    <t>TAN-MY-LCS</t>
  </si>
  <si>
    <t>CSHT_HBH_00010</t>
  </si>
  <si>
    <t>BAN-TIEN-CPG</t>
  </si>
  <si>
    <t>CSHT_HBH_00301</t>
  </si>
  <si>
    <t>SON-THUY-KBI</t>
  </si>
  <si>
    <t>Bùi Văn Lực</t>
  </si>
  <si>
    <t>3006205009052</t>
  </si>
  <si>
    <t>Công ty cổ phần ĐTXD và PT nông nghiệp việt nam</t>
  </si>
  <si>
    <t>Công ty cổ phần đầu tư xây dựng và phát triển nông nghiệp Việt Nam</t>
  </si>
  <si>
    <t>116002622976</t>
  </si>
  <si>
    <t>TMCP công thương Việt Nam- chi nhánh Hoàng Mai</t>
  </si>
  <si>
    <t>CSHT_HBH_00013</t>
  </si>
  <si>
    <t>DOC-MA-CPG</t>
  </si>
  <si>
    <t>Trịnh Việt Anh</t>
  </si>
  <si>
    <t>4553533333</t>
  </si>
  <si>
    <t>CSHT_HBH_00015</t>
  </si>
  <si>
    <t>KHO-834-CPG</t>
  </si>
  <si>
    <t>CSHT_HBH_00312</t>
  </si>
  <si>
    <t>HANG-KIA-MCU</t>
  </si>
  <si>
    <t>Vàng A Lứ</t>
  </si>
  <si>
    <t>3004231008312</t>
  </si>
  <si>
    <t>CSHT_HBH_00313</t>
  </si>
  <si>
    <t>DONG-NGHE-DBC</t>
  </si>
  <si>
    <t>Bùi Văn Sơn</t>
  </si>
  <si>
    <t>CSHT_HBH_00314</t>
  </si>
  <si>
    <t>NGO-LUONG-TLC</t>
  </si>
  <si>
    <t>Bùi Văn Đức</t>
  </si>
  <si>
    <t>3007205209548</t>
  </si>
  <si>
    <t>CSHT_HBH_00316</t>
  </si>
  <si>
    <t>SECTOR-DONG-TAM-LTY015</t>
  </si>
  <si>
    <t>Nguyễn Trung Thành (Trần văn Sự )</t>
  </si>
  <si>
    <t>Nguyễn Trung Thành</t>
  </si>
  <si>
    <t>3009205163144</t>
  </si>
  <si>
    <t>CSHT_HBH_00317</t>
  </si>
  <si>
    <t>SECTOR-PA-CO-MCU012</t>
  </si>
  <si>
    <t>Sùng Y Màu (con đẻ: Hàng Y Vua: 0355465986)</t>
  </si>
  <si>
    <t>Hàng Y Vua</t>
  </si>
  <si>
    <t>3004215003802</t>
  </si>
  <si>
    <t>CSHT_HBH_00019</t>
  </si>
  <si>
    <t>TAY-PHONG-CPG</t>
  </si>
  <si>
    <t>CSHT_HBH_00320</t>
  </si>
  <si>
    <t>HUONG-NHUONG-LCS</t>
  </si>
  <si>
    <t>Chi nhánh Tổng công ty Lâm nghiệp Việt Nam - CTCP- Công ty Lâm Nghiệp Hoà Bình</t>
  </si>
  <si>
    <t>36/2019</t>
  </si>
  <si>
    <t>CSHT_HBH_00041</t>
  </si>
  <si>
    <t>DOC-KEM-LSN</t>
  </si>
  <si>
    <t>09/HĐTĐ</t>
  </si>
  <si>
    <t>CSHT_HBH_00321</t>
  </si>
  <si>
    <t>AN-LAC2-LTY</t>
  </si>
  <si>
    <t>Quách Thị Nguyên</t>
  </si>
  <si>
    <t>BIDV- Chi nhánh Hòa Bình</t>
  </si>
  <si>
    <t>CSHT_HBH_00322</t>
  </si>
  <si>
    <t>DA-PHUC2-YTY</t>
  </si>
  <si>
    <t>Quách Văn Diêng</t>
  </si>
  <si>
    <t>7063026734</t>
  </si>
  <si>
    <t>Ngân hàng Chính sách xã hội Việt Nam</t>
  </si>
  <si>
    <t>CSHT_HBH_00323</t>
  </si>
  <si>
    <t>SECTOR-THON-VON-LTY018</t>
  </si>
  <si>
    <t>Nguyễn Thị Hạnh</t>
  </si>
  <si>
    <t>CSHT_HBH_00057</t>
  </si>
  <si>
    <t>CAU-TRANG-TPO</t>
  </si>
  <si>
    <t>CSHT_HBH_00060</t>
  </si>
  <si>
    <t>TRUNG-MINH-TPO</t>
  </si>
  <si>
    <t>CSHT_HBH_00077</t>
  </si>
  <si>
    <t>DAN-CHU-TPO</t>
  </si>
  <si>
    <t>CSHT_HBH_00080</t>
  </si>
  <si>
    <t>UBND-HUU-NGHI-TPO</t>
  </si>
  <si>
    <t>CSHT_HBH_00082</t>
  </si>
  <si>
    <t>TT-SAO-MAI-TPO</t>
  </si>
  <si>
    <t>CSHT_HBH_00379</t>
  </si>
  <si>
    <t>CO-PHAY2-DBC</t>
  </si>
  <si>
    <t>Xa Thị Thanh Thủy</t>
  </si>
  <si>
    <t>3002205012282</t>
  </si>
  <si>
    <t>CSHT_HBH_00380</t>
  </si>
  <si>
    <t>XOM-SAO-KBI</t>
  </si>
  <si>
    <t>Nguyễn Minh Thanh</t>
  </si>
  <si>
    <t>32/2025/HĐKT</t>
  </si>
  <si>
    <t>4550115972</t>
  </si>
  <si>
    <t>CSHT_HBH_00381</t>
  </si>
  <si>
    <t>CHI-THIEN-LCS</t>
  </si>
  <si>
    <t>Bùi Thị Hằng (Bùi Văn Dẹn )</t>
  </si>
  <si>
    <t>Bùi Văn Hà</t>
  </si>
  <si>
    <t>101872145259</t>
  </si>
  <si>
    <t>CSHT_HBH_00382</t>
  </si>
  <si>
    <t>BINH HEM2-LCS</t>
  </si>
  <si>
    <t>Bùi Đình Hảo</t>
  </si>
  <si>
    <t>CSHT_HBH_00383</t>
  </si>
  <si>
    <t>QUY-HOA-LCS</t>
  </si>
  <si>
    <t>Trần Thị Hải Vân</t>
  </si>
  <si>
    <t>3008215024918</t>
  </si>
  <si>
    <t>CSHT_HBH_00384</t>
  </si>
  <si>
    <t>HUNG-THI-LTY</t>
  </si>
  <si>
    <t>Bùi Văn Bắc</t>
  </si>
  <si>
    <t>CSHT_HBH_00385</t>
  </si>
  <si>
    <t>LUONG-SON2-LSN</t>
  </si>
  <si>
    <t>8826088706</t>
  </si>
  <si>
    <t>Ngân hành TMCP Đầu tư và phát triển Việt Nam, CN Hòa Bình</t>
  </si>
  <si>
    <t>CSHT_HBH_00386</t>
  </si>
  <si>
    <t>PHO-CHO-DON-LSN</t>
  </si>
  <si>
    <t>1230108121986</t>
  </si>
  <si>
    <t>MB Bank - CN Hòa BÌnh</t>
  </si>
  <si>
    <t>CSHT_HBH_00387</t>
  </si>
  <si>
    <t>TIEN-PHONG2-DBC</t>
  </si>
  <si>
    <t>Bùi Văn Phong</t>
  </si>
  <si>
    <t>CSHT_HBH_00388</t>
  </si>
  <si>
    <t>VAY-NUA2-DBC</t>
  </si>
  <si>
    <t>Đặng Văn Thắng</t>
  </si>
  <si>
    <t>3002205022313</t>
  </si>
  <si>
    <t>Agribank - CN Đà Bắc</t>
  </si>
  <si>
    <t>CSHT_HBH_00389</t>
  </si>
  <si>
    <t>THUNG LUNG-DBC</t>
  </si>
  <si>
    <t>Hà Văn Năng</t>
  </si>
  <si>
    <t>CSHT_HBH_00390</t>
  </si>
  <si>
    <t>DOAN-KET2-DBC</t>
  </si>
  <si>
    <t>Xa Văn Nhật</t>
  </si>
  <si>
    <t>CSHT_HBH_00391</t>
  </si>
  <si>
    <t>XOM-MIT-DBC</t>
  </si>
  <si>
    <t>Hà Văn Đích</t>
  </si>
  <si>
    <t>CSHT_HBH_00393</t>
  </si>
  <si>
    <t>CUOI-HA2-KBI</t>
  </si>
  <si>
    <t>Bùi Văn Trịch</t>
  </si>
  <si>
    <t>CSHT_HBH_00394</t>
  </si>
  <si>
    <t>VAN-NGHIA2-LCS</t>
  </si>
  <si>
    <t>Quách Văn Thượn</t>
  </si>
  <si>
    <t>CSHT_HBH_00395</t>
  </si>
  <si>
    <t>YEN-BONG2-LTY</t>
  </si>
  <si>
    <t>Nguyễn Văn Lan</t>
  </si>
  <si>
    <t>Nguyễn Văn Lan</t>
  </si>
  <si>
    <t>3009205049495</t>
  </si>
  <si>
    <t>CSHT_HBH_00396</t>
  </si>
  <si>
    <t>THI-TRAN-CHI-NE-LTY</t>
  </si>
  <si>
    <t>Nguyễn Hiền Xuân</t>
  </si>
  <si>
    <t>3009999921967</t>
  </si>
  <si>
    <t>Agribank - Chi nhánh lạc thủy Hòa Bình</t>
  </si>
  <si>
    <t>CSHT_HBH_00397</t>
  </si>
  <si>
    <t>THANH-LAP2-LSN</t>
  </si>
  <si>
    <t>CSHT_HBH_00398</t>
  </si>
  <si>
    <t>PHUC-SAN-MCU</t>
  </si>
  <si>
    <t>Bùi Thị Xuân</t>
  </si>
  <si>
    <t>3004205010846</t>
  </si>
  <si>
    <t>CSHT_HBH_00399</t>
  </si>
  <si>
    <t>XOM-SUNG-TLC</t>
  </si>
  <si>
    <t>Bùi Văn Bưng</t>
  </si>
  <si>
    <t>3007205179288</t>
  </si>
  <si>
    <t>CSHT_HBH_00400</t>
  </si>
  <si>
    <t>TAN-PHONG-TLC</t>
  </si>
  <si>
    <t>Bùi Thị Thanh Chúc</t>
  </si>
  <si>
    <t>1021581000</t>
  </si>
  <si>
    <t>Vietcombank</t>
  </si>
  <si>
    <t>CSHT_HBH_00401</t>
  </si>
  <si>
    <t>BAI-LANG2-LSN</t>
  </si>
  <si>
    <t>Lê Kim Ngân</t>
  </si>
  <si>
    <t>4552864058</t>
  </si>
  <si>
    <t>CSHT_HBH_00402</t>
  </si>
  <si>
    <t>NA-LUT-MCU</t>
  </si>
  <si>
    <t>Đinh Văn Phan</t>
  </si>
  <si>
    <t>3004231008329</t>
  </si>
  <si>
    <t>CSHT_HBH_00403</t>
  </si>
  <si>
    <t>HOP-DONG-KBI</t>
  </si>
  <si>
    <t>Bạch Tiến Sỹ</t>
  </si>
  <si>
    <t>3006205081752</t>
  </si>
  <si>
    <t>CSHT_HBH_00404</t>
  </si>
  <si>
    <t>LAP-CHIENG-KBI</t>
  </si>
  <si>
    <t>Bùi Văn Thuật</t>
  </si>
  <si>
    <t>CSHT_HBH_00405</t>
  </si>
  <si>
    <t>VAN-SON-LCS</t>
  </si>
  <si>
    <t>Bùi Văn Hưm</t>
  </si>
  <si>
    <t>CSHT_HBH_00406</t>
  </si>
  <si>
    <t>TAN-LAP-LCS</t>
  </si>
  <si>
    <t>Bùi Văn Liển</t>
  </si>
  <si>
    <t>3003205025444</t>
  </si>
  <si>
    <t>CSHT_HBH_00407</t>
  </si>
  <si>
    <t>DICH-GIAO-TLC</t>
  </si>
  <si>
    <t>Phạm Ngọc Hòa</t>
  </si>
  <si>
    <t>3007198399999</t>
  </si>
  <si>
    <t>CSHT_HBH_00408</t>
  </si>
  <si>
    <t>NAM-SON-TLC</t>
  </si>
  <si>
    <t>Bùi Văn Đồng</t>
  </si>
  <si>
    <t>3007205191622</t>
  </si>
  <si>
    <t>CSHT_HBH_00409</t>
  </si>
  <si>
    <t>SAN-VAN-DONG-MCU</t>
  </si>
  <si>
    <t>Nguyễn Minh Thắng/vợ: Hồ Suýt Lềnh</t>
  </si>
  <si>
    <t>Hồ Suýt Lềnh</t>
  </si>
  <si>
    <t>3004205014404</t>
  </si>
  <si>
    <t>CSHT_HBH_00102</t>
  </si>
  <si>
    <t>BAI-NAI2-KSN</t>
  </si>
  <si>
    <t>Nguyễn Trọng Thủy</t>
  </si>
  <si>
    <t>3000215013670</t>
  </si>
  <si>
    <t>CSHT_HBH_00411</t>
  </si>
  <si>
    <t>SECTOR-HOMESTAY-HIEN-LUONG-DBC</t>
  </si>
  <si>
    <t>Đinh Văn Đương</t>
  </si>
  <si>
    <t>CSHT_HBH_00412</t>
  </si>
  <si>
    <t>SECTOR-KIM-SON2-KBI</t>
  </si>
  <si>
    <t>Bùi Văn Thái</t>
  </si>
  <si>
    <t>CSHT_HBH_00413</t>
  </si>
  <si>
    <t>SECTOR-XOM-LUC-LCS</t>
  </si>
  <si>
    <t>CSHT_HBH_00415</t>
  </si>
  <si>
    <t>SECTOR-THANH-NONG-LTY</t>
  </si>
  <si>
    <t>Bạch Công Đặng</t>
  </si>
  <si>
    <t>3009281008399</t>
  </si>
  <si>
    <t>CSHT_HBH_00416</t>
  </si>
  <si>
    <t>SECTOR-TIEN-SON2-LSN</t>
  </si>
  <si>
    <t>Nguyễn Văn Thảo</t>
  </si>
  <si>
    <t>CSHT_HBH_00417</t>
  </si>
  <si>
    <t>SECTOR-CHA-LONG-MCU</t>
  </si>
  <si>
    <t>Lò Văn Trình</t>
  </si>
  <si>
    <t>CSHT_HBH_00418</t>
  </si>
  <si>
    <t>SECTOR-TAN-SON2-MCU</t>
  </si>
  <si>
    <t>Hà Thị Hoà ( vợ )- Hà Văn Thuận</t>
  </si>
  <si>
    <t>Hà Thị Hòa</t>
  </si>
  <si>
    <t>3004205043960</t>
  </si>
  <si>
    <t>CSHT_HBH_00419</t>
  </si>
  <si>
    <t>SECTOR-XOM-NHUOI-MCU</t>
  </si>
  <si>
    <t>Lò văn Thử/vợ: Lò Thị Hiền</t>
  </si>
  <si>
    <t>Lò Thị Hiền</t>
  </si>
  <si>
    <t>3004205088560</t>
  </si>
  <si>
    <t>CSHT_HBH_00421</t>
  </si>
  <si>
    <t>SECTOR-DONG-PHU-LSN</t>
  </si>
  <si>
    <t>Nguyễn Thị Phê</t>
  </si>
  <si>
    <t>CSHT_HBH_00422</t>
  </si>
  <si>
    <t>SECTOR-TDC-SUOI-NANH-DBC</t>
  </si>
  <si>
    <t>Bùi văn Ngoan</t>
  </si>
  <si>
    <t>CSHT_HBH_00105</t>
  </si>
  <si>
    <t>N3-DUONG-HAM-TPO</t>
  </si>
  <si>
    <t>CSHT_HBH_00106</t>
  </si>
  <si>
    <t>TRAN-HUNG-DAO-(HA-TTKD)-TPO</t>
  </si>
  <si>
    <t>CSHT_HBH_00425</t>
  </si>
  <si>
    <t>SECTOR-MY-HOA2-KBI</t>
  </si>
  <si>
    <t>Bạch Xuân Huy (Bạch Xuân Rỉm )</t>
  </si>
  <si>
    <t>CSHT_HBH_00114</t>
  </si>
  <si>
    <t>HOP-THANH-KSN</t>
  </si>
  <si>
    <t>CSHT_HBH_00429</t>
  </si>
  <si>
    <t>SECTOR-BAN-PU-MCU</t>
  </si>
  <si>
    <t>Ngần Văn Toa</t>
  </si>
  <si>
    <t>Ngần Thanh Phin</t>
  </si>
  <si>
    <t>3004205024125</t>
  </si>
  <si>
    <t>CSHT_HBH_00116</t>
  </si>
  <si>
    <t>PHUC-TIEN-KSN</t>
  </si>
  <si>
    <t>CSHT_HBH_00447</t>
  </si>
  <si>
    <t>TRAM VT CHO BEN-LSN</t>
  </si>
  <si>
    <t>Đinh Thị Nghĩa</t>
  </si>
  <si>
    <t>CSHT_HBH_00451</t>
  </si>
  <si>
    <t>TRAM VT NGOC MY-TLC</t>
  </si>
  <si>
    <t>Phạm Văn Khải</t>
  </si>
  <si>
    <t>886619746868</t>
  </si>
  <si>
    <t>CSHT_HBH_00118</t>
  </si>
  <si>
    <t>XOM-NUT-KSN</t>
  </si>
  <si>
    <t>CSHT_HBH_00123</t>
  </si>
  <si>
    <t>CHO-PHUONG-LAM-TPO</t>
  </si>
  <si>
    <t>CSHT_HBH_00465</t>
  </si>
  <si>
    <t>TAN-DAN-MCU</t>
  </si>
  <si>
    <t>Đinh văn Niên / Xa Thị Hiếm</t>
  </si>
  <si>
    <t>Xa Thị Hiếm</t>
  </si>
  <si>
    <t>36331700001</t>
  </si>
  <si>
    <t>CSHT_HBH_00466</t>
  </si>
  <si>
    <t>DON-DUONG2-YTY</t>
  </si>
  <si>
    <t>Bùi Minh Thông</t>
  </si>
  <si>
    <t>CSHT_HBH_00467</t>
  </si>
  <si>
    <t>XOM-DAM-LCS</t>
  </si>
  <si>
    <t>Bùi Văn Phỉn</t>
  </si>
  <si>
    <t>Bùi Đức Thiện</t>
  </si>
  <si>
    <t>988378482</t>
  </si>
  <si>
    <t>CSHT_HBH_00468</t>
  </si>
  <si>
    <t>PHU-LAI2-YTY</t>
  </si>
  <si>
    <t>Bùi Văn Nhinh</t>
  </si>
  <si>
    <t>3008797918888</t>
  </si>
  <si>
    <t>CSHT_HBH_00124</t>
  </si>
  <si>
    <t>DOC-CO-KHI-TPO</t>
  </si>
  <si>
    <t>Nguyễn Thị Hồng Lan</t>
  </si>
  <si>
    <t>854573099</t>
  </si>
  <si>
    <t>Ngân hàng VP Bank Hòa Bình</t>
  </si>
  <si>
    <t>CSHT_HBH_00470</t>
  </si>
  <si>
    <t>PHU-THANH2-LTY</t>
  </si>
  <si>
    <t>Nguyễn Quyết Thắng</t>
  </si>
  <si>
    <t>Nguyễn Quyết Thắng</t>
  </si>
  <si>
    <t>3000205103333</t>
  </si>
  <si>
    <t>CSHT_HBH_00471</t>
  </si>
  <si>
    <t>THI-TRAN-BO-KBI</t>
  </si>
  <si>
    <t>Bùi Thị Yên</t>
  </si>
  <si>
    <t>3006205005987</t>
  </si>
  <si>
    <t>CSHT_HBH_00472</t>
  </si>
  <si>
    <t>HOA-SON3-LSN</t>
  </si>
  <si>
    <t>Nguyễn Văn Đồng</t>
  </si>
  <si>
    <t>109002366123</t>
  </si>
  <si>
    <t>Ngân hàng Vietinbank - CN TAY THANG LONG - HOI SO</t>
  </si>
  <si>
    <t>CSHT_HBH_00473</t>
  </si>
  <si>
    <t>AN-NGHIA3-LCS</t>
  </si>
  <si>
    <t>Bùi Văn Bằng</t>
  </si>
  <si>
    <t>3008205161669</t>
  </si>
  <si>
    <t>CSHT_HBH_00474</t>
  </si>
  <si>
    <t>NHUAN-TRACH2-LSN</t>
  </si>
  <si>
    <t>CSHT_HBH_00475</t>
  </si>
  <si>
    <t>HONG-DUONG-TLC</t>
  </si>
  <si>
    <t>Bùi Thị Thân (Bùi Văn Hiền )</t>
  </si>
  <si>
    <t>Bùi Thị Thân</t>
  </si>
  <si>
    <t>5489010004</t>
  </si>
  <si>
    <t>LP bank - Hòa Bình</t>
  </si>
  <si>
    <t>CSHT_HBH_00143</t>
  </si>
  <si>
    <t>THANH-BIEN-TPO</t>
  </si>
  <si>
    <t>Công ty nông sản thực phẩm Hoà Bình (ông: Trần Quang Hoà)</t>
  </si>
  <si>
    <t>CSHT_HBH_00144</t>
  </si>
  <si>
    <t>HOP-KIM-KBI</t>
  </si>
  <si>
    <t>Bùi Thị Thư</t>
  </si>
  <si>
    <t>CSHT_HBH_00146</t>
  </si>
  <si>
    <t>THUNG-NAI-CPG</t>
  </si>
  <si>
    <t>38/2025/HĐKT</t>
  </si>
  <si>
    <t>CSHT_HBH_00151</t>
  </si>
  <si>
    <t>HUU-NGHI-TPO</t>
  </si>
  <si>
    <t>CSHT_HBH_00482</t>
  </si>
  <si>
    <t>SECTOR-DEO-DA-TRANG-TLC</t>
  </si>
  <si>
    <t>Lò Văn Minh - ( Hà Văn Tuân )</t>
  </si>
  <si>
    <t>CSHT_HBH_00483</t>
  </si>
  <si>
    <t>SECTOR-PA-CO3-MCU</t>
  </si>
  <si>
    <t>Hàng A Xếnh</t>
  </si>
  <si>
    <t>3004215022734</t>
  </si>
  <si>
    <t>CSHT_HBH_00187</t>
  </si>
  <si>
    <t>BINH-THANH-CPG</t>
  </si>
  <si>
    <t>3000215013759</t>
  </si>
  <si>
    <t>CSHT_HBH_00192</t>
  </si>
  <si>
    <t>DOC-CUN-CPG</t>
  </si>
  <si>
    <t>CSHT_HBH_00486</t>
  </si>
  <si>
    <t>SECTOR-NUONG-RAM3-KBI</t>
  </si>
  <si>
    <t>Hà Công Kiên</t>
  </si>
  <si>
    <t>CSHT_HBH_00487</t>
  </si>
  <si>
    <t>SECTOR-NUONG-RAM2-KBI</t>
  </si>
  <si>
    <t>Bùi Văn Dưởm</t>
  </si>
  <si>
    <t>CSHT_HBH_00214</t>
  </si>
  <si>
    <t>NAM-THANH-CPG</t>
  </si>
  <si>
    <t>Công ty TNHH Tân phong</t>
  </si>
  <si>
    <t>CSHT_HBH_00231</t>
  </si>
  <si>
    <t>KHU-CHUYEN-GIA-TPO</t>
  </si>
  <si>
    <t>Vũ Đình Thuận</t>
  </si>
  <si>
    <t>45510000096396</t>
  </si>
  <si>
    <t>CSHT_HBH_00279</t>
  </si>
  <si>
    <t>SU-NGOI-1-TPO</t>
  </si>
  <si>
    <t>CSHT_HBH_00494</t>
  </si>
  <si>
    <t>TK6-LUONG-SON-LSN</t>
  </si>
  <si>
    <t>CSHT_HBH_00495</t>
  </si>
  <si>
    <t>TK9-LUONG-SON-LSN</t>
  </si>
  <si>
    <t>Cty CP Xây Dựng và Viễn Thông Anh Minh</t>
  </si>
  <si>
    <t>2170659599</t>
  </si>
  <si>
    <t>TMCP Đầu tư và Phát triển Việt Nam- CN Từ Liêm</t>
  </si>
  <si>
    <t>CSHT_HBH_00280</t>
  </si>
  <si>
    <t>SU-NGOI-2-TPO</t>
  </si>
  <si>
    <t>CSHT_HBH_00498</t>
  </si>
  <si>
    <t>CHIENG-SAI-MCU</t>
  </si>
  <si>
    <t>Hà Thị Đức</t>
  </si>
  <si>
    <t>28744720012</t>
  </si>
  <si>
    <t>LP Bank</t>
  </si>
  <si>
    <t>CSHT_HBH_00499</t>
  </si>
  <si>
    <t>Minh-Khai-TLC</t>
  </si>
  <si>
    <t>Bùi Văn Cầu</t>
  </si>
  <si>
    <t>Bùi văn Cầu</t>
  </si>
  <si>
    <t>7193650001</t>
  </si>
  <si>
    <t>CSHT_HBH_00502</t>
  </si>
  <si>
    <t>SECTOR-AN-BINH-LTY</t>
  </si>
  <si>
    <t>Quách Văn Phiên</t>
  </si>
  <si>
    <t>CSHT_HBH_00504</t>
  </si>
  <si>
    <t>SECTOR-CUOI-HA3-KBI</t>
  </si>
  <si>
    <t>Quách Công Trưởng</t>
  </si>
  <si>
    <t>CSHT_HBH_00290</t>
  </si>
  <si>
    <t>TK10-TAN-THINH-TPO</t>
  </si>
  <si>
    <t>CSHT_HBH_00506</t>
  </si>
  <si>
    <t>SECTOR-XOM-QUYEN-LCS</t>
  </si>
  <si>
    <t>Bùi Quốc Thiều</t>
  </si>
  <si>
    <t>3003205128448</t>
  </si>
  <si>
    <t>CSHT_HBH_00508</t>
  </si>
  <si>
    <t>SECTOR-XOM-CA-TLC</t>
  </si>
  <si>
    <t>Bùi Văn Thành</t>
  </si>
  <si>
    <t>3007205271961</t>
  </si>
  <si>
    <t>Agribank Plus</t>
  </si>
  <si>
    <t>CSHT_HBH_00509</t>
  </si>
  <si>
    <t>Sector-Dong-Bai-KBI</t>
  </si>
  <si>
    <t>Bạch công Dân</t>
  </si>
  <si>
    <t>CSHT_HBH_00510</t>
  </si>
  <si>
    <t>Sector-Suoi-My-KBI</t>
  </si>
  <si>
    <t>Dương thị Hán</t>
  </si>
  <si>
    <t>CSHT_HBH_00511</t>
  </si>
  <si>
    <t>Sector-Suoi-Loi-KBI</t>
  </si>
  <si>
    <t>Bùi Văn Chựm</t>
  </si>
  <si>
    <t>CSHT_HBH_00291</t>
  </si>
  <si>
    <t>CTY-565-TPO</t>
  </si>
  <si>
    <t>CSHT_HBH_00513</t>
  </si>
  <si>
    <t>Sector-Xom-Ke-DBC</t>
  </si>
  <si>
    <t>Vì văn Vạn</t>
  </si>
  <si>
    <t>CSHT_HBH_00514</t>
  </si>
  <si>
    <t>Sector-Xom-Nay-DBC</t>
  </si>
  <si>
    <t>Bàn Văn Bình / vợ: Bàn Thị Phúc 0978300668</t>
  </si>
  <si>
    <t>CSHT_HBH_00515</t>
  </si>
  <si>
    <t>Sector-Xom-Nhap1-DBC</t>
  </si>
  <si>
    <t>Xa Văn Bổng/ vợ: Xa Thị Tai 0362145084</t>
  </si>
  <si>
    <t>CSHT_HBH_00516</t>
  </si>
  <si>
    <t>Sector-Xom-Ha-DBC</t>
  </si>
  <si>
    <t>Quách Công Dăm</t>
  </si>
  <si>
    <t>CSHT_HBH_00517</t>
  </si>
  <si>
    <t>Sector-Xom-Nhap2-DBC</t>
  </si>
  <si>
    <t>Xa văn Cầm / vợ: Xa Thị Tập: 0355805154</t>
  </si>
  <si>
    <t>CSHT_HBH_00518</t>
  </si>
  <si>
    <t>Sector-Xom-Nhap-DBC</t>
  </si>
  <si>
    <t>Công ty CP ĐT năng lượng và xây dựng thương mại Hoàng Sơn</t>
  </si>
  <si>
    <t>Công ty CP ĐT năng lượng xây dựng thương mại Hoàng Sơn</t>
  </si>
  <si>
    <t>4550002630</t>
  </si>
  <si>
    <t>TMCP Đầu tư phát triển Việt Nam CN Hòa Bình</t>
  </si>
  <si>
    <t>CSHT_HBH_00519</t>
  </si>
  <si>
    <t>Sector-Xom-So-DBC</t>
  </si>
  <si>
    <t>Lường Văn Sơn</t>
  </si>
  <si>
    <t>CSHT_HBH_00520</t>
  </si>
  <si>
    <t>Sector-Xom-Cu-LCS</t>
  </si>
  <si>
    <t>CSHT_HBH_00521</t>
  </si>
  <si>
    <t>Sector-Xom-Doi-LCS</t>
  </si>
  <si>
    <t>Bùi Văn Thực</t>
  </si>
  <si>
    <t>CSHT_HBH_00522</t>
  </si>
  <si>
    <t>Sector-Ba-Ruong-LCS</t>
  </si>
  <si>
    <t>UBND xã Mỹ Thành</t>
  </si>
  <si>
    <t>CSHT_HBH_00523</t>
  </si>
  <si>
    <t>Sector-Xom-Bay-LCS</t>
  </si>
  <si>
    <t>CSHT_HBH_00524</t>
  </si>
  <si>
    <t>Sector-Xom-Dao-LCS</t>
  </si>
  <si>
    <t>Bùi Văn Mi</t>
  </si>
  <si>
    <t>CSHT_HBH_00525</t>
  </si>
  <si>
    <t>Sector-Xom-Roc-LCS</t>
  </si>
  <si>
    <t>CSHT_HBH_00526</t>
  </si>
  <si>
    <t>Sector-Thon-Coc-KBI</t>
  </si>
  <si>
    <t>Bùi Văn Thề</t>
  </si>
  <si>
    <t>CSHT_HBH_00527</t>
  </si>
  <si>
    <t>Sector-Doi-Dong-LCS</t>
  </si>
  <si>
    <t>Bùi Văn Lưu</t>
  </si>
  <si>
    <t>CSHT_HBH_00528</t>
  </si>
  <si>
    <t>Sector-Muong-Khen-TLC</t>
  </si>
  <si>
    <t>Ngô Quang Hiển</t>
  </si>
  <si>
    <t>Ngô Trung Kiên</t>
  </si>
  <si>
    <t>4550754515</t>
  </si>
  <si>
    <t>CSHT_HBH_00529</t>
  </si>
  <si>
    <t>Sector-TT-Hang-Tram2-YTY</t>
  </si>
  <si>
    <t>Đỗ Thị Bách (Bùi Nguyên Đạt )</t>
  </si>
  <si>
    <t>Đỗ Thị Bách</t>
  </si>
  <si>
    <t>3008205229497</t>
  </si>
  <si>
    <t>CSHT_HBH_00531</t>
  </si>
  <si>
    <t>Lien-Son3-LSN</t>
  </si>
  <si>
    <t>Nguyễn Đình Lâm</t>
  </si>
  <si>
    <t>3001205048026</t>
  </si>
  <si>
    <t>Ngân hàng NN &amp;PTNT Viêt Nam (Agribank) CN Lương Sơn</t>
  </si>
  <si>
    <t>CSHT_HBH_00292</t>
  </si>
  <si>
    <t>THONG-NHAT2-TPO</t>
  </si>
  <si>
    <t>CSHT_HBH_00534</t>
  </si>
  <si>
    <t>Phu-Luong2-LCS</t>
  </si>
  <si>
    <t>Bùi Văn Ngót</t>
  </si>
  <si>
    <t>Bùi Thị Lục</t>
  </si>
  <si>
    <t>61433200001</t>
  </si>
  <si>
    <t>LP bank Hòa Bình</t>
  </si>
  <si>
    <t>CSHT_HBH_00300</t>
  </si>
  <si>
    <t>BAN-KHUOI-CPG</t>
  </si>
  <si>
    <t>CSHT_HBH_00305</t>
  </si>
  <si>
    <t>SAN-GOLF-HILLTOP-KSN</t>
  </si>
  <si>
    <t>CSHT_HBH_00538</t>
  </si>
  <si>
    <t>Chieng-Chau2-MCU</t>
  </si>
  <si>
    <t>vợ: Vì Thị Yêu (chồng: Hà Công Kệch (đã chết))</t>
  </si>
  <si>
    <t>Vì Thị Yêu</t>
  </si>
  <si>
    <t>3004205073592</t>
  </si>
  <si>
    <t>CSHT_HBH_00324</t>
  </si>
  <si>
    <t>THUY-SAN-TPO</t>
  </si>
  <si>
    <t>CSHT_HBH_00543</t>
  </si>
  <si>
    <t>SECTOR-UBND-GIAP-DAT</t>
  </si>
  <si>
    <t>Xa Văn Hoàn</t>
  </si>
  <si>
    <t>18/2025/HĐTĐ</t>
  </si>
  <si>
    <t>396691336</t>
  </si>
  <si>
    <t>CSHT_HBH_00546</t>
  </si>
  <si>
    <t>Sector-AP-Plaza-TPO</t>
  </si>
  <si>
    <t>Công ty TNHH Anh Phong</t>
  </si>
  <si>
    <t>4550014468</t>
  </si>
  <si>
    <t>CSHT_HBH_00547</t>
  </si>
  <si>
    <t>Sector-Tan-Huong-TLC</t>
  </si>
  <si>
    <t>Bùi Thị Canh ( Bùi Văn Nhân )</t>
  </si>
  <si>
    <t>CSHT_HBH_00548</t>
  </si>
  <si>
    <t>Sector-Xom-Tam-TLC</t>
  </si>
  <si>
    <t>Bùi Văn Tận</t>
  </si>
  <si>
    <t>CSHT_HBH_00375</t>
  </si>
  <si>
    <t>LO-MO-TPO</t>
  </si>
  <si>
    <t>Cao Thị Vân Anh</t>
  </si>
  <si>
    <t>HKD Cao Thị Vân Anh</t>
  </si>
  <si>
    <t>8614566999</t>
  </si>
  <si>
    <t>CSHT_HBH_00550</t>
  </si>
  <si>
    <t>Sector-Bao-Hieu3-YTY</t>
  </si>
  <si>
    <t>Trần Ngọc Thế</t>
  </si>
  <si>
    <t>974118509</t>
  </si>
  <si>
    <t>Quân đội - MB Bank Hòa Bình</t>
  </si>
  <si>
    <t>CSHT_HBH_00551</t>
  </si>
  <si>
    <t>Sector-Bao-Hieu4-YTY</t>
  </si>
  <si>
    <t>Quách Ngọc Sáng</t>
  </si>
  <si>
    <t>CSHT_HBH_00376</t>
  </si>
  <si>
    <t>TO-4-DONG-TIEN-TPO</t>
  </si>
  <si>
    <t>Công ty CP incotel</t>
  </si>
  <si>
    <t>168250006</t>
  </si>
  <si>
    <t>TMCP Lộc Phát Việt Nam- CN Hà Nội</t>
  </si>
  <si>
    <t>CSHT_HBH_00553</t>
  </si>
  <si>
    <t>Sector-Bai-Chao2-KBI</t>
  </si>
  <si>
    <t>Đinh Bá Dậu</t>
  </si>
  <si>
    <t>CSHT_HBH_00377</t>
  </si>
  <si>
    <t>XOM-C-HUU-NGHI-TPO</t>
  </si>
  <si>
    <t>CSHT_HBH_00378</t>
  </si>
  <si>
    <t>BAC-PHONG2-CPG</t>
  </si>
  <si>
    <t>CSHT_HBH_00469</t>
  </si>
  <si>
    <t>TOA-AN-TINH-(LOAN)-TPO</t>
  </si>
  <si>
    <t>Đặng Thị Vấn</t>
  </si>
  <si>
    <t>835600229</t>
  </si>
  <si>
    <t>CSHT_HBH_00560</t>
  </si>
  <si>
    <t>Sector-Nam-Thuong2-KBI</t>
  </si>
  <si>
    <t>Bùi Văn Hưng</t>
  </si>
  <si>
    <t>Vũ Mạnh Khương - Tổ trưởng tổ hạ tầng Lạc Thủy</t>
  </si>
  <si>
    <t>Tiền mặt</t>
  </si>
  <si>
    <t>Thanh toán vào tài khoản của Vũ Mạnh Khương - Tổ trưởng tổ hạ tầng Lạc Thủy . STK: 4550325540 BIDV - CN Hòa Bình</t>
  </si>
  <si>
    <t>CSHT_HBH_00569</t>
  </si>
  <si>
    <t>Cau-Son-LSN</t>
  </si>
  <si>
    <t>Công Ty TNHH Phát triển Thương Mại và Dịch vụ Máy tính Trang Linh</t>
  </si>
  <si>
    <t>121914459</t>
  </si>
  <si>
    <t>Thương mại cổ phần Á Châu- chi nhánh Hà Nội</t>
  </si>
  <si>
    <t>CSHT_HBH_00570</t>
  </si>
  <si>
    <t>Sector-Dong-Tam5-LTY</t>
  </si>
  <si>
    <t>Đinh Công Trinh</t>
  </si>
  <si>
    <t>CSHT_HBH_00488</t>
  </si>
  <si>
    <t>TO7-PHUONG-LAM-TPO</t>
  </si>
  <si>
    <t>Hoàng Hiếu Nghĩa (chủ thể mới: Bùi Thị Ngọc Anh</t>
  </si>
  <si>
    <t>Bùi Thị Ngọc Anh</t>
  </si>
  <si>
    <t>19020496455012</t>
  </si>
  <si>
    <t>Ngân hàng Techcombank Hà Nội</t>
  </si>
  <si>
    <t>CSHT_HBH_00572</t>
  </si>
  <si>
    <t>Sector-Chi-Ne4-LTY</t>
  </si>
  <si>
    <t>Nguyễn Văn Dần</t>
  </si>
  <si>
    <t>CSHT_HBH_00573</t>
  </si>
  <si>
    <t>Quynh-Lam2-TPO</t>
  </si>
  <si>
    <t>Công ty cổ phần Sudico Hòa Bình</t>
  </si>
  <si>
    <t>4550317024</t>
  </si>
  <si>
    <t>CSHT_HBH_00574</t>
  </si>
  <si>
    <t>Na-Mon-MCU</t>
  </si>
  <si>
    <t>Hà Văn Thám / Bùi Thị Bích</t>
  </si>
  <si>
    <t>Bùi Thị Bích</t>
  </si>
  <si>
    <t>341007144182</t>
  </si>
  <si>
    <t>CSHT_HBH_00575</t>
  </si>
  <si>
    <t>Sector-Na-Phon-MCU</t>
  </si>
  <si>
    <t>Vì Văn Sướn/ Vì Văn Thái</t>
  </si>
  <si>
    <t>Vì Văn Thái</t>
  </si>
  <si>
    <t>3004236260984</t>
  </si>
  <si>
    <t>CSHT_HBH_00579</t>
  </si>
  <si>
    <t>Sector-Chi-Thien2-LCS</t>
  </si>
  <si>
    <t>Bùi Văn Đăng</t>
  </si>
  <si>
    <t>CSHT_HBH_00591</t>
  </si>
  <si>
    <t>Sector-Xom-Dom-TLC</t>
  </si>
  <si>
    <t>Bùi Văn Mạnh</t>
  </si>
  <si>
    <t>3007222528222</t>
  </si>
  <si>
    <t>CSHT_HBH_00594</t>
  </si>
  <si>
    <t>Luong-Son3-LSN</t>
  </si>
  <si>
    <t>Nguyễn Ngọc Minh</t>
  </si>
  <si>
    <t>7979797888</t>
  </si>
  <si>
    <t>Techcombank</t>
  </si>
  <si>
    <t>CSHT_HBH_00595</t>
  </si>
  <si>
    <t>Sector-Quy-Hau2-TLC</t>
  </si>
  <si>
    <t>Lê Xuân Quý</t>
  </si>
  <si>
    <t>3007205190642</t>
  </si>
  <si>
    <t>CSHT_HBH_00596</t>
  </si>
  <si>
    <t>Sector-Dom-Thuong-LCS</t>
  </si>
  <si>
    <t>Bùi Văn Nhơn</t>
  </si>
  <si>
    <t>Bùi Văn Sửn</t>
  </si>
  <si>
    <t>354561411</t>
  </si>
  <si>
    <t>CSHT_HBH_00600</t>
  </si>
  <si>
    <t>SECTOR-DEO-DA-TRANG2-TLC</t>
  </si>
  <si>
    <t>Bùi Văn Thường</t>
  </si>
  <si>
    <t>393803536</t>
  </si>
  <si>
    <t>CSHT_HBH_00601</t>
  </si>
  <si>
    <t>NGOI-HOA2-TLC</t>
  </si>
  <si>
    <t>CSHT_PTO_00839</t>
  </si>
  <si>
    <t>Sector- Xóm Xê</t>
  </si>
  <si>
    <t>Bùi Văn Chiến</t>
  </si>
  <si>
    <t>CSHT_PTO_00841</t>
  </si>
  <si>
    <t>QH-HBH-VTCI-REMOTE-2025-01</t>
  </si>
  <si>
    <t>Lý Văn Minh</t>
  </si>
  <si>
    <t>3004205112173</t>
  </si>
  <si>
    <t>CSHT_HBH_00489</t>
  </si>
  <si>
    <t>TO7-THINH-LANG-TPO</t>
  </si>
  <si>
    <t>Hoàng Hiếu Nghĩa</t>
  </si>
  <si>
    <t>8843050703</t>
  </si>
  <si>
    <t>Techcombank Hà Nội</t>
  </si>
  <si>
    <t>IPKHUCÔNGNGHIỆP</t>
  </si>
  <si>
    <t>IP Khu công nghiệp</t>
  </si>
  <si>
    <t>Nguyễn Thu Trang</t>
  </si>
  <si>
    <t>NO_MA_428HBH</t>
  </si>
  <si>
    <t>IP Long Sơn</t>
  </si>
  <si>
    <t>Phan Đức Tuấn</t>
  </si>
  <si>
    <t>NO_MA_429HBH</t>
  </si>
  <si>
    <t>MFĐ</t>
  </si>
  <si>
    <t>Bùi Tuấn Xâm</t>
  </si>
  <si>
    <t>Bùi Mạnh Hiển</t>
  </si>
  <si>
    <t>CSHT_PTO_00916</t>
  </si>
  <si>
    <t>Sector-Sam-Khoe2-MCU</t>
  </si>
  <si>
    <t>Hà văn vượng</t>
  </si>
  <si>
    <t>CSHT_PTO_00917</t>
  </si>
  <si>
    <t>Sector-Mai-Hich2-MCU</t>
  </si>
  <si>
    <t>Hà Công ừ</t>
  </si>
  <si>
    <t>CSHT_PTO_00921</t>
  </si>
  <si>
    <t>Sector-Hieng-MCU</t>
  </si>
  <si>
    <t>Ngần Văn Hiến</t>
  </si>
  <si>
    <t>CSHT_PTO_00919</t>
  </si>
  <si>
    <t>Sector-Ba-Khan2-MCU</t>
  </si>
  <si>
    <t>Bùi văn Mạnh</t>
  </si>
  <si>
    <t>CSHT_PTO_00920</t>
  </si>
  <si>
    <t>Sector-So-Lo-MCU</t>
  </si>
  <si>
    <t>Bùi văn Hoan</t>
  </si>
  <si>
    <t>CSHT_PTO_01096</t>
  </si>
  <si>
    <t>Phu-Vinh3-TLC</t>
  </si>
  <si>
    <t>Đinh Công Mừng</t>
  </si>
  <si>
    <t>CSHT_PTO_00922</t>
  </si>
  <si>
    <t>Sector-Phu-Cuong2-TLC</t>
  </si>
  <si>
    <t>Bùi Văn Thu</t>
  </si>
  <si>
    <t>CSHT_PTO_00923</t>
  </si>
  <si>
    <t>Sector-Xom-Coc-TLC</t>
  </si>
  <si>
    <t>Bùi Văn Tuần</t>
  </si>
  <si>
    <t>CSHT_PTO_00924</t>
  </si>
  <si>
    <t>Sector-Xom-Doi-TLC</t>
  </si>
  <si>
    <t>Bùi Văn Thịa</t>
  </si>
  <si>
    <t>CSHT_PTO_00925</t>
  </si>
  <si>
    <t>Sector-Xom-Da-TLC</t>
  </si>
  <si>
    <t>Bùi Văn Bật</t>
  </si>
  <si>
    <t>CSHT_PTO_01097</t>
  </si>
  <si>
    <t>Phu-Vinh2-TLC</t>
  </si>
  <si>
    <t>Đinh công Ạ</t>
  </si>
  <si>
    <t>CSHT_PTO_00926</t>
  </si>
  <si>
    <t>Sector-Quyet-Chien2-TLC</t>
  </si>
  <si>
    <t>Đinh Anh Tuấn</t>
  </si>
  <si>
    <t>CSHT_PTO_00902</t>
  </si>
  <si>
    <t>Sector-Xom-Kha-KBI</t>
  </si>
  <si>
    <t>Bùi Văn Lượng</t>
  </si>
  <si>
    <t>CSHT_PTO_00900</t>
  </si>
  <si>
    <t>Scetor-Cuoi-Oc-KBI</t>
  </si>
  <si>
    <t>Bùi Xuân Chí</t>
  </si>
  <si>
    <t>CSHT_PTO_00901</t>
  </si>
  <si>
    <t>Sector-Hung-Son3-KBI</t>
  </si>
  <si>
    <t>Bùi Quốc Khánh</t>
  </si>
  <si>
    <t>CSHT_PTO_00899</t>
  </si>
  <si>
    <t>Sector-Vo-Da-KBI</t>
  </si>
  <si>
    <t>Bùi Xuân Hòa</t>
  </si>
  <si>
    <t>CSHT_PTO_00895</t>
  </si>
  <si>
    <t>Sector-Cao-Son2-DBC</t>
  </si>
  <si>
    <t>Khương Thị Lân</t>
  </si>
  <si>
    <t>CSHT_PTO_00896</t>
  </si>
  <si>
    <t>Sector-Xom-Lanh-DBC</t>
  </si>
  <si>
    <t>Lường văn Thân</t>
  </si>
  <si>
    <t>CSHT_PTO_00897</t>
  </si>
  <si>
    <t>Sector-Xom-Tam-DBC</t>
  </si>
  <si>
    <t>Đặng văn đào</t>
  </si>
  <si>
    <t>CSHT_PTO_00898</t>
  </si>
  <si>
    <t>Sector-Quy-Duc-DBC</t>
  </si>
  <si>
    <t>Hà thị chỉnh</t>
  </si>
  <si>
    <t>CSHT_PTO_01095</t>
  </si>
  <si>
    <t>Doi-Thung-LCS</t>
  </si>
  <si>
    <t>Đinh Công Ạ</t>
  </si>
  <si>
    <t>CSHT_PTO_00903</t>
  </si>
  <si>
    <t>Sector-Tan-Lap2-LCS</t>
  </si>
  <si>
    <t>Bùi Văn Dược</t>
  </si>
  <si>
    <t>CSHT_PTO_00904</t>
  </si>
  <si>
    <t>Sector-Quyet-Thang-LCS</t>
  </si>
  <si>
    <t>Bùi Trường Đại</t>
  </si>
  <si>
    <t>CSHT_PTO_00905</t>
  </si>
  <si>
    <t>Sector-Van-Son2-LCS</t>
  </si>
  <si>
    <t>Bùi Thị Mạy</t>
  </si>
  <si>
    <t>CSHT_PTO_00906</t>
  </si>
  <si>
    <t>Sector-Mien-Doi2-LCS</t>
  </si>
  <si>
    <t>Bùi Văn Đại</t>
  </si>
  <si>
    <t>CSHT_PTO_00907</t>
  </si>
  <si>
    <t>Sector-Xuat-Hoa2-LCS</t>
  </si>
  <si>
    <t>Bùi Văn Hồng</t>
  </si>
  <si>
    <t>CSHT_PTO_00937</t>
  </si>
  <si>
    <t>Sector-Hang-Tram2-YTY</t>
  </si>
  <si>
    <t>Quách Công Lập</t>
  </si>
  <si>
    <t>CSHT_PTO_00938</t>
  </si>
  <si>
    <t>Sector-Phu-Ve-YTY</t>
  </si>
  <si>
    <t>Bùi Thị Nỉnh</t>
  </si>
  <si>
    <t>CSHT_PTO_00944</t>
  </si>
  <si>
    <t>Sector-Doan-Ket2-YTY</t>
  </si>
  <si>
    <t>Bùi Văn Hậu</t>
  </si>
  <si>
    <t>CSHT_PTO_01099</t>
  </si>
  <si>
    <t>Pho-Sau-YTY</t>
  </si>
  <si>
    <t>Bùi văn cường</t>
  </si>
  <si>
    <t>CSHT_PTO_00943</t>
  </si>
  <si>
    <t>Sector-Thong-Nhat-YTY</t>
  </si>
  <si>
    <t>Phạm Văn Hà</t>
  </si>
  <si>
    <t>CSHT_PTO_00939</t>
  </si>
  <si>
    <t>Sector-Xom-Cuong-YTY</t>
  </si>
  <si>
    <t>Bùi Văn Thịnh</t>
  </si>
  <si>
    <t>CSHT_PTO_00911</t>
  </si>
  <si>
    <t>Sector-TT-Chi-Ne3-LTY</t>
  </si>
  <si>
    <t>Bùi Văn Diện</t>
  </si>
  <si>
    <t>CSHT_PTO_00912</t>
  </si>
  <si>
    <t>Sector-Khu5-Chi-Ne-LTY</t>
  </si>
  <si>
    <t>Trịnh Thu Trang</t>
  </si>
  <si>
    <t>CSHT_PTO_00908</t>
  </si>
  <si>
    <t>Sector-Dong-Van-LTY</t>
  </si>
  <si>
    <t>Nguyễn Thị Phúc</t>
  </si>
  <si>
    <t>CSHT_PTO_00910</t>
  </si>
  <si>
    <t>Sector-Khu-Det-LTY</t>
  </si>
  <si>
    <t>Nguyễn Thế Mạnh</t>
  </si>
  <si>
    <t>NO_MA_467HBH</t>
  </si>
  <si>
    <t>Sector - Thôn 8 xã An Bình</t>
  </si>
  <si>
    <t>Quách Thị Lý</t>
  </si>
  <si>
    <t>CSHT_PTO_00893</t>
  </si>
  <si>
    <t>Sector-Tan-Phong-CPG</t>
  </si>
  <si>
    <t>CSHT_PTO_00894</t>
  </si>
  <si>
    <t>Sector-Pho-Bang2-CPG</t>
  </si>
  <si>
    <t>Ma Thị Hương</t>
  </si>
  <si>
    <t>CSHT_PTO_01098</t>
  </si>
  <si>
    <t>Zen-Vilage-TPO</t>
  </si>
  <si>
    <t>Bùi thị huyến</t>
  </si>
  <si>
    <t>CSHT_PTO_00933</t>
  </si>
  <si>
    <t>Sector-Benh-Xa-CAT-TPO</t>
  </si>
  <si>
    <t>Bùi Văn Thìn</t>
  </si>
  <si>
    <t>CSHT_PTO_01102</t>
  </si>
  <si>
    <t>Tan-Thinh3-TPO</t>
  </si>
  <si>
    <t>Bùi Thị Tuyết Nhung</t>
  </si>
  <si>
    <t>CSHT_PTO_00927</t>
  </si>
  <si>
    <t>Sector-KTTV-HB</t>
  </si>
  <si>
    <t>Bùi Thị Thanh</t>
  </si>
  <si>
    <t>CSHT_PTO_00936</t>
  </si>
  <si>
    <t>Sector-Cho-Thay2-TPO</t>
  </si>
  <si>
    <t>Đài khí tượng thủy văn</t>
  </si>
  <si>
    <t>CSHT_PTO_00935</t>
  </si>
  <si>
    <t>Sector-Phuc-Tien2-TPO</t>
  </si>
  <si>
    <t>CSHT_PTO_00930</t>
  </si>
  <si>
    <t>Sector-Xom-Ma-CPG</t>
  </si>
  <si>
    <t>Nguyễn văn tư</t>
  </si>
  <si>
    <t>CSHT_PTO_01101</t>
  </si>
  <si>
    <t>Yen-Quang3-TPO</t>
  </si>
  <si>
    <t>Đinh cảnh dương</t>
  </si>
  <si>
    <t>CSHT_PTO_00941</t>
  </si>
  <si>
    <t>Sector-Xom-Mai-LSN</t>
  </si>
  <si>
    <t>Bùi văn mạnh</t>
  </si>
  <si>
    <t>CSHT_PTO_01100</t>
  </si>
  <si>
    <t>Da-Bac-LSN</t>
  </si>
  <si>
    <t>Công ty CP Đầu tư PT Viễn thông</t>
  </si>
  <si>
    <t>CSHT_PTO_00915</t>
  </si>
  <si>
    <t>Sector-Lang-Hang-LSN</t>
  </si>
  <si>
    <t>Công ty CP ĐTPT Kiên Trung</t>
  </si>
  <si>
    <t>CSHT_PTO_00931</t>
  </si>
  <si>
    <t>Sector-Xom-Chao-LTY Sector-Xom-Chao</t>
  </si>
  <si>
    <t>Nguyễn Thị Xuyến</t>
  </si>
  <si>
    <t>PTO</t>
  </si>
  <si>
    <t>Tổ hạ tầng Thanh Sơn</t>
  </si>
  <si>
    <t>CSHT_PTO_00401</t>
  </si>
  <si>
    <t>PHUNG-XA_PTO</t>
  </si>
  <si>
    <t>Quán Thị Hải</t>
  </si>
  <si>
    <t>CSHT_PTO_00412</t>
  </si>
  <si>
    <t>SON-TINH-CKE_PTO</t>
  </si>
  <si>
    <t>Nguyễn Thị Lợi</t>
  </si>
  <si>
    <t>2712205350087</t>
  </si>
  <si>
    <t>Agribank CN Cẩm Khê</t>
  </si>
  <si>
    <t>CSHT_PTO_00413</t>
  </si>
  <si>
    <t>VAN-KHUC-CKE_PTO</t>
  </si>
  <si>
    <t>Hoàng Văn Giao</t>
  </si>
  <si>
    <t>2712 205 239 802</t>
  </si>
  <si>
    <t>Agribank Ngân hàng NN &amp; PT NT VN</t>
  </si>
  <si>
    <t>CSHT_PTO_00414</t>
  </si>
  <si>
    <t>CHUONG-XA2-CKE_PTO</t>
  </si>
  <si>
    <t>Hoàng Thị Liên</t>
  </si>
  <si>
    <t>1022800562</t>
  </si>
  <si>
    <t>Ngân hàng Ngoại thương Việt Nam (VCB)</t>
  </si>
  <si>
    <t>CSHT_PTO_00415</t>
  </si>
  <si>
    <t>YEN-TAP-CKE_PTO</t>
  </si>
  <si>
    <t>Nguyễn Thị Tạc</t>
  </si>
  <si>
    <t>Lê Trọng Thủy</t>
  </si>
  <si>
    <t>271 2205 16 4413</t>
  </si>
  <si>
    <t>CSHT_PTO_00471</t>
  </si>
  <si>
    <t>CAM-KHE2- CKE_PTO</t>
  </si>
  <si>
    <t>Thân Thị Tần</t>
  </si>
  <si>
    <t>6033 15403 141</t>
  </si>
  <si>
    <t>Ngân hàng Lộc Phát VN</t>
  </si>
  <si>
    <t>CSHT_PTO_00496</t>
  </si>
  <si>
    <t>TINH-CUONG2-CKE_PTO</t>
  </si>
  <si>
    <t>Nguyễn Xuân Cầm</t>
  </si>
  <si>
    <t>Hoàng Thị Bích Thủy</t>
  </si>
  <si>
    <t>25 0000 0000 5 66666</t>
  </si>
  <si>
    <t>Co-opbank</t>
  </si>
  <si>
    <t>CSHT_PTO_00550</t>
  </si>
  <si>
    <t>YIDA_PTO</t>
  </si>
  <si>
    <t>Bùi Thị Thanh Hải</t>
  </si>
  <si>
    <t>919340999</t>
  </si>
  <si>
    <t>CSHT_PTO_00610</t>
  </si>
  <si>
    <t>PHUONG-VY2_PTO</t>
  </si>
  <si>
    <t>Dư Hữu Thọ</t>
  </si>
  <si>
    <t>346018888</t>
  </si>
  <si>
    <t>Vietinbank(CTG)</t>
  </si>
  <si>
    <t>CSHT_PTO_00615</t>
  </si>
  <si>
    <t>K3-THUY-LIEU_PTO</t>
  </si>
  <si>
    <t>Phùng Văn Như</t>
  </si>
  <si>
    <t>104574748888</t>
  </si>
  <si>
    <t>CSHT_PTO_00614</t>
  </si>
  <si>
    <t>K5-TIEN-LUONG_PTO</t>
  </si>
  <si>
    <t>Nguyễn Ngọc Đương</t>
  </si>
  <si>
    <t>271 2236 00 1981</t>
  </si>
  <si>
    <t>CSHT_PTO_00707</t>
  </si>
  <si>
    <t>DONG-LUONG2_PTO</t>
  </si>
  <si>
    <t>Nguyễn Đức Thanh</t>
  </si>
  <si>
    <t>912577668</t>
  </si>
  <si>
    <t>Mbbank</t>
  </si>
  <si>
    <t>CSHT_PTO_00710</t>
  </si>
  <si>
    <t>PHU-LAC2_PTO</t>
  </si>
  <si>
    <t>Lê Thành Đông</t>
  </si>
  <si>
    <t>Nguyễn Thị Bích Thùy</t>
  </si>
  <si>
    <t>20124490002</t>
  </si>
  <si>
    <t>LPBank</t>
  </si>
  <si>
    <t>CSHT_PTO_00695</t>
  </si>
  <si>
    <t>VAN-BAN2_PTO</t>
  </si>
  <si>
    <t>Nguyễn Thị Lý</t>
  </si>
  <si>
    <t>327826483</t>
  </si>
  <si>
    <t>CSHT_PTO_00794</t>
  </si>
  <si>
    <t>DIEU-LUONG_PTO</t>
  </si>
  <si>
    <t>Nguyễn Văn Giao</t>
  </si>
  <si>
    <t>946289555</t>
  </si>
  <si>
    <t>CSHT_PTO_00809</t>
  </si>
  <si>
    <t>TIEN-LUONG2_PTO</t>
  </si>
  <si>
    <t>Bùi Thị Hoa Lan</t>
  </si>
  <si>
    <t>2712205107455</t>
  </si>
  <si>
    <t>CSHT_PTO_00808</t>
  </si>
  <si>
    <t>KCN-CAM-KHE2_PTO</t>
  </si>
  <si>
    <t>Nguyễn Thị Hà</t>
  </si>
  <si>
    <t>1030307355</t>
  </si>
  <si>
    <t>CSHT_PTO_00810</t>
  </si>
  <si>
    <t>XUONG-THINH2_PTO</t>
  </si>
  <si>
    <t>Nguyễn Hữu Đức</t>
  </si>
  <si>
    <t>836009555</t>
  </si>
  <si>
    <t>CSHT_PTO_00603</t>
  </si>
  <si>
    <t>RMS-YEN-DUONG2_PTO</t>
  </si>
  <si>
    <t>Đào Thị Hạnh</t>
  </si>
  <si>
    <t>2716 215 025 275</t>
  </si>
  <si>
    <t>CSHT_PTO_00684</t>
  </si>
  <si>
    <t>RMS-PHU-KHE_CKE_PTO</t>
  </si>
  <si>
    <t>Hoàng Thị Thúy</t>
  </si>
  <si>
    <t>852988887</t>
  </si>
  <si>
    <t>CSHT_PTO_00685</t>
  </si>
  <si>
    <t>RMS-YEN-DUONG3_PTO</t>
  </si>
  <si>
    <t>Nguyễn Thị Hồng Phượng</t>
  </si>
  <si>
    <t>979304100</t>
  </si>
  <si>
    <t>CSHT_PTO_00656</t>
  </si>
  <si>
    <t>RMS-TAM-SON_PTO</t>
  </si>
  <si>
    <t>Trịnh Thị Nguyệt Ánh</t>
  </si>
  <si>
    <t>2712236039668</t>
  </si>
  <si>
    <t>CSHT_PTO_00790</t>
  </si>
  <si>
    <t>RMS-TIEN-LUONG3_PTO</t>
  </si>
  <si>
    <t>Lê Thành Hiến</t>
  </si>
  <si>
    <t>943711966</t>
  </si>
  <si>
    <t>Tổ hạ tầng Thanh Ba</t>
  </si>
  <si>
    <t>CSHT_PTO_00113</t>
  </si>
  <si>
    <t>CHI-DAM_PTO</t>
  </si>
  <si>
    <t>Vũ Thị Lương</t>
  </si>
  <si>
    <t>CSHT_PTO_00289</t>
  </si>
  <si>
    <t>MINH-LUONG_PTO</t>
  </si>
  <si>
    <t>Vũ Văn Bảy</t>
  </si>
  <si>
    <t>Nguyễn Thị Mai Huyên</t>
  </si>
  <si>
    <t>37110001177992</t>
  </si>
  <si>
    <t>BIDV - CN Phú Thọ</t>
  </si>
  <si>
    <t>CSHT_PTO_00143</t>
  </si>
  <si>
    <t>TAY-COC-900_PTO</t>
  </si>
  <si>
    <t>Đàm Đăng Định</t>
  </si>
  <si>
    <t>CSHT_PTO_00245</t>
  </si>
  <si>
    <t>TIEU-SON-900_PTO</t>
  </si>
  <si>
    <t>Đinh Thị Thanh</t>
  </si>
  <si>
    <t>2710205407855</t>
  </si>
  <si>
    <t>CSHT_PTO_00341</t>
  </si>
  <si>
    <t>BV-HUNG-VUONG-PTO</t>
  </si>
  <si>
    <t>Công ty TNHH Phát triển Y Học Việt</t>
  </si>
  <si>
    <t>Cty TNHH PT Y Học Việt</t>
  </si>
  <si>
    <t>2710 201 001 816</t>
  </si>
  <si>
    <t>Agribank CN Đoan Hùng</t>
  </si>
  <si>
    <t>CSHT_PTO_00402</t>
  </si>
  <si>
    <t>K8-VAN-DU_PTO</t>
  </si>
  <si>
    <t>Nguyễn Văn Tuyên</t>
  </si>
  <si>
    <t>CSHT_PTO_00370</t>
  </si>
  <si>
    <t>K5-PHUC-LAI2_PTO</t>
  </si>
  <si>
    <t>Vũ Xuân Tam</t>
  </si>
  <si>
    <t>2710205353840</t>
  </si>
  <si>
    <t>CSHT_PTO_00468</t>
  </si>
  <si>
    <t>K4-ĐAI-NGHIA-DHG_PTO</t>
  </si>
  <si>
    <t>Đào Văn Tấn</t>
  </si>
  <si>
    <t>271 000 110 1968</t>
  </si>
  <si>
    <t>CSHT_PTO_00472</t>
  </si>
  <si>
    <t>CHAN-MONG-DHG_PTO</t>
  </si>
  <si>
    <t>Lều Quốc Chỉ</t>
  </si>
  <si>
    <t>Lều Quyết Chiến</t>
  </si>
  <si>
    <t>2130 851 980</t>
  </si>
  <si>
    <t>CSHT_PTO_00473</t>
  </si>
  <si>
    <t>TIEU-SON2-DHG_PTO</t>
  </si>
  <si>
    <t>Nguyễn Hồng Phúc</t>
  </si>
  <si>
    <t>Nguyễn Viết Hải</t>
  </si>
  <si>
    <t>972529955</t>
  </si>
  <si>
    <t>MB Ngân hàng Quân Đội</t>
  </si>
  <si>
    <t>CSHT_PTO_00567</t>
  </si>
  <si>
    <t>NGOC_QUAN2_DHG_PTO</t>
  </si>
  <si>
    <t>Nguyễn Văn Ngọc</t>
  </si>
  <si>
    <t>CSHT_PTO_00568</t>
  </si>
  <si>
    <t>CAU-DOAN-HUNG_PTO</t>
  </si>
  <si>
    <t>Phạm Văn Quý</t>
  </si>
  <si>
    <t>2710 2050 82871</t>
  </si>
  <si>
    <t>Agribank-CN Phú Thọ</t>
  </si>
  <si>
    <t>CSHT_PTO_00616</t>
  </si>
  <si>
    <t>SOC-DANG2_PTO</t>
  </si>
  <si>
    <t>Lê Hồng Đoàn</t>
  </si>
  <si>
    <t>977871330</t>
  </si>
  <si>
    <t>Vietinbank - CN Phú Thọ</t>
  </si>
  <si>
    <t>CSHT_PTO_00803</t>
  </si>
  <si>
    <t>NGOC-QUAN4_PTO</t>
  </si>
  <si>
    <t>Kiều Tiến Thau</t>
  </si>
  <si>
    <t>2710205155750</t>
  </si>
  <si>
    <t>CSHT_PTO_00687</t>
  </si>
  <si>
    <t>RMS-MINH-PHU3_PTO</t>
  </si>
  <si>
    <t>Đặng Xuân Nam</t>
  </si>
  <si>
    <t>CSHT_PTO_00657</t>
  </si>
  <si>
    <t>RMS-TAY-COC5_PTO</t>
  </si>
  <si>
    <t>Trần Văn Điều</t>
  </si>
  <si>
    <t>CSHT_PTO_00727</t>
  </si>
  <si>
    <t>RMS-YEN-KIEN3_PTO</t>
  </si>
  <si>
    <t>Đỗ Văn Nhàn</t>
  </si>
  <si>
    <t>CSHT_PTO_00291</t>
  </si>
  <si>
    <t>HUONG-XA_PTO</t>
  </si>
  <si>
    <t>2704 215 003 723</t>
  </si>
  <si>
    <t>CSHT_PTO_00050</t>
  </si>
  <si>
    <t>VO-TRANH_PTO</t>
  </si>
  <si>
    <t>0985 343 194</t>
  </si>
  <si>
    <t>CSHT_PTO_00268</t>
  </si>
  <si>
    <t>XUAN-ANGII_PTO</t>
  </si>
  <si>
    <t>Đinh Hồng Trường</t>
  </si>
  <si>
    <t>2704 205 156 048</t>
  </si>
  <si>
    <t>CSHT_PTO_00372</t>
  </si>
  <si>
    <t>K6-Y-SON_PTO</t>
  </si>
  <si>
    <t>Nguyễn Quốc Trưởng</t>
  </si>
  <si>
    <t>2704 2150 10423</t>
  </si>
  <si>
    <t>CSHT_PTO_00373</t>
  </si>
  <si>
    <t>K7-XUAN-ANG_PTO</t>
  </si>
  <si>
    <t>Cao Tô Điểm</t>
  </si>
  <si>
    <t>Trần Tuyên</t>
  </si>
  <si>
    <t>1076 0286 1982</t>
  </si>
  <si>
    <t>Vietinbank (CTG)</t>
  </si>
  <si>
    <t>CSHT_PTO_00379</t>
  </si>
  <si>
    <t>LAM-LOI_PTO</t>
  </si>
  <si>
    <t>Lê Mạnh Hùng</t>
  </si>
  <si>
    <t>1098 6969 3066</t>
  </si>
  <si>
    <t>CSHT_PTO_00408</t>
  </si>
  <si>
    <t>K3-BANG-GIA_PTO</t>
  </si>
  <si>
    <t>Chu Văn Tấn</t>
  </si>
  <si>
    <t>037 830 0339</t>
  </si>
  <si>
    <t>CSHT_PTO_00498</t>
  </si>
  <si>
    <t>HUONG-XA2-HHA_PTO</t>
  </si>
  <si>
    <t>Đặng Hồng Vy</t>
  </si>
  <si>
    <t>2704 2053 73626</t>
  </si>
  <si>
    <t>CSHT_PTO_00569</t>
  </si>
  <si>
    <t>VO-TRANH-4_PTO</t>
  </si>
  <si>
    <t>Ngô Minh Hoàn</t>
  </si>
  <si>
    <t>2704 205 228711</t>
  </si>
  <si>
    <t>CSHT_PTO_00597</t>
  </si>
  <si>
    <t>K11-YEN-KY_PTO</t>
  </si>
  <si>
    <t>Nguyễn Thị Xuân</t>
  </si>
  <si>
    <t>2704 205 373 468</t>
  </si>
  <si>
    <t>CSHT_PTO_00553</t>
  </si>
  <si>
    <t>RMS-CT05_PTO</t>
  </si>
  <si>
    <t>Hà Quang Tự</t>
  </si>
  <si>
    <t>Vũ Văn Nghĩa</t>
  </si>
  <si>
    <t>150488839999</t>
  </si>
  <si>
    <t>CSHT_PTO_00709</t>
  </si>
  <si>
    <t>UBX-MAI-TUNG_PTO</t>
  </si>
  <si>
    <t>Hồ Đình Hào</t>
  </si>
  <si>
    <t>2704 0000 61971</t>
  </si>
  <si>
    <t>CSHT_PTO_00737</t>
  </si>
  <si>
    <t>MBF-4G_PT_HHA_XUAN_ANG_2</t>
  </si>
  <si>
    <t>Nguyễn Thanh Long</t>
  </si>
  <si>
    <t>Nguyễn Thành Long</t>
  </si>
  <si>
    <t>2704 2150 02708</t>
  </si>
  <si>
    <t>CSHT_PTO_00552</t>
  </si>
  <si>
    <t>RMS-AO-CHAU_PTO</t>
  </si>
  <si>
    <t>Dương Quốc Chấn</t>
  </si>
  <si>
    <t>2704 2150 01813</t>
  </si>
  <si>
    <t>Tổ hạ tầng Việt Trì</t>
  </si>
  <si>
    <t>CSHT_PTO_00173</t>
  </si>
  <si>
    <t>CHU-HOA_PTO</t>
  </si>
  <si>
    <t>Ông: Lại Văn Lịch_Cty CP Dịch vụ Bưu điện Hoàng Thành</t>
  </si>
  <si>
    <t>CSHT_PTO_00151</t>
  </si>
  <si>
    <t>H76-LAM-THAO_PTO</t>
  </si>
  <si>
    <t>Cty CP Super phophat và HC Lâm Thao</t>
  </si>
  <si>
    <t>CSHT_PTO_00080</t>
  </si>
  <si>
    <t>KINH-KE_PTO</t>
  </si>
  <si>
    <t>UBND Xã Kinh Kệ</t>
  </si>
  <si>
    <t>Phòng kinh tế xã Phùng Nguyên</t>
  </si>
  <si>
    <t>3723 0115 5691 00000</t>
  </si>
  <si>
    <t>Kho bạc nhà nước khu vực VIII</t>
  </si>
  <si>
    <t>CSHT_PTO_00219</t>
  </si>
  <si>
    <t>LAM-THAOII-1800_PTO</t>
  </si>
  <si>
    <t>Tạ Quốc Chương</t>
  </si>
  <si>
    <t>2500000068688888</t>
  </si>
  <si>
    <t>Ngân hàng HTX Việt Nam</t>
  </si>
  <si>
    <t>CSHT_PTO_00202</t>
  </si>
  <si>
    <t>SON-DUONG_PTO</t>
  </si>
  <si>
    <t>UBND Xã Sơn Dương</t>
  </si>
  <si>
    <t>CSHT_PTO_00197</t>
  </si>
  <si>
    <t>THACH-SON_PTO</t>
  </si>
  <si>
    <t>Nguyễn Văn Thắng</t>
  </si>
  <si>
    <t>CSHT_PTO_00055</t>
  </si>
  <si>
    <t>XUAN-HUY_PTO</t>
  </si>
  <si>
    <t>Nguyễn Quốc Long</t>
  </si>
  <si>
    <t>CSHT_PTO_00105</t>
  </si>
  <si>
    <t>BAN-NGUYEN_PTO</t>
  </si>
  <si>
    <t>Đặng Văn Luyến</t>
  </si>
  <si>
    <t>CSHT_PTO_00178</t>
  </si>
  <si>
    <t>KHU10-XUAN-LUNG_PTO</t>
  </si>
  <si>
    <t>Nguyễn Tiến Thành</t>
  </si>
  <si>
    <t>CSHT_PTO_00301</t>
  </si>
  <si>
    <t>KHU3-SON-VI-LTO_PTO</t>
  </si>
  <si>
    <t>Nguyễn Trung Sỹ</t>
  </si>
  <si>
    <t>CSHT_PTO_00012</t>
  </si>
  <si>
    <t>LANG-MOI_PTO</t>
  </si>
  <si>
    <t>Tạ Thanh Thuỷ</t>
  </si>
  <si>
    <t>Tạ Thanh Thủy</t>
  </si>
  <si>
    <t>361001654016</t>
  </si>
  <si>
    <t>Ngân hàng Vietcombank</t>
  </si>
  <si>
    <t>CSHT_PTO_00331</t>
  </si>
  <si>
    <t>DUC-MY_PTO</t>
  </si>
  <si>
    <t>Đỗ Văn Tâm</t>
  </si>
  <si>
    <t>CSHT_PTO_00332</t>
  </si>
  <si>
    <t>K14-HUNG-SON_PTO</t>
  </si>
  <si>
    <t>Lý Văn Huỳnh</t>
  </si>
  <si>
    <t>104 0000 46764</t>
  </si>
  <si>
    <t>CSHT_PTO_00333</t>
  </si>
  <si>
    <t>UBX-VINH-LAI_PTO</t>
  </si>
  <si>
    <t>CSHT_PTO_00366</t>
  </si>
  <si>
    <t>K2-TIEN-KIEN_PTO</t>
  </si>
  <si>
    <t>Đỗ Cao Đông</t>
  </si>
  <si>
    <t>CSHT_PTO_00651</t>
  </si>
  <si>
    <t>K9-TIEN-KIEN_PTO</t>
  </si>
  <si>
    <t>Đoàn Văn Năm</t>
  </si>
  <si>
    <t>567 888 999 1987</t>
  </si>
  <si>
    <t>CSHT_PTO_00650</t>
  </si>
  <si>
    <t>UBND-TT-LTO_PTO</t>
  </si>
  <si>
    <t>Nguyễn Thị Minh Phượng</t>
  </si>
  <si>
    <t>Trung tâm chính trị xã Lâm Thao</t>
  </si>
  <si>
    <t>37130 116 1063 00000</t>
  </si>
  <si>
    <t>CSHT_PTO_00793</t>
  </si>
  <si>
    <t>UBND-TT-HUNG-SON_PTO</t>
  </si>
  <si>
    <t>Nguyễn Chiến Thắng</t>
  </si>
  <si>
    <t>CSHT_PTO_00619</t>
  </si>
  <si>
    <t>RMS-UB-SON-VI_PTO</t>
  </si>
  <si>
    <t>Chử Đức Oanh</t>
  </si>
  <si>
    <t>Đảng ủy xã Phùng Nguyên</t>
  </si>
  <si>
    <t>2059 8888</t>
  </si>
  <si>
    <t>CSHT_PTO_00776</t>
  </si>
  <si>
    <t>CCN-BAC-LAM-THAO_PTO</t>
  </si>
  <si>
    <t>Nguyễn Quốc Khánh</t>
  </si>
  <si>
    <t>2703 205 1708 93</t>
  </si>
  <si>
    <t>CSHT_PTO_00799</t>
  </si>
  <si>
    <t>UBX-XUAN-LUNG_PTO</t>
  </si>
  <si>
    <t>Phùng Thị Phương Loan (UBND xã Xuân Lũng)</t>
  </si>
  <si>
    <t>Phòng Kinh tế xã Xuân Lũng</t>
  </si>
  <si>
    <t>3713 0115 2291 000</t>
  </si>
  <si>
    <t>CSHT_PTO_00601</t>
  </si>
  <si>
    <t>RMS-K4-HY-CUONG_PTO</t>
  </si>
  <si>
    <t>Phạm Thị Hoan</t>
  </si>
  <si>
    <t>Nguyễn Thị Thúy Hằng</t>
  </si>
  <si>
    <t>104 885 817 783</t>
  </si>
  <si>
    <t>CSHT_PTO_00731</t>
  </si>
  <si>
    <t>RMS-NVH-K1-HUNG-SON_PTO</t>
  </si>
  <si>
    <t>Nguyễn Văn Vinh</t>
  </si>
  <si>
    <t>CSHT_PTO_00100</t>
  </si>
  <si>
    <t>NM-GIAY-BAI-BANG-1800_PTO</t>
  </si>
  <si>
    <t>Tổng Cty Giấy Việt Nam</t>
  </si>
  <si>
    <t>CSHT_PTO_00123</t>
  </si>
  <si>
    <t>RUNG-MAN_PTO</t>
  </si>
  <si>
    <t>Hà Thị Quang</t>
  </si>
  <si>
    <t>CSHT_PTO_00175</t>
  </si>
  <si>
    <t>VIEN-NCCNL-GIAY_PTO</t>
  </si>
  <si>
    <t>Nguyễn Văn Sinh</t>
  </si>
  <si>
    <t>2709205384390</t>
  </si>
  <si>
    <t>CSHT_PTO_00875</t>
  </si>
  <si>
    <t>QH-PTO-2025-058</t>
  </si>
  <si>
    <t>Bùi Quang Hiệu</t>
  </si>
  <si>
    <t>27033 1818 1818</t>
  </si>
  <si>
    <t>CSHT_PTO_00264</t>
  </si>
  <si>
    <t>GIA-THANH_PTO</t>
  </si>
  <si>
    <t>Hán Đăng Lưu</t>
  </si>
  <si>
    <t>1048 7989 3810</t>
  </si>
  <si>
    <t>NO_MA_565PTO</t>
  </si>
  <si>
    <t>UB xã Gia Thanh</t>
  </si>
  <si>
    <t>CSHT_PTO_00225</t>
  </si>
  <si>
    <t>KHU-1-PHU-HO_PTO</t>
  </si>
  <si>
    <t>Vũ Đình Đồng</t>
  </si>
  <si>
    <t>Trần Thị Lý</t>
  </si>
  <si>
    <t>4260464487</t>
  </si>
  <si>
    <t>CSHT_PTO_00201</t>
  </si>
  <si>
    <t>PHU-NINHII_PTO</t>
  </si>
  <si>
    <t>Nguyễn Văn Canh</t>
  </si>
  <si>
    <t>CSHT_PTO_00063</t>
  </si>
  <si>
    <t>TIEN-KIENII_PTO</t>
  </si>
  <si>
    <t>Lương Ngọc Minh</t>
  </si>
  <si>
    <t>Đặng Thị Hằng</t>
  </si>
  <si>
    <t>17243720011</t>
  </si>
  <si>
    <t>Ngân hàng TMCP Lộc Phát VN</t>
  </si>
  <si>
    <t>CSHT_PTO_00218</t>
  </si>
  <si>
    <t>TIEN-PHU-900_PTO</t>
  </si>
  <si>
    <t>Nguyễn Thành Trung</t>
  </si>
  <si>
    <t>CSHT_PTO_00066</t>
  </si>
  <si>
    <t>TRI-QUAN-900_PTO</t>
  </si>
  <si>
    <t>Trần Văn Thuỷ</t>
  </si>
  <si>
    <t>CSHT_PTO_00067</t>
  </si>
  <si>
    <t>TRUNG-GIAP-900_PTO</t>
  </si>
  <si>
    <t>Bùi Xuân Bảo</t>
  </si>
  <si>
    <t>Bùi Gia Duy Ngọc</t>
  </si>
  <si>
    <t>0300 827 41 433</t>
  </si>
  <si>
    <t>Sacombank Ngân hàng Sài Gòn Thương Tín STB</t>
  </si>
  <si>
    <t>CSHT_PTO_00229</t>
  </si>
  <si>
    <t>TU-DA_PTO</t>
  </si>
  <si>
    <t>Nguyễn Thị Mai Mỹ</t>
  </si>
  <si>
    <t>CSHT_PTO_00326</t>
  </si>
  <si>
    <t>K2-PHU-LOC_PTO</t>
  </si>
  <si>
    <t>Tạ Thị Thu</t>
  </si>
  <si>
    <t>8863 206 139</t>
  </si>
  <si>
    <t>BIDV Ngân hàng ĐT &amp; PT VN</t>
  </si>
  <si>
    <t>CSHT_PTO_00327</t>
  </si>
  <si>
    <t>K4-TRUNG-GIAP_PTO</t>
  </si>
  <si>
    <t>Nguyễn Thị Quế</t>
  </si>
  <si>
    <t>CSHT_PTO_00328</t>
  </si>
  <si>
    <t>K8-BAO-THANH</t>
  </si>
  <si>
    <t>Lê Đình Chiến</t>
  </si>
  <si>
    <t>2709 205 062 254</t>
  </si>
  <si>
    <t>Ngân hàng NN &amp; PTNT Agribank</t>
  </si>
  <si>
    <t>CSHT_PTO_00340</t>
  </si>
  <si>
    <t>K4-PHU-NINH_PTO</t>
  </si>
  <si>
    <t>Ngô Minh Hướng</t>
  </si>
  <si>
    <t>889 888 2888</t>
  </si>
  <si>
    <t>CSHT_PTO_00570</t>
  </si>
  <si>
    <t>K10_PHU_NINH_PNH_PTO</t>
  </si>
  <si>
    <t>Lê Quang Đại</t>
  </si>
  <si>
    <t>CSHT_PTO_00360</t>
  </si>
  <si>
    <t>K1-PHONG CHAU_PTO</t>
  </si>
  <si>
    <t>Viện Kiểm Sát (ông: Nguyễn Đình Duyệt)</t>
  </si>
  <si>
    <t>Đỗ Đưc Anh</t>
  </si>
  <si>
    <t>3560100249002</t>
  </si>
  <si>
    <t>MB</t>
  </si>
  <si>
    <t>CSHT_PTO_00409</t>
  </si>
  <si>
    <t>LIEN-HOA2-PNH_PTO</t>
  </si>
  <si>
    <t>Đặng Văn Thọ</t>
  </si>
  <si>
    <t>CSHT_PTO_00407</t>
  </si>
  <si>
    <t>UBX-TRUNG-GIAP-PNH_PTO</t>
  </si>
  <si>
    <t>UBX Trung Giáp</t>
  </si>
  <si>
    <t>CSHT_PTO_00474</t>
  </si>
  <si>
    <t>TIEN-PHU2-PNH_PTO</t>
  </si>
  <si>
    <t>Nguyễn Văn Được</t>
  </si>
  <si>
    <t>2709 007 021 968</t>
  </si>
  <si>
    <t>CSHT_PTO_00491</t>
  </si>
  <si>
    <t>PHU-HO3_PNH_PTO</t>
  </si>
  <si>
    <t>Nguyễn Thị Thi</t>
  </si>
  <si>
    <t>Nguyễn Thị Thắm</t>
  </si>
  <si>
    <t>109 867 278 745</t>
  </si>
  <si>
    <t>CSHT_PTO_00571</t>
  </si>
  <si>
    <t>KCN-TU-DA_PTO</t>
  </si>
  <si>
    <t>Cty TNHH Việt Nam - Korea (Đỗ Đức Hùng)</t>
  </si>
  <si>
    <t>Công ty Đầy tư xây dựng Thành Đạt</t>
  </si>
  <si>
    <t>4221 00000 59399</t>
  </si>
  <si>
    <t>CSHT_PTO_00617</t>
  </si>
  <si>
    <t>TU-DA2_PTO</t>
  </si>
  <si>
    <t>Nguyễn Hùng Mạnh</t>
  </si>
  <si>
    <t>Lê Thị Bích Lụa</t>
  </si>
  <si>
    <t>1023602927</t>
  </si>
  <si>
    <t>CSHT_PTO_00653</t>
  </si>
  <si>
    <t>K4-PHU-NINH2_PTO</t>
  </si>
  <si>
    <t>Lê Ngọc Diên</t>
  </si>
  <si>
    <t>Huỳnh Thị Hoa</t>
  </si>
  <si>
    <t>105 448 5113</t>
  </si>
  <si>
    <t>CSHT_PTO_00681</t>
  </si>
  <si>
    <t>KCN-DONG-LANG2_PTO</t>
  </si>
  <si>
    <t>Nguyễn Anh Tuấn</t>
  </si>
  <si>
    <t>CSHT_PTO_00672</t>
  </si>
  <si>
    <t>NVH-K9-PHU-NINH_PTO</t>
  </si>
  <si>
    <t>CSHT_PTO_00652</t>
  </si>
  <si>
    <t>PHU-NINH3_PTO</t>
  </si>
  <si>
    <t>Nguyễn Văn Tiến</t>
  </si>
  <si>
    <t>9999 1883 6666</t>
  </si>
  <si>
    <t>CSHT_PTO_00724</t>
  </si>
  <si>
    <t>BINH-PHU_PTO</t>
  </si>
  <si>
    <t>UBND xã Bình Phú</t>
  </si>
  <si>
    <t>CSHT_PTO_00777</t>
  </si>
  <si>
    <t>PHU-LOC2_PTO</t>
  </si>
  <si>
    <t>Đỗ Thị Thanh Hương</t>
  </si>
  <si>
    <t>965438307</t>
  </si>
  <si>
    <t>Ngân hàng MB</t>
  </si>
  <si>
    <t>CSHT_PTO_00807</t>
  </si>
  <si>
    <t>PHU-LOC4_PTO</t>
  </si>
  <si>
    <t>Hà Thị Điều</t>
  </si>
  <si>
    <t>CSHT_PTO_00199</t>
  </si>
  <si>
    <t>THANH-MINH_PTO</t>
  </si>
  <si>
    <t>Trần Nhật Khánh</t>
  </si>
  <si>
    <t>CSHT_PTO_00247</t>
  </si>
  <si>
    <t>TRUONG-THINH_PTO</t>
  </si>
  <si>
    <t>Lê Thị Lương</t>
  </si>
  <si>
    <t>CSHT_PTO_00304</t>
  </si>
  <si>
    <t>KHU9-VAN-LUNG-PTO_PTO</t>
  </si>
  <si>
    <t>Nguyễn Văn Viễn</t>
  </si>
  <si>
    <t>Nguyễn Thị Thu Thủy</t>
  </si>
  <si>
    <t>1008 7771 0908</t>
  </si>
  <si>
    <t>CSHT_PTO_00306</t>
  </si>
  <si>
    <t>ANH-DAO-PTO_PTO</t>
  </si>
  <si>
    <t>Ngô Thành Đồng</t>
  </si>
  <si>
    <t>2701205001833</t>
  </si>
  <si>
    <t>CSHT_PTO_00019</t>
  </si>
  <si>
    <t>PHU-HO_PTO</t>
  </si>
  <si>
    <t>Viện KHKT Nông lâm nghiệp MN phía Bắc</t>
  </si>
  <si>
    <t>Viện KHKT Nông lâm Nghiệp miền núi phía bắc</t>
  </si>
  <si>
    <t>115000090120</t>
  </si>
  <si>
    <t>Vietinbank CN TXPT</t>
  </si>
  <si>
    <t>CSHT_PTO_00307</t>
  </si>
  <si>
    <t>Z121-PTO_PTO</t>
  </si>
  <si>
    <t>Hà Văn Quý</t>
  </si>
  <si>
    <t>107867278710</t>
  </si>
  <si>
    <t>CSHT_PTO_00315</t>
  </si>
  <si>
    <t>KCN-PHU-HA_PTO</t>
  </si>
  <si>
    <t>Nguyễn Chí Tuấn</t>
  </si>
  <si>
    <t>67666 888 9999</t>
  </si>
  <si>
    <t>Ngân hàng quân Đội MB</t>
  </si>
  <si>
    <t>CSHT_PTO_00305</t>
  </si>
  <si>
    <t>THANH-HA-PTO_PTO</t>
  </si>
  <si>
    <t>Hà Thị Thơm</t>
  </si>
  <si>
    <t>108882141970</t>
  </si>
  <si>
    <t>TMCP Công Thương - CN Bắc PT</t>
  </si>
  <si>
    <t>CSHT_PTO_00320</t>
  </si>
  <si>
    <t>AU-CO_PTO</t>
  </si>
  <si>
    <t>Nguyễn Minh Chiến</t>
  </si>
  <si>
    <t>Khuất Hồng Nhung</t>
  </si>
  <si>
    <t>105 804 26999</t>
  </si>
  <si>
    <t>CSHT_PTO_00318</t>
  </si>
  <si>
    <t>HUNG-VUONG_PTO</t>
  </si>
  <si>
    <t>UBND Phường Hùng Vương</t>
  </si>
  <si>
    <t>UBND Phường Phú Thọ</t>
  </si>
  <si>
    <t>7111.4.1137354.00000; chương 860, Tiểu mục:3949; Mã ĐBHC:07942</t>
  </si>
  <si>
    <t>Tại Phòng giao dịch số 1 - Kho bạc nhà nước khu vực III</t>
  </si>
  <si>
    <t>CSHT_PTO_00479</t>
  </si>
  <si>
    <t>K12-HA-THACH_PTO</t>
  </si>
  <si>
    <t>Trần Quang Vinh</t>
  </si>
  <si>
    <t>Trần Ngọc Cảnh</t>
  </si>
  <si>
    <t>105 873 216 611</t>
  </si>
  <si>
    <t>CSHT_PTO_00480</t>
  </si>
  <si>
    <t>HA-SA_PTO</t>
  </si>
  <si>
    <t>Nguyễn Như Lập</t>
  </si>
  <si>
    <t>Nguyễn Như Hoàn</t>
  </si>
  <si>
    <t>104007016855</t>
  </si>
  <si>
    <t>CSHT_PTO_00582</t>
  </si>
  <si>
    <t>KCN-PHU-HA2_PTO</t>
  </si>
  <si>
    <t>Công ty thi công cơ giới Viglacera</t>
  </si>
  <si>
    <t>CSHT_PTO_00655</t>
  </si>
  <si>
    <t>KCN-PHU-HA3_PTO</t>
  </si>
  <si>
    <t>Phan Văn Phương</t>
  </si>
  <si>
    <t>103879620196</t>
  </si>
  <si>
    <t>Vietinbank - Ngân hàng công thương việt nam</t>
  </si>
  <si>
    <t>CSHT_PTO_00649</t>
  </si>
  <si>
    <t>KCN-PHU-HA4_PTO</t>
  </si>
  <si>
    <t>Cty CP Đầu tư XD Thành Đạt (ông: Lê Hoài Nam)</t>
  </si>
  <si>
    <t>CSHT_PTO_00779</t>
  </si>
  <si>
    <t>HA-LOC3_PTO</t>
  </si>
  <si>
    <t>Nguyễn Đức Thắng</t>
  </si>
  <si>
    <t>2701231098927</t>
  </si>
  <si>
    <t>CSHT_PTO_00798</t>
  </si>
  <si>
    <t>PHU-THO2_PTO</t>
  </si>
  <si>
    <t>CSHT_PTO_00703</t>
  </si>
  <si>
    <t>RMS-K2-PHU-HO_PTO</t>
  </si>
  <si>
    <t>Ngô Ngọc Thìn</t>
  </si>
  <si>
    <t>3520106126008</t>
  </si>
  <si>
    <t>CSHT_PTO_00502</t>
  </si>
  <si>
    <t>VU-EN_PTO</t>
  </si>
  <si>
    <t>Nguyễn Chính Độ</t>
  </si>
  <si>
    <t>10500 4994 054</t>
  </si>
  <si>
    <t>CSHT_PTO_00198</t>
  </si>
  <si>
    <t>K2-TT-THANH-BA_PTO</t>
  </si>
  <si>
    <t>CSHT_PTO_00313</t>
  </si>
  <si>
    <t>KHU1-DONG-LINH-TBA_PTO</t>
  </si>
  <si>
    <t>Nghiêm Thị Thuận</t>
  </si>
  <si>
    <t>105 870 840 807</t>
  </si>
  <si>
    <t>CSHT_PTO_00314</t>
  </si>
  <si>
    <t>KHU1-NINH-DAN_PTO</t>
  </si>
  <si>
    <t>Vi Văn Phượng</t>
  </si>
  <si>
    <t>8283 8866</t>
  </si>
  <si>
    <t>ACB ngân hàng Á Châu</t>
  </si>
  <si>
    <t>CSHT_PTO_00492</t>
  </si>
  <si>
    <t>NANG-YEN2_PTO</t>
  </si>
  <si>
    <t>2709 205 171 641</t>
  </si>
  <si>
    <t>CSHT_PTO_00319</t>
  </si>
  <si>
    <t>MAN-LAN-900_PTO</t>
  </si>
  <si>
    <t>Đỗ Xuân Cường</t>
  </si>
  <si>
    <t>106 879 099639</t>
  </si>
  <si>
    <t>CSHT_PTO_00231</t>
  </si>
  <si>
    <t>DONG-THANH_PTO</t>
  </si>
  <si>
    <t>CSHT_PTO_00400</t>
  </si>
  <si>
    <t>VAN-LINH2_PTO</t>
  </si>
  <si>
    <t>Mai Công Tuấn</t>
  </si>
  <si>
    <t>0983 065 808</t>
  </si>
  <si>
    <t>CSHT_PTO_00475</t>
  </si>
  <si>
    <t>SON-CUONG2- TBA_PTO</t>
  </si>
  <si>
    <t>Đỗ Văn Thông</t>
  </si>
  <si>
    <t>2711 205 143 332</t>
  </si>
  <si>
    <t>CSHT_PTO_00572</t>
  </si>
  <si>
    <t>HOANG-CUONG-TBA_PTO</t>
  </si>
  <si>
    <t>Nhạc Văn Tường</t>
  </si>
  <si>
    <t>2711 205 159 667</t>
  </si>
  <si>
    <t>CSHT_PTO_00682</t>
  </si>
  <si>
    <t>K12-DONG-THANH_PTO</t>
  </si>
  <si>
    <t>Nguyễn Đức Anh</t>
  </si>
  <si>
    <t>10888 524 4764</t>
  </si>
  <si>
    <t>CSHT_PTO_00690</t>
  </si>
  <si>
    <t>RMS-K16-DONG-THANH_PTO</t>
  </si>
  <si>
    <t>Hoàng Văn Hoan</t>
  </si>
  <si>
    <t>0396 532 423</t>
  </si>
  <si>
    <t>CSHT_PTO_00311</t>
  </si>
  <si>
    <t>BEN-XE-THANH-SON-TSN_PTO</t>
  </si>
  <si>
    <t>Phạm Thị Miên</t>
  </si>
  <si>
    <t>Vũ Văn Hòa</t>
  </si>
  <si>
    <t>2715205494530</t>
  </si>
  <si>
    <t>CSHT_PTO_00053</t>
  </si>
  <si>
    <t>GIAP-LAI_PTO</t>
  </si>
  <si>
    <t>Nguyễn Đình Cường. PCT- Xã Giáp Lai</t>
  </si>
  <si>
    <t>CSHT_PTO_00212</t>
  </si>
  <si>
    <t>HAT7-THANH-SON_PTO</t>
  </si>
  <si>
    <t>Phạm Ngọc Sự</t>
  </si>
  <si>
    <t>Phạm Thị Hải Yến</t>
  </si>
  <si>
    <t>2715215047854</t>
  </si>
  <si>
    <t>CSHT_PTO_00027</t>
  </si>
  <si>
    <t>HUONG-CANIII_PTO</t>
  </si>
  <si>
    <t>Đinh Mạnh Tính</t>
  </si>
  <si>
    <t>CSHT_PTO_00287</t>
  </si>
  <si>
    <t>THANG-SON_PTO</t>
  </si>
  <si>
    <t>Đinh Công Trọng. PCT - Xã Thắng Sơn</t>
  </si>
  <si>
    <t>CSHT_PTO_00001</t>
  </si>
  <si>
    <t>THUONG-CUU_PTO</t>
  </si>
  <si>
    <t>Đặng Văn Thi</t>
  </si>
  <si>
    <t>CSHT_PTO_00272</t>
  </si>
  <si>
    <t>TINH-NHUE_PTO</t>
  </si>
  <si>
    <t>Hà Mạnh Tưởng . CT Xã Tinh Nhuệ</t>
  </si>
  <si>
    <t>CSHT_PTO_00081</t>
  </si>
  <si>
    <t>YEN-LUONG_PTO</t>
  </si>
  <si>
    <t>Đinh Văn Năng. CT - Xã Yên Lương</t>
  </si>
  <si>
    <t>CSHT_PTO_00082</t>
  </si>
  <si>
    <t>YEN-SON_PTO</t>
  </si>
  <si>
    <t>Đinh Văn Đạt</t>
  </si>
  <si>
    <t>2715205234290</t>
  </si>
  <si>
    <t>Agribank - Ngân hàng Nông nghiệp và phát triển nông thôn Việt nam</t>
  </si>
  <si>
    <t>CSHT_PTO_00398</t>
  </si>
  <si>
    <t>RUONG-MO_PTO</t>
  </si>
  <si>
    <t>Trần Liên Hoa</t>
  </si>
  <si>
    <t>106876301546</t>
  </si>
  <si>
    <t>CSHT_PTO_00388</t>
  </si>
  <si>
    <t>TAN-THANH_PTO</t>
  </si>
  <si>
    <t>Hoàng Văn Thái</t>
  </si>
  <si>
    <t>CSHT_PTO_00573</t>
  </si>
  <si>
    <t>THUC-LUYEN2-THS_PTO</t>
  </si>
  <si>
    <t>Đào Thế Hướng</t>
  </si>
  <si>
    <t>Đào Thế Giang</t>
  </si>
  <si>
    <t>2715888388888</t>
  </si>
  <si>
    <t>CSHT_PTO_00593</t>
  </si>
  <si>
    <t>TAN-LAP2_PTO</t>
  </si>
  <si>
    <t>Ngọc Văn Thành</t>
  </si>
  <si>
    <t>CSHT_PTO_00618</t>
  </si>
  <si>
    <t>YEN-LANG_THS_PTO</t>
  </si>
  <si>
    <t>Đinh Văn Quang</t>
  </si>
  <si>
    <t>9704229207112359936</t>
  </si>
  <si>
    <t>CSHT_PTO_00647</t>
  </si>
  <si>
    <t>THUC-LUYEN3_PTO</t>
  </si>
  <si>
    <t>Chúc Mạnh Hùng</t>
  </si>
  <si>
    <t>107871302251</t>
  </si>
  <si>
    <t>CSHT_PTO_00815</t>
  </si>
  <si>
    <t>SON-HUNG2_PTO</t>
  </si>
  <si>
    <t>Ngô Thị Thúy Nga</t>
  </si>
  <si>
    <t>Phan Diệu Linh</t>
  </si>
  <si>
    <t>33704060068660</t>
  </si>
  <si>
    <t>VIB</t>
  </si>
  <si>
    <t>CSHT_PTO_00590</t>
  </si>
  <si>
    <t>RMS_VIET_TIEN_THS_PTO</t>
  </si>
  <si>
    <t>Trần Xuân Hòe</t>
  </si>
  <si>
    <t>CSHT_PTO_00626</t>
  </si>
  <si>
    <t>RMS-SINH-DUOI_PTO</t>
  </si>
  <si>
    <t>Nguyễn Văn Mười</t>
  </si>
  <si>
    <t>Trần Thị Ngọc Vân</t>
  </si>
  <si>
    <t>100870501399</t>
  </si>
  <si>
    <t>CSHT_PTO_00692</t>
  </si>
  <si>
    <t>RMS-DICH-QUA4_PTO</t>
  </si>
  <si>
    <t>Nguyễn Văn Hùng</t>
  </si>
  <si>
    <t>2715215019002</t>
  </si>
  <si>
    <t>CSHT_PTO_00700</t>
  </si>
  <si>
    <t>RMS-CAU-KHANH_PTO</t>
  </si>
  <si>
    <t>Phùng Minh Dũng</t>
  </si>
  <si>
    <t>CSHT_PTO_00701</t>
  </si>
  <si>
    <t>RMS-KHA-CUU2_PTO</t>
  </si>
  <si>
    <t>CSHT_PTO_00781</t>
  </si>
  <si>
    <t>RMS-TINH-NHUE2_PTO</t>
  </si>
  <si>
    <t>Hoàng Văn Trường</t>
  </si>
  <si>
    <t>102886190143</t>
  </si>
  <si>
    <t>CSHT_PTO_00789</t>
  </si>
  <si>
    <t>RMS-TAN-MINH2_PTO</t>
  </si>
  <si>
    <t>Hà Thanh Tuất</t>
  </si>
  <si>
    <t>329283413</t>
  </si>
  <si>
    <t>Viettelmoney</t>
  </si>
  <si>
    <t>CSHT_PTO_00702</t>
  </si>
  <si>
    <t>RMS-XOM-VO_PTO</t>
  </si>
  <si>
    <t>Hoàng Đức Thuyên</t>
  </si>
  <si>
    <t>CSHT_PTO_00664</t>
  </si>
  <si>
    <t>RMS-YEN-SON2_PTO</t>
  </si>
  <si>
    <t>Nguyễn Văn Hiệp</t>
  </si>
  <si>
    <t>CSHT_PTO_00127</t>
  </si>
  <si>
    <t>DAU-DUONG_PTO</t>
  </si>
  <si>
    <t>UBND xã Dân Quyền; Đào Tiến Lực</t>
  </si>
  <si>
    <t>CSHT_PTO_00308</t>
  </si>
  <si>
    <t>KHU10-CO-TIET-TNG_PTO</t>
  </si>
  <si>
    <t>UBND xã Vạn Xuân; Triệu Công Hoan</t>
  </si>
  <si>
    <t>CSHT_PTO_00076</t>
  </si>
  <si>
    <t>TAM-CUONG_PTO</t>
  </si>
  <si>
    <t>UBND xã Vạn Xuân ; Triệu Công Hoan</t>
  </si>
  <si>
    <t>CSHT_PTO_00317</t>
  </si>
  <si>
    <t>KHU4-CO-TIET_PTO</t>
  </si>
  <si>
    <t>Hán Văn Trọng</t>
  </si>
  <si>
    <t>Hán Thị Tuyết Mai</t>
  </si>
  <si>
    <t>271 4205 140209</t>
  </si>
  <si>
    <t>CSHT_PTO_00395</t>
  </si>
  <si>
    <t>KCN-TE-LE_PTO</t>
  </si>
  <si>
    <t>Nguyễn Trung Nhân</t>
  </si>
  <si>
    <t>Phùng Thị Nụ</t>
  </si>
  <si>
    <t>2810205060078</t>
  </si>
  <si>
    <t>CSHT_PTO_00476</t>
  </si>
  <si>
    <t>VAN-LUONG- TNG_PTO</t>
  </si>
  <si>
    <t>Nguyễn Văn Bắc</t>
  </si>
  <si>
    <t>Hán Thị Toàn</t>
  </si>
  <si>
    <t>104873430569</t>
  </si>
  <si>
    <t>CSHT_PTO_00493</t>
  </si>
  <si>
    <t>HUONG-NON2-TNG_PTO</t>
  </si>
  <si>
    <t>Nguyễn Văn Khanh</t>
  </si>
  <si>
    <t>Nguyễn Văn Quyến</t>
  </si>
  <si>
    <t>04 1010 1993 1300</t>
  </si>
  <si>
    <t>MSB Ngân hàng Hàng Hải</t>
  </si>
  <si>
    <t>CSHT_PTO_00644</t>
  </si>
  <si>
    <t>K3-HUONG-NON_PTO</t>
  </si>
  <si>
    <t>Cù Xuân Hạnh</t>
  </si>
  <si>
    <t>2714 205 024 577</t>
  </si>
  <si>
    <t>CSHT_PTO_00797</t>
  </si>
  <si>
    <t>CO-TIET2_PTO</t>
  </si>
  <si>
    <t>Vũ Mạnh Thắng ( Trạm BTS K9- Cổ Tiết)</t>
  </si>
  <si>
    <t>Vũ Mạnh Thắng</t>
  </si>
  <si>
    <t>105870312135</t>
  </si>
  <si>
    <t>CSHT_PTO_00813</t>
  </si>
  <si>
    <t>VAN-LUONG2-TNG_PTO</t>
  </si>
  <si>
    <t>Hán Văn Thắng</t>
  </si>
  <si>
    <t>Hán Đức Cảnh</t>
  </si>
  <si>
    <t>230820036789</t>
  </si>
  <si>
    <t>CSHT_PTO_00814</t>
  </si>
  <si>
    <t>TAM-NONG2_PTO</t>
  </si>
  <si>
    <t>Lý Anh Song</t>
  </si>
  <si>
    <t>2714205045207</t>
  </si>
  <si>
    <t>CSHT_PTO_00627</t>
  </si>
  <si>
    <t>RMS-UBX-VAN-XUAN_PTO</t>
  </si>
  <si>
    <t>Hán Xuân Vịnh</t>
  </si>
  <si>
    <t>2714 281 00 8885</t>
  </si>
  <si>
    <t>CSHT_PTO_00661</t>
  </si>
  <si>
    <t>RMS-HIEN-QUAN2_PTO</t>
  </si>
  <si>
    <t>Trần Quý Đông</t>
  </si>
  <si>
    <t>9704 2292 0436 6900 604</t>
  </si>
  <si>
    <t>CSHT_PTO_00697</t>
  </si>
  <si>
    <t>RMS-HUNG-DO_PTO</t>
  </si>
  <si>
    <t>Vũ Duy Nghĩa</t>
  </si>
  <si>
    <t>9704229278761296</t>
  </si>
  <si>
    <t>CSHT_PTO_00689</t>
  </si>
  <si>
    <t>RMS-TE-LE4_PTO</t>
  </si>
  <si>
    <t>Cù Văn Tân</t>
  </si>
  <si>
    <t>2714215044332</t>
  </si>
  <si>
    <t>CSHT_PTO_00263</t>
  </si>
  <si>
    <t>DEO-CON_PTO</t>
  </si>
  <si>
    <t>Công ty Lâm nghiệp Tam Sơn</t>
  </si>
  <si>
    <t>CSHT_PTO_00399</t>
  </si>
  <si>
    <t>MINH-TAN_PTO</t>
  </si>
  <si>
    <t>Đinh Thị Bằng</t>
  </si>
  <si>
    <t>Trần Quốc Hoàn</t>
  </si>
  <si>
    <t>912809689</t>
  </si>
  <si>
    <t>LPBank Ngân hàng Lộc Phát VN</t>
  </si>
  <si>
    <t>CSHT_PTO_00477</t>
  </si>
  <si>
    <t>K3-TAN-PHU- TSN_PTO</t>
  </si>
  <si>
    <t>Hà Minh Bản</t>
  </si>
  <si>
    <t>Hà Minh Luân</t>
  </si>
  <si>
    <t>2702666988888</t>
  </si>
  <si>
    <t>CSHT_PTO_00478</t>
  </si>
  <si>
    <t>THU-NGAC2-TSN_PTO</t>
  </si>
  <si>
    <t>Hà Văn Yên</t>
  </si>
  <si>
    <t>Bạch Văn Nam</t>
  </si>
  <si>
    <t>4250664819</t>
  </si>
  <si>
    <t>CSHT_PTO_00490</t>
  </si>
  <si>
    <t>XUAN-SON2-TSN _PTO</t>
  </si>
  <si>
    <t>Trần Văn Việt</t>
  </si>
  <si>
    <t>Đặng Thị Thủy</t>
  </si>
  <si>
    <t>270 220 527 1638</t>
  </si>
  <si>
    <t>CSHT_PTO_00499</t>
  </si>
  <si>
    <t>THU-CUC3-TSN_PTO</t>
  </si>
  <si>
    <t>Hà Đình Huấn</t>
  </si>
  <si>
    <t>Hoàng Đình Luân</t>
  </si>
  <si>
    <t>1098 7459 8145</t>
  </si>
  <si>
    <t>CSHT_PTO_00595</t>
  </si>
  <si>
    <t>LONG-COC2_PTO</t>
  </si>
  <si>
    <t>Phùng Văn Nhâm</t>
  </si>
  <si>
    <t>Lê Thị Hằng</t>
  </si>
  <si>
    <t>6612 011 979</t>
  </si>
  <si>
    <t>CSHT_PTO_00584</t>
  </si>
  <si>
    <t>RMS-HA-BANG-TSN_PTO</t>
  </si>
  <si>
    <t>Đặng Văn Chung</t>
  </si>
  <si>
    <t>Đặng Hồng Sơn</t>
  </si>
  <si>
    <t>210 920 020 403 04</t>
  </si>
  <si>
    <t>CSHT_PTO_00588</t>
  </si>
  <si>
    <t>RMS-KHU-KET-TSN_PTO</t>
  </si>
  <si>
    <t>Phùng Văn Minh</t>
  </si>
  <si>
    <t>Phùng Thị Thúy Nga</t>
  </si>
  <si>
    <t>4260 621 307</t>
  </si>
  <si>
    <t>CSHT_PTO_00575</t>
  </si>
  <si>
    <t>RMS-XOM-TANG-TSN_PTO</t>
  </si>
  <si>
    <t>Hà Văn Học</t>
  </si>
  <si>
    <t>Hà Thị Hoa</t>
  </si>
  <si>
    <t>0369 937 086</t>
  </si>
  <si>
    <t>CSHT_PTO_00586</t>
  </si>
  <si>
    <t>RMS-KHU-LONG1_PTO</t>
  </si>
  <si>
    <t>Dương Kim Quyên</t>
  </si>
  <si>
    <t>Phùng Thị Mai</t>
  </si>
  <si>
    <t>0919 616 485</t>
  </si>
  <si>
    <t>CSHT_PTO_00576</t>
  </si>
  <si>
    <t>RMS-DONG-GIANG-TSN_PTO</t>
  </si>
  <si>
    <t>Đinh Công Điệp</t>
  </si>
  <si>
    <t>2702215025479</t>
  </si>
  <si>
    <t>CSHT_PTO_00585</t>
  </si>
  <si>
    <t>RMS-XOM-LANG-TSN_PTO</t>
  </si>
  <si>
    <t>Trần Văn Dương</t>
  </si>
  <si>
    <t>27022 1504 4690</t>
  </si>
  <si>
    <t>CSHT_PTO_00580</t>
  </si>
  <si>
    <t>RMS-KHU-LONG2-TSN_PTO</t>
  </si>
  <si>
    <t>Phùng Sinh Lịch</t>
  </si>
  <si>
    <t>081 420 6180</t>
  </si>
  <si>
    <t>CSHT_PTO_00782</t>
  </si>
  <si>
    <t>RMS-DONG-SON2_PTO</t>
  </si>
  <si>
    <t>Phùng Văn Hải</t>
  </si>
  <si>
    <t>Phùng Thanh Hải</t>
  </si>
  <si>
    <t>2702 2052 02250</t>
  </si>
  <si>
    <t>CSHT_PTO_00728</t>
  </si>
  <si>
    <t>RMS-THU-CUC2_PTO</t>
  </si>
  <si>
    <t>Hà Thanh Ấu</t>
  </si>
  <si>
    <t>109874598145</t>
  </si>
  <si>
    <t>CSHT_PTO_00699</t>
  </si>
  <si>
    <t>RMS-DEO-MUONG_PTO</t>
  </si>
  <si>
    <t>Phùng Đức Lưu</t>
  </si>
  <si>
    <t>967511202</t>
  </si>
  <si>
    <t>CSHT_PTO_00788</t>
  </si>
  <si>
    <t>RMS-VAN-LUONG2-TSN_PTO</t>
  </si>
  <si>
    <t>Nguyễn Văn Bẩy</t>
  </si>
  <si>
    <t>Nguyễn Văn Nội</t>
  </si>
  <si>
    <t>271 520 547 6335</t>
  </si>
  <si>
    <t>CSHT_PTO_00783</t>
  </si>
  <si>
    <t>RMS-RQG-XUAN-SON_PTO</t>
  </si>
  <si>
    <t>Vườn quốc gia XS</t>
  </si>
  <si>
    <t>CSHT_PTO_00698</t>
  </si>
  <si>
    <t>RMS-CO-SON_PTO</t>
  </si>
  <si>
    <t>Đinh Công Báo</t>
  </si>
  <si>
    <t>Đinh Thị My</t>
  </si>
  <si>
    <t>0377 181 636</t>
  </si>
  <si>
    <t>CSHT_PTO_00394</t>
  </si>
  <si>
    <t>K17-DAO-XA_PTO</t>
  </si>
  <si>
    <t>Trần Xuân Trạch</t>
  </si>
  <si>
    <t>Trần Thị Thu Thủy</t>
  </si>
  <si>
    <t>973621980</t>
  </si>
  <si>
    <t>CSHT_PTO_00381</t>
  </si>
  <si>
    <t>MO-NGOT_PTO</t>
  </si>
  <si>
    <t>Nguyễn Văn Thục</t>
  </si>
  <si>
    <t>Nguyễn Tiến Toàn</t>
  </si>
  <si>
    <t>2717 205 287 856</t>
  </si>
  <si>
    <t>CSHT_PTO_00397</t>
  </si>
  <si>
    <t>NHANG-QUE_PTO</t>
  </si>
  <si>
    <t>Nguyễn Văn Hợi</t>
  </si>
  <si>
    <t>Đỗ Ngọc Sơn</t>
  </si>
  <si>
    <t>0942 904 222</t>
  </si>
  <si>
    <t>CSHT_PTO_00667</t>
  </si>
  <si>
    <t>TAN-PHUONG2_PTO</t>
  </si>
  <si>
    <t>Nguyễn Văn Phấn</t>
  </si>
  <si>
    <t>0357 816 099</t>
  </si>
  <si>
    <t>Nam Á_Ngân hàng Nam Á</t>
  </si>
  <si>
    <t>CSHT_PTO_00706</t>
  </si>
  <si>
    <t>THANH-THUY2_PTO</t>
  </si>
  <si>
    <t>Nguyễn Xuân Trường</t>
  </si>
  <si>
    <t>CSHT_PTO_00802</t>
  </si>
  <si>
    <t>K4-DONG-TRUNG-TTY_PTO</t>
  </si>
  <si>
    <t>Nguyễn Thị Hiền ( Anh Hoà PBH)</t>
  </si>
  <si>
    <t>CSHT_PTO_00642</t>
  </si>
  <si>
    <t>RMS-WYNDHAM-DAS-TTY_PTO</t>
  </si>
  <si>
    <t>Phạm Đắc Long</t>
  </si>
  <si>
    <t>Công ty CP Khoáng Nóng Thanh Thủy</t>
  </si>
  <si>
    <t>949567 88888</t>
  </si>
  <si>
    <t>Ngân hàng MB CN Hoàn Kiếm</t>
  </si>
  <si>
    <t>CSHT_PTO_00605</t>
  </si>
  <si>
    <t>RMS-KS-THAO-MY_PTO</t>
  </si>
  <si>
    <t>Nguyễn Minh Ky</t>
  </si>
  <si>
    <t>1220120289</t>
  </si>
  <si>
    <t>CSHT_PTO_00604</t>
  </si>
  <si>
    <t>RMS-KCN-HOANG-XA_PTO</t>
  </si>
  <si>
    <t>Nguyễn Thành Công</t>
  </si>
  <si>
    <t>CSHT_PTO_00785</t>
  </si>
  <si>
    <t>RMS-PHUONG-MAO3-TTY_PTO</t>
  </si>
  <si>
    <t>UBND xã Tu Vũ</t>
  </si>
  <si>
    <t>CSHT_PTO_00732</t>
  </si>
  <si>
    <t>RMS-K17-DONG-TRUNG-TTY_PTO</t>
  </si>
  <si>
    <t>UBND xã Đồng Trung</t>
  </si>
  <si>
    <t>CSHT_PTO_00786</t>
  </si>
  <si>
    <t>RMS-K5-TAT-THANG_PTO</t>
  </si>
  <si>
    <t>Đinh Thị Khiêm</t>
  </si>
  <si>
    <t>CSHT_PTO_00693</t>
  </si>
  <si>
    <t>RMS-PHUONG-MAO2_PTO</t>
  </si>
  <si>
    <t>Bùi Văn Đông ( Khuất Anh Điệp)</t>
  </si>
  <si>
    <t>CSHT_PTO_00662</t>
  </si>
  <si>
    <t>RMS-K3-SON-THUY_PTO</t>
  </si>
  <si>
    <t>Lê Văn Hồng</t>
  </si>
  <si>
    <t>CSHT_PTO_00179</t>
  </si>
  <si>
    <t>CONG-TY-CHE_PTO</t>
  </si>
  <si>
    <t>Trương Thành Doanh</t>
  </si>
  <si>
    <t>CSHT_PTO_00132</t>
  </si>
  <si>
    <t>DOI10-MINH-NONG_PTO</t>
  </si>
  <si>
    <t>0409 715 10001</t>
  </si>
  <si>
    <t>CSHT_PTO_00297</t>
  </si>
  <si>
    <t>GA-VIET-TRI_PTO</t>
  </si>
  <si>
    <t>Nguyễn Văn Hòa</t>
  </si>
  <si>
    <t>CSHT_PTO_00150</t>
  </si>
  <si>
    <t>GIA-CAM_PTO</t>
  </si>
  <si>
    <t>Nguyễn Sỹ Như</t>
  </si>
  <si>
    <t>CSHT_PTO_00240</t>
  </si>
  <si>
    <t>HOA-PHONG_PTO</t>
  </si>
  <si>
    <t>Đỗ Ngọc Luyện</t>
  </si>
  <si>
    <t>CSHT_PTO_00096</t>
  </si>
  <si>
    <t>HOP-PHUONG_PTO</t>
  </si>
  <si>
    <t>Công ty đầu cổ phần đầu tư phát triển và quản lý nhà ở xã hội Phú Thọ</t>
  </si>
  <si>
    <t>CSHT_PTO_00077</t>
  </si>
  <si>
    <t>KHU6-NONG-TRANG_PTO</t>
  </si>
  <si>
    <t>Nguyễn Tiến Vũ</t>
  </si>
  <si>
    <t>Trần Thị Nguyên</t>
  </si>
  <si>
    <t>3911196339</t>
  </si>
  <si>
    <t>CSHT_PTO_00083</t>
  </si>
  <si>
    <t>KS-BAO-CHAU_PTO</t>
  </si>
  <si>
    <t>Ngô Anh Tuấn</t>
  </si>
  <si>
    <t>2700236666666</t>
  </si>
  <si>
    <t>CSHT_PTO_00091</t>
  </si>
  <si>
    <t>MINH-NONG_PTO</t>
  </si>
  <si>
    <t>Đỗ Thị Dung</t>
  </si>
  <si>
    <t>CSHT_PTO_00241</t>
  </si>
  <si>
    <t>NONG-TRANG_PTO</t>
  </si>
  <si>
    <t>Bưu điện tỉnh Phú Thọ</t>
  </si>
  <si>
    <t>CSHT_PTO_00015</t>
  </si>
  <si>
    <t>SO-TTTT_PTO</t>
  </si>
  <si>
    <t>Công ty CPDDTPT Kiên Trung</t>
  </si>
  <si>
    <t>CSHT_PTO_00207</t>
  </si>
  <si>
    <t>TAN-DAN_PTO</t>
  </si>
  <si>
    <t>Nguyễn Thị Hoa</t>
  </si>
  <si>
    <t>CSHT_PTO_00237</t>
  </si>
  <si>
    <t>THANH-MIEU_PTO</t>
  </si>
  <si>
    <t>Nguyễn Thị Ánh</t>
  </si>
  <si>
    <t>8660118086666</t>
  </si>
  <si>
    <t>CSHT_PTO_00043</t>
  </si>
  <si>
    <t>THON-DAU_PTO</t>
  </si>
  <si>
    <t>Trường Cao đẳng y dược Phú Thọ</t>
  </si>
  <si>
    <t>Trường cao đẳng y dược Phú Thọ</t>
  </si>
  <si>
    <t>110000025079</t>
  </si>
  <si>
    <t>Vietinbank-CN Phú Thọ</t>
  </si>
  <si>
    <t>CSHT_PTO_00044</t>
  </si>
  <si>
    <t>THO-SON_PTO</t>
  </si>
  <si>
    <t>Trung tâm hội nghị tỉnh Phú Thọ</t>
  </si>
  <si>
    <t>Trung tâm Hội nghị tỉnh</t>
  </si>
  <si>
    <t>115000012457</t>
  </si>
  <si>
    <t>CSHT_PTO_00062</t>
  </si>
  <si>
    <t>TIEN-CAT_PTO</t>
  </si>
  <si>
    <t>Nguyễn Thị Thuyết</t>
  </si>
  <si>
    <t>Đào Quang Tuyến</t>
  </si>
  <si>
    <t>42810000768068</t>
  </si>
  <si>
    <t>BIDV - ngân hàng đầu tư và phát triển việt nam</t>
  </si>
  <si>
    <t>CSHT_PTO_00295</t>
  </si>
  <si>
    <t>TOAN-THINH_PTO</t>
  </si>
  <si>
    <t>Lê Thị Hường</t>
  </si>
  <si>
    <t>CSHT_PTO_00171</t>
  </si>
  <si>
    <t>TRUNG-CAP-THUC-PHAM_PTO</t>
  </si>
  <si>
    <t>Trường CĐ Thực phẩm</t>
  </si>
  <si>
    <t>CSHT_PTO_00068</t>
  </si>
  <si>
    <t>TRUNG-VUONG_PTO</t>
  </si>
  <si>
    <t>UBND Trưng Vương</t>
  </si>
  <si>
    <t>Hà Việt Anh</t>
  </si>
  <si>
    <t>0298 758 10003</t>
  </si>
  <si>
    <t>Ngân hàng Lộc Phát VN - LPBank</t>
  </si>
  <si>
    <t>CSHT_PTO_00102</t>
  </si>
  <si>
    <t>TT-TTN-DEN-HUNG_PTO</t>
  </si>
  <si>
    <t>Khu di tích Lịch sử Đền Hùng</t>
  </si>
  <si>
    <t>CSHT_PTO_00242</t>
  </si>
  <si>
    <t>DAT-THANG-1800_PTO</t>
  </si>
  <si>
    <t>Lê Văn Mạnh</t>
  </si>
  <si>
    <t>CSHT_PTO_00298</t>
  </si>
  <si>
    <t>DH-HUNG-VUONG_PTO</t>
  </si>
  <si>
    <t>Trường Đại học Hùng Vương</t>
  </si>
  <si>
    <t>Trường ĐH Hùng Vương</t>
  </si>
  <si>
    <t>2700201005321</t>
  </si>
  <si>
    <t>CSHT_PTO_00206</t>
  </si>
  <si>
    <t>DOI2-TRUNG-VUONG_PTO</t>
  </si>
  <si>
    <t>Nguyễn Khải Hoàn</t>
  </si>
  <si>
    <t>CSHT_PTO_00294</t>
  </si>
  <si>
    <t>N4566_HUONG-GIANG_PTO</t>
  </si>
  <si>
    <t>Công ty CPTM Kim Cương</t>
  </si>
  <si>
    <t>Công ty TNHH TM Kim Cương</t>
  </si>
  <si>
    <t>421 001 0450</t>
  </si>
  <si>
    <t>Đầu tư &amp; Phát triển VN - CN Phú Thọ</t>
  </si>
  <si>
    <t>CSHT_PTO_00079</t>
  </si>
  <si>
    <t>KIM-DUC_PTO</t>
  </si>
  <si>
    <t>UBND xã Kim Đức</t>
  </si>
  <si>
    <t>CSHT_PTO_00309</t>
  </si>
  <si>
    <t>ME-QUANG-PTO</t>
  </si>
  <si>
    <t>Lê Văn Tiếp</t>
  </si>
  <si>
    <t>CSHT_PTO_00048</t>
  </si>
  <si>
    <t>MINH-BOT_PTO</t>
  </si>
  <si>
    <t>Nguyễn Triệu Kim Ngân</t>
  </si>
  <si>
    <t>033 581 4461</t>
  </si>
  <si>
    <t>CSHT_PTO_00177</t>
  </si>
  <si>
    <t>MINH-PHUONG-1800_PTO</t>
  </si>
  <si>
    <t>Đỗ Quang Tuyến</t>
  </si>
  <si>
    <t>CSHT_PTO_00310</t>
  </si>
  <si>
    <t>MO-HA-TPO_PTO</t>
  </si>
  <si>
    <t>Trạm Y tế phường Bạch Hạc</t>
  </si>
  <si>
    <t>Đào Đức Quang</t>
  </si>
  <si>
    <t>2708888821969</t>
  </si>
  <si>
    <t>Agribank - CN Thanh Miếu</t>
  </si>
  <si>
    <t>CSHT_PTO_00214</t>
  </si>
  <si>
    <t>PHUONG-LAU_PTO</t>
  </si>
  <si>
    <t>Trần Văn Vệ</t>
  </si>
  <si>
    <t>CSHT_PTO_00300</t>
  </si>
  <si>
    <t>N5667_QUAN-KHU-2_PTO</t>
  </si>
  <si>
    <t>Bà Lại Thị Minh</t>
  </si>
  <si>
    <t>Lại Thị Minh</t>
  </si>
  <si>
    <t>2121 00000 46789</t>
  </si>
  <si>
    <t>BIDV- CN Tây hồ Hà Nội</t>
  </si>
  <si>
    <t>CSHT_PTO_00125</t>
  </si>
  <si>
    <t>SONG-LO_PTO</t>
  </si>
  <si>
    <t>UBND xã Sông Lô</t>
  </si>
  <si>
    <t>CSHT_PTO_00235</t>
  </si>
  <si>
    <t>TAN-BINH_PTO</t>
  </si>
  <si>
    <t>Ngô Thị Minh Hòa</t>
  </si>
  <si>
    <t>8896722999</t>
  </si>
  <si>
    <t>CSHT_PTO_00194</t>
  </si>
  <si>
    <t>THUY-VAN-1800_PTO</t>
  </si>
  <si>
    <t>Nguyễn Văn Cân</t>
  </si>
  <si>
    <t>CSHT_PTO_00064</t>
  </si>
  <si>
    <t>TO10-DUU-LAU_PTO</t>
  </si>
  <si>
    <t>Nguyễn Thị Đài</t>
  </si>
  <si>
    <t>CSHT_PTO_00296</t>
  </si>
  <si>
    <t>UBX-MINH-NONG_PTO</t>
  </si>
  <si>
    <t>UBND Phường Minh Nông</t>
  </si>
  <si>
    <t>Lưu Hồng Hải</t>
  </si>
  <si>
    <t>913835631</t>
  </si>
  <si>
    <t>CSHT_PTO_00183</t>
  </si>
  <si>
    <t>VINH-MO_PTO</t>
  </si>
  <si>
    <t>Nguyễn Văn Tân</t>
  </si>
  <si>
    <t>CSHT_PTO_00097</t>
  </si>
  <si>
    <t>AN-THAI_PTO</t>
  </si>
  <si>
    <t>Nguyễn Văn Hà</t>
  </si>
  <si>
    <t>CSHT_PTO_00165</t>
  </si>
  <si>
    <t>VAN-PHU_PTO</t>
  </si>
  <si>
    <t>Nguyễn Thị Nguyệt Ánh</t>
  </si>
  <si>
    <t>CSHT_PTO_00316</t>
  </si>
  <si>
    <t>QUE-TRAO_PTO</t>
  </si>
  <si>
    <t>Lê Công Anh</t>
  </si>
  <si>
    <t>CSHT_PTO_00321</t>
  </si>
  <si>
    <t>HIV-VTI_PTO</t>
  </si>
  <si>
    <t>Trung tâm phòng chống HIV/ADIS</t>
  </si>
  <si>
    <t>CSHT_PTO_00329</t>
  </si>
  <si>
    <t>K1-KIM-DUC_PTO</t>
  </si>
  <si>
    <t>Nguyễn Xuân Hồng</t>
  </si>
  <si>
    <t>CSHT_PTO_00330</t>
  </si>
  <si>
    <t>K3-VAN-CO_PTO</t>
  </si>
  <si>
    <t>Nguyễn Thị Đĩnh</t>
  </si>
  <si>
    <t>103883 531077</t>
  </si>
  <si>
    <t>CSHT_PTO_00334</t>
  </si>
  <si>
    <t>K2-THANH-DINH_PTO</t>
  </si>
  <si>
    <t>Lê Diên Đôn</t>
  </si>
  <si>
    <t>107607111964</t>
  </si>
  <si>
    <t>CSHT_PTO_00335</t>
  </si>
  <si>
    <t>K3-THUY-VAN_PTO</t>
  </si>
  <si>
    <t>Tạ Đình Quang</t>
  </si>
  <si>
    <t>8303031959</t>
  </si>
  <si>
    <t>CSHT_PTO_00336</t>
  </si>
  <si>
    <t>VAN-HOA-NGHE-THUAT_PTO</t>
  </si>
  <si>
    <t>Trường Tiểu học Tiên Cát</t>
  </si>
  <si>
    <t>Trường tiểu học Tiên Cát</t>
  </si>
  <si>
    <t>3713.0.1001519.00000</t>
  </si>
  <si>
    <t>Kho bạn nhà nước khu vực VIII - phòng kế toán nhà nước</t>
  </si>
  <si>
    <t>CSHT_PTO_00469</t>
  </si>
  <si>
    <t>TRUONG-CHINH-TRI-TPO-VTI_PTO</t>
  </si>
  <si>
    <t>Trung tâm bồi dưỡng chính trị thành phố Việt Trì</t>
  </si>
  <si>
    <t>Tô Thị Mỡ</t>
  </si>
  <si>
    <t>2803555556556</t>
  </si>
  <si>
    <t>CSHT_PTO_00564</t>
  </si>
  <si>
    <t>SVD_VIET_TRI_VTI_PTO</t>
  </si>
  <si>
    <t>Trung tâm quản lý, khai thác khu liên hợp thể dục thể thao tỉnh Phú Thọ</t>
  </si>
  <si>
    <t>TT quản lý, khai thác các thiết chế thể thao</t>
  </si>
  <si>
    <t>3663455678999</t>
  </si>
  <si>
    <t>CSHT_PTO_00344</t>
  </si>
  <si>
    <t>DUONG-CHAU-PHONG-VTI_PTO</t>
  </si>
  <si>
    <t>Sở Công thương Phú Thọ</t>
  </si>
  <si>
    <t>CSHT_PTO_00371</t>
  </si>
  <si>
    <t>K6-DUU-LAU_PTO</t>
  </si>
  <si>
    <t>Lê Cẩm Châu (Dương Quỳnh Hoa)</t>
  </si>
  <si>
    <t>Lê Cẩm Châu</t>
  </si>
  <si>
    <t>1016035735</t>
  </si>
  <si>
    <t>CSHT_PTO_00375</t>
  </si>
  <si>
    <t>K8-THANH-DINH_PTO</t>
  </si>
  <si>
    <t>Phạm Quyết Trí</t>
  </si>
  <si>
    <t>19075663992016</t>
  </si>
  <si>
    <t>Ngân hàng Techcombank</t>
  </si>
  <si>
    <t>CSHT_PTO_00497</t>
  </si>
  <si>
    <t>TIEN-CAT2-VTI_PTO</t>
  </si>
  <si>
    <t>Ban Quản lý chợ Tiên Cát</t>
  </si>
  <si>
    <t>Đinh Văn Ninh</t>
  </si>
  <si>
    <t>2708205171452</t>
  </si>
  <si>
    <t>CSHT_PTO_00495</t>
  </si>
  <si>
    <t>KIM-DUC2_PTO</t>
  </si>
  <si>
    <t>Nguyễn Hữu Long</t>
  </si>
  <si>
    <t>986409519</t>
  </si>
  <si>
    <t>CSHT_PTO_00489</t>
  </si>
  <si>
    <t>MINH-PHUONG2-VTI_PTO</t>
  </si>
  <si>
    <t>Lương Thị Mùi</t>
  </si>
  <si>
    <t>CSHT_PTO_00483</t>
  </si>
  <si>
    <t>PHU-DONG-VTI_PTO</t>
  </si>
  <si>
    <t>Đỗ Tất Khôi</t>
  </si>
  <si>
    <t>CSHT_PTO_00484</t>
  </si>
  <si>
    <t>GIA-CAM2-VTI_PTO</t>
  </si>
  <si>
    <t>Nguyễn Thị Hòa</t>
  </si>
  <si>
    <t>Nguyễn Thị Hương</t>
  </si>
  <si>
    <t>109004 215343</t>
  </si>
  <si>
    <t>CSHT_PTO_00485</t>
  </si>
  <si>
    <t>KIEM-LAM-VTI_PTO</t>
  </si>
  <si>
    <t>Chi cục kiểm lâm tỉnh Phú Thọ</t>
  </si>
  <si>
    <t>CSHT_PTO_00563</t>
  </si>
  <si>
    <t>VAN-CO2_VTI_PTO</t>
  </si>
  <si>
    <t>Trung tâm Y tế thành phố Việt Trì</t>
  </si>
  <si>
    <t>TT Y Tế Khu vực Việt Trì</t>
  </si>
  <si>
    <t>2708 201 001 354</t>
  </si>
  <si>
    <t>Ngân hàng NN&amp;PT NT - CN Thanh Miếu</t>
  </si>
  <si>
    <t>CSHT_PTO_00565</t>
  </si>
  <si>
    <t>TAN-DAN3_PTO</t>
  </si>
  <si>
    <t>Nguyễn Phúc Phú</t>
  </si>
  <si>
    <t>CSHT_PTO_00566</t>
  </si>
  <si>
    <t>TOA-AN-TINH_PTO</t>
  </si>
  <si>
    <t>Toà án nhân dân tỉnh Phú Thọ</t>
  </si>
  <si>
    <t>Đinh Mạnh Thìn</t>
  </si>
  <si>
    <t>4210101965</t>
  </si>
  <si>
    <t>BIDV- Ngân hàng đầu tư và phát triển Việt Nam</t>
  </si>
  <si>
    <t>CSHT_PTO_00592</t>
  </si>
  <si>
    <t>MAI-SON2_PTO</t>
  </si>
  <si>
    <t>Tạ Văn Chấn</t>
  </si>
  <si>
    <t>CSHT_PTO_00596</t>
  </si>
  <si>
    <t>KCN-THUY-VAN3_PTO</t>
  </si>
  <si>
    <t>Nguyễn Tiến Trung</t>
  </si>
  <si>
    <t>1048 7354 1064</t>
  </si>
  <si>
    <t>CSHT_PTO_00611</t>
  </si>
  <si>
    <t>MINH-PHUONG4_PTO</t>
  </si>
  <si>
    <t>Vũ Văn Thật</t>
  </si>
  <si>
    <t>CSHT_PTO_00609</t>
  </si>
  <si>
    <t>VU-THE-LANG_PTO</t>
  </si>
  <si>
    <t>Trung đoàn 753/BCHQS tỉnh Phú Thọ</t>
  </si>
  <si>
    <t>CSHT_PTO_00608</t>
  </si>
  <si>
    <t>HONG-NGOC_VTI_PTO</t>
  </si>
  <si>
    <t>Ông: Vũ Tiến Thịnh_Công ty CP DOKA Đông Dương</t>
  </si>
  <si>
    <t>CSHT_PTO_00683</t>
  </si>
  <si>
    <t>KCN-THUY-VAN4_PTO</t>
  </si>
  <si>
    <t>Nguyễn Đức Minh</t>
  </si>
  <si>
    <t>Phạm Đức Long</t>
  </si>
  <si>
    <t>42824180001</t>
  </si>
  <si>
    <t>CSHT_PTO_00694</t>
  </si>
  <si>
    <t>NM-DET-VTI_PTO</t>
  </si>
  <si>
    <t>Công ty TNHH Thanh Tuyền</t>
  </si>
  <si>
    <t>4280018541</t>
  </si>
  <si>
    <t>BIDV CN Hùng Vương</t>
  </si>
  <si>
    <t>CSHT_PTO_00774</t>
  </si>
  <si>
    <t>CTY-HUYNDAI_PTO</t>
  </si>
  <si>
    <t>Công ty TNHH Bình Minh</t>
  </si>
  <si>
    <t>4210002059</t>
  </si>
  <si>
    <t>CSHT_PTO_00725</t>
  </si>
  <si>
    <t>KS-THAO-NGUYEN_PTO</t>
  </si>
  <si>
    <t>Bùi Trọng Tuấn (ks Thảo Nguyên)</t>
  </si>
  <si>
    <t>Bùi Trọng Tuấn</t>
  </si>
  <si>
    <t>913285999</t>
  </si>
  <si>
    <t>CSHT_PTO_00778</t>
  </si>
  <si>
    <t>BTS-GO-VTI_PTO</t>
  </si>
  <si>
    <t>GO VTI</t>
  </si>
  <si>
    <t>Công ty cổ phần Bất động sản Việt - Nhật</t>
  </si>
  <si>
    <t>002 755 866 001</t>
  </si>
  <si>
    <t>Ngân hàng TNHH Một thành viên HSBC Việt nam - CN Hà Nội</t>
  </si>
  <si>
    <t>CSHT_PTO_00800</t>
  </si>
  <si>
    <t>DAI-TRUYEN-HINH_PTO</t>
  </si>
  <si>
    <t>Đài phát thanh và truyền hình Phú Thọ</t>
  </si>
  <si>
    <t>CSHT_PTO_00792</t>
  </si>
  <si>
    <t>THO-SON2_PTO</t>
  </si>
  <si>
    <t>UBND phường Thọ Sơn</t>
  </si>
  <si>
    <t>Cù Anh Tuấn</t>
  </si>
  <si>
    <t>1915168129</t>
  </si>
  <si>
    <t>CSHT_PTO_00806</t>
  </si>
  <si>
    <t>NM-DONG-TAU-VTI_PTO</t>
  </si>
  <si>
    <t>Đóng tàu Sông Lô</t>
  </si>
  <si>
    <t>Cty CP xây dựng và đóng tàu sông lô</t>
  </si>
  <si>
    <t>8660056199</t>
  </si>
  <si>
    <t>BIDV - CN Gia Lâm, Hà Nội</t>
  </si>
  <si>
    <t>CSHT_PTO_00811</t>
  </si>
  <si>
    <t>MINH-NONG2_PTO</t>
  </si>
  <si>
    <t>Nguyễn Thị Thu Hằng</t>
  </si>
  <si>
    <t>CSHT_PTO_00812</t>
  </si>
  <si>
    <t>DUU-LAU2_PTO</t>
  </si>
  <si>
    <t>Hồ Phi Hoài</t>
  </si>
  <si>
    <t>CSHT_PTO_00602</t>
  </si>
  <si>
    <t>RMS-YTE-KIM-DUC_PTO</t>
  </si>
  <si>
    <t>Đậu Văn Lam</t>
  </si>
  <si>
    <t>Lê Thị Hoài Phương</t>
  </si>
  <si>
    <t>2713 2150 27013</t>
  </si>
  <si>
    <t>Agribank-CN Vân Cơ</t>
  </si>
  <si>
    <t>CSHT_PTO_</t>
  </si>
  <si>
    <t>Sân bóng - sông hồng , chưa lắp trạm</t>
  </si>
  <si>
    <t>CSHT_PTO_00093</t>
  </si>
  <si>
    <t>MY-LUNG_PTO</t>
  </si>
  <si>
    <t>Hà Thị Quyên</t>
  </si>
  <si>
    <t>CSHT_PTO_00353</t>
  </si>
  <si>
    <t>BEN-SON_PTO</t>
  </si>
  <si>
    <t>Nguyễn Phúc Hậu</t>
  </si>
  <si>
    <t>2716205151687</t>
  </si>
  <si>
    <t>CSHT_PTO_00384</t>
  </si>
  <si>
    <t>PHUC-KHANH_PTO</t>
  </si>
  <si>
    <t>Kiều Kim Định</t>
  </si>
  <si>
    <t>CSHT_PTO_00574</t>
  </si>
  <si>
    <t>DONG_LAC2_YLP_PTO</t>
  </si>
  <si>
    <t>Bùi Thị Hồng Hạnh</t>
  </si>
  <si>
    <t>30025914321</t>
  </si>
  <si>
    <t>Sacombank</t>
  </si>
  <si>
    <t>CSHT_PTO_00583</t>
  </si>
  <si>
    <t>RMS-XOM-DICH-YLP_PTO</t>
  </si>
  <si>
    <t>Nguyễn Thị Lộc</t>
  </si>
  <si>
    <t>385876596</t>
  </si>
  <si>
    <t>CSHT_PTO_00594</t>
  </si>
  <si>
    <t>THUONG-LONG2_PTO</t>
  </si>
  <si>
    <t>CSHT_PTO_00612</t>
  </si>
  <si>
    <t>LUONG-SON2_PTO</t>
  </si>
  <si>
    <t>Trần Văn Chanh</t>
  </si>
  <si>
    <t>914889331</t>
  </si>
  <si>
    <t>CSHT_PTO_00613</t>
  </si>
  <si>
    <t>TRUNG-SON2_PTO</t>
  </si>
  <si>
    <t>Đinh Tiến Việt</t>
  </si>
  <si>
    <t>CSHT_PTO_00670</t>
  </si>
  <si>
    <t>MY-LUONG2_PTO</t>
  </si>
  <si>
    <t>Phùng Thị Kim Liên</t>
  </si>
  <si>
    <t>915161963</t>
  </si>
  <si>
    <t>CSHT_PTO_00671</t>
  </si>
  <si>
    <t>YEN-LAP2_PTO</t>
  </si>
  <si>
    <t>Trung Tâm DGNN - GDTX Yên Lập</t>
  </si>
  <si>
    <t>CSHT_PTO_00708</t>
  </si>
  <si>
    <t>MINH-THUONG-YLP_PTO</t>
  </si>
  <si>
    <t>CSHT_PTO_00791</t>
  </si>
  <si>
    <t>RMS-NGA-HOANG_PTO</t>
  </si>
  <si>
    <t>Đào Quang Ninh</t>
  </si>
  <si>
    <t>912588085</t>
  </si>
  <si>
    <t>CSHT_PTO_00705</t>
  </si>
  <si>
    <t>RMS-MINH-HOA2_PTO</t>
  </si>
  <si>
    <t>Phùng Thị Hiệp</t>
  </si>
  <si>
    <t>1883686888</t>
  </si>
  <si>
    <t>CSHT_PTO_00704</t>
  </si>
  <si>
    <t>RMS-MY-LUNG2_PTO</t>
  </si>
  <si>
    <t>CSHT_PTO_00780</t>
  </si>
  <si>
    <t>RMS-XUAN-AN2_PTO</t>
  </si>
  <si>
    <t>Tổ hạ Tầng Thanh Sơn</t>
  </si>
  <si>
    <t>CSHT_PTO_01092</t>
  </si>
  <si>
    <t>THANH-NGA2_PTO</t>
  </si>
  <si>
    <t>Nguyễn Thị Dung</t>
  </si>
  <si>
    <t>22/2025/HĐTĐ</t>
  </si>
  <si>
    <t>CSHT_PTO_01093</t>
  </si>
  <si>
    <t>THANH-NGA_PTO</t>
  </si>
  <si>
    <t>Hoàng Hữu Quang</t>
  </si>
  <si>
    <t>24/2025/HĐTĐ</t>
  </si>
  <si>
    <t>NO_MA_790PTO</t>
  </si>
  <si>
    <t>RMS-VAN-BAN3_PTO</t>
  </si>
  <si>
    <t>Trần Công Phượng</t>
  </si>
  <si>
    <t>25/2025/HĐTĐ</t>
  </si>
  <si>
    <t>NO_MA_791PTO</t>
  </si>
  <si>
    <t>RMS-HUNG-LONG2_PTO</t>
  </si>
  <si>
    <t>Trần Văn Tiệp</t>
  </si>
  <si>
    <t>21/2025/HĐTĐ</t>
  </si>
  <si>
    <t>CSHT_PTO_01091</t>
  </si>
  <si>
    <t>CHI-DAM3_PTO</t>
  </si>
  <si>
    <t>Đoàn Tiến Thành</t>
  </si>
  <si>
    <t>06/2025/HĐTĐ</t>
  </si>
  <si>
    <t>CSHT_PTO_01081</t>
  </si>
  <si>
    <t>HA-LOC2_PTO</t>
  </si>
  <si>
    <t>Trần Thị Tỏa</t>
  </si>
  <si>
    <t>38/2025/HĐTĐ</t>
  </si>
  <si>
    <t>NO_MA_794PTO</t>
  </si>
  <si>
    <t>RMS-DONG-THANH4_PTO</t>
  </si>
  <si>
    <t>Vi Văn Bàng</t>
  </si>
  <si>
    <t>20/2025/HĐTĐ</t>
  </si>
  <si>
    <t>NO_MA_795PTO</t>
  </si>
  <si>
    <t>RMS-GIA-DIEN2_PTO</t>
  </si>
  <si>
    <t>Nguyễn Thị Minh</t>
  </si>
  <si>
    <t>29/2025/HĐTĐ</t>
  </si>
  <si>
    <t>NO_MA_796PTO</t>
  </si>
  <si>
    <t>RMS-YEN-KY2_PTO</t>
  </si>
  <si>
    <t>Đinh Thị Xuân</t>
  </si>
  <si>
    <t>31/2025/HĐTĐ</t>
  </si>
  <si>
    <t>NO_MA_797PTO</t>
  </si>
  <si>
    <t>RMS-HIEN-LUONG2_PTO</t>
  </si>
  <si>
    <t>Đỗ Đăng Truyền</t>
  </si>
  <si>
    <t>01/2025/HĐTĐ</t>
  </si>
  <si>
    <t>CSHT_PTO_01113</t>
  </si>
  <si>
    <t>Phùng Thị Kim Tưởng</t>
  </si>
  <si>
    <t>02/2025/HĐTĐ</t>
  </si>
  <si>
    <t>397506156</t>
  </si>
  <si>
    <t>CSHT_PTO_01087</t>
  </si>
  <si>
    <t>PHU-THINH_PTO</t>
  </si>
  <si>
    <t>Nguyễn Đình Nguyên</t>
  </si>
  <si>
    <t>CSHT_PTO_01073</t>
  </si>
  <si>
    <t>TIEU-SON3_PTO</t>
  </si>
  <si>
    <t>Trần Thị Tự</t>
  </si>
  <si>
    <t>03/2025/HĐTĐ</t>
  </si>
  <si>
    <t>CSHT_PTO_01094</t>
  </si>
  <si>
    <t>VAN-DU2_PTO</t>
  </si>
  <si>
    <t>Trần Hữu Dũng</t>
  </si>
  <si>
    <t>04/2025/HĐTĐ</t>
  </si>
  <si>
    <t>NO_MA_802PTO</t>
  </si>
  <si>
    <t>RMS-VO-TRANH2_PTO</t>
  </si>
  <si>
    <t>Cao Thị Khoản</t>
  </si>
  <si>
    <t>05/2025/HĐTĐ</t>
  </si>
  <si>
    <t>CSHT_PTO_01086</t>
  </si>
  <si>
    <t>YEN-KIEN2_PTO</t>
  </si>
  <si>
    <t>Nguyễn Trung Kiên</t>
  </si>
  <si>
    <t>34/2025/HĐTĐ</t>
  </si>
  <si>
    <t>NO_MA_804PTO</t>
  </si>
  <si>
    <t>RMS-BINH-BO2_PTO</t>
  </si>
  <si>
    <t>Nguyễn Thị Hồng Nhung</t>
  </si>
  <si>
    <t>CSHT_PTO_01080</t>
  </si>
  <si>
    <t>RMS-PHU-LOC3_PTO</t>
  </si>
  <si>
    <t>Đào Ngọc Lan</t>
  </si>
  <si>
    <t>15/2025/HĐTĐ</t>
  </si>
  <si>
    <t>NO_MA_806PTO</t>
  </si>
  <si>
    <t>RMS-LIEN-MINH_PTO</t>
  </si>
  <si>
    <t>Đỗ Ngọc Chiến</t>
  </si>
  <si>
    <t>NO_MA_807PTO</t>
  </si>
  <si>
    <t>RMS-GIAP-LAI2_PTO</t>
  </si>
  <si>
    <t>Nguyễn Đức Hoà</t>
  </si>
  <si>
    <t>NO_MA_808PTO</t>
  </si>
  <si>
    <t>RMS-THACH-KHOAN2_PTO</t>
  </si>
  <si>
    <t>Đinh Văn Tiến</t>
  </si>
  <si>
    <t>NO_MA_809PTO</t>
  </si>
  <si>
    <t>RMS-HIEN-QUAN3_PTO</t>
  </si>
  <si>
    <t>Trần Thị Bình</t>
  </si>
  <si>
    <t>NO_MA_810PTO</t>
  </si>
  <si>
    <t>RMS-YEN-MAO3_PTO</t>
  </si>
  <si>
    <t>Nguyễn Văn Kính</t>
  </si>
  <si>
    <t>CSHT_PTO_01090</t>
  </si>
  <si>
    <t>XUAN-THUY2_PTO</t>
  </si>
  <si>
    <t>Đinh Xuân Chiến</t>
  </si>
  <si>
    <t>23/2025/HĐTĐ</t>
  </si>
  <si>
    <t>NO_MA_812PTO</t>
  </si>
  <si>
    <t>MO-HA2_PTO</t>
  </si>
  <si>
    <t>Nguyễn Đức Thiện</t>
  </si>
  <si>
    <t>40/2025/HĐTĐ</t>
  </si>
  <si>
    <t>NO_MA_813PTO</t>
  </si>
  <si>
    <t>RMS-HUONG-CAN4_PTO</t>
  </si>
  <si>
    <t>Đinh Viết Lượng</t>
  </si>
  <si>
    <t>41/2025/HĐTĐ</t>
  </si>
  <si>
    <t>NO_MA_814PTO</t>
  </si>
  <si>
    <t>RMS-YEN-DUONG4_PTO</t>
  </si>
  <si>
    <t>Đặng Thị Thanh</t>
  </si>
  <si>
    <t>NO_MA_815PTO</t>
  </si>
  <si>
    <t>RMS-BINH-BO3_PTO</t>
  </si>
  <si>
    <t>Cao Thị Giảng</t>
  </si>
  <si>
    <t>CSHT_PTO_01077</t>
  </si>
  <si>
    <t>HUONG-NON4_PTO</t>
  </si>
  <si>
    <t>Nguyễn Văn Thăng</t>
  </si>
  <si>
    <t>NO_MA_817PTO</t>
  </si>
  <si>
    <t>Hoa Vương</t>
  </si>
  <si>
    <t>Nguyễn Ngọc Lâm</t>
  </si>
  <si>
    <t>NO_MA_818PTO</t>
  </si>
  <si>
    <t>SONG-LO2_PTO</t>
  </si>
  <si>
    <t>Đào Văn Xuân</t>
  </si>
  <si>
    <t>NO_MA_819PTO</t>
  </si>
  <si>
    <t>RMS-VAN-LUONG3_PTO</t>
  </si>
  <si>
    <t>Trần Thành Trung TNG</t>
  </si>
  <si>
    <t>CSHT_PTO_01083</t>
  </si>
  <si>
    <t>DAI-AN2_PTO</t>
  </si>
  <si>
    <t>Trịnh Thúy Hà</t>
  </si>
  <si>
    <t>NO_MA_821PTO</t>
  </si>
  <si>
    <t>Trần Ngọc Quyên</t>
  </si>
  <si>
    <t>Tổ Hạ tầng Thanh Ba</t>
  </si>
  <si>
    <t>NO_MA_822PTO</t>
  </si>
  <si>
    <t>Phan Tiến Lâm</t>
  </si>
  <si>
    <t>NO_MA_823PTO</t>
  </si>
  <si>
    <t>NO_MA_824PTO</t>
  </si>
  <si>
    <t>Hà Văn Đại</t>
  </si>
  <si>
    <t>NO_MA_825PTO</t>
  </si>
  <si>
    <t>NO_MA_826PTO</t>
  </si>
  <si>
    <t>Trần Đức Nam</t>
  </si>
  <si>
    <t>NO_MA_827PTO</t>
  </si>
  <si>
    <t>Hà Minh Sang</t>
  </si>
  <si>
    <t>NO_MA_828PTO</t>
  </si>
  <si>
    <t>NO_MA_829PTO</t>
  </si>
  <si>
    <t>Lê Duy Thuần</t>
  </si>
  <si>
    <t>VPC</t>
  </si>
  <si>
    <t>Tổ hạ tầng Vĩnh Yên</t>
  </si>
  <si>
    <t>CSHT_VPC_00092</t>
  </si>
  <si>
    <t>Trung-Nguyen_VPC</t>
  </si>
  <si>
    <t>Kim Xuân Lương</t>
  </si>
  <si>
    <t>1020858129</t>
  </si>
  <si>
    <t>NH TMCP Ngoại thương VN</t>
  </si>
  <si>
    <t>CSHT_VPC_00070</t>
  </si>
  <si>
    <t>Yen-Quan_VPC</t>
  </si>
  <si>
    <t>977890986</t>
  </si>
  <si>
    <t>Ngân hàng thương mại CP Lộc Phát VN</t>
  </si>
  <si>
    <t>CSHT_VPC_00342</t>
  </si>
  <si>
    <t>UB-TRUNG-NGUYEN_VPC</t>
  </si>
  <si>
    <t>UBND Xã Trung Nguyên</t>
  </si>
  <si>
    <t>Trần Văn Thuận</t>
  </si>
  <si>
    <t>976116809</t>
  </si>
  <si>
    <t>CSHT_VPC_00146</t>
  </si>
  <si>
    <t>Hong-Chau_VPC</t>
  </si>
  <si>
    <t>Hoàng Quốc Lập</t>
  </si>
  <si>
    <t>4250664800</t>
  </si>
  <si>
    <t>Ngân hàng TMCP Đầu Tư và phát triển Việt Nam BIDV</t>
  </si>
  <si>
    <t>CSHT_VPC_00255</t>
  </si>
  <si>
    <t>THON-YEN-THU-YLC_VPC</t>
  </si>
  <si>
    <t>HTX Nông nghiệp Yên Thư Xã Yên Phương</t>
  </si>
  <si>
    <t>Nguyễn Văn Tư</t>
  </si>
  <si>
    <t>2803389489589</t>
  </si>
  <si>
    <t>CSHT_VPC_00250</t>
  </si>
  <si>
    <t>TRUNG-HA_VPC</t>
  </si>
  <si>
    <t>UBND Xã Trung Hà</t>
  </si>
  <si>
    <t>06/2019/HĐKT</t>
  </si>
  <si>
    <t>Nguyễn Thị Thoa</t>
  </si>
  <si>
    <t>2803205073860</t>
  </si>
  <si>
    <t>CSHT_VPC_00254</t>
  </si>
  <si>
    <t>THON-DINH-XA_VPC</t>
  </si>
  <si>
    <t>Tạ Quang Định</t>
  </si>
  <si>
    <t>2803215042126</t>
  </si>
  <si>
    <t>CSHT_VPC_00252</t>
  </si>
  <si>
    <t>THON-COC-LAM-YLC_VPC</t>
  </si>
  <si>
    <t>UBND Xã Bình Định</t>
  </si>
  <si>
    <t>UBND xã Yên Lạc</t>
  </si>
  <si>
    <t>371301162840</t>
  </si>
  <si>
    <t>Kho bạc nhà nước Việt Nam</t>
  </si>
  <si>
    <t>CSHT_VPC_00315</t>
  </si>
  <si>
    <t>THON-DONG-YLC_VPC (YEN-LACII_VPC)</t>
  </si>
  <si>
    <t>Phạm Đình Túc</t>
  </si>
  <si>
    <t>2803211000609</t>
  </si>
  <si>
    <t>Ngân hàng nông nghiệp và PTNT Việt Nam</t>
  </si>
  <si>
    <t>CSHT_VPC_00253</t>
  </si>
  <si>
    <t>THON-DONG-MAU-YLC_VPC</t>
  </si>
  <si>
    <t>Nguyễn Thiện Kế</t>
  </si>
  <si>
    <t>CSHT_VPC_00052</t>
  </si>
  <si>
    <t>Dong-Van-II_VPC</t>
  </si>
  <si>
    <t>Nguyễn Hữu Bình</t>
  </si>
  <si>
    <t>Nguyễn Văn Tròn</t>
  </si>
  <si>
    <t>972442007</t>
  </si>
  <si>
    <t>Ngân hàng TMCP Công thương Việt Nam</t>
  </si>
  <si>
    <t>CSHT_VPC_00163</t>
  </si>
  <si>
    <t>Dai-Tu-II_VPC</t>
  </si>
  <si>
    <t>Nguyễn Đình Minh</t>
  </si>
  <si>
    <t>2803205053466</t>
  </si>
  <si>
    <t>Ngân hàng nông nghiệp và PTNT VN</t>
  </si>
  <si>
    <t>CSHT_VPC_00369</t>
  </si>
  <si>
    <t>CUM-CN-HUNG-VI_VPC</t>
  </si>
  <si>
    <t>Nguyễn Văn Chiền</t>
  </si>
  <si>
    <t>Đỗ Thị Huyền</t>
  </si>
  <si>
    <t>4251680669</t>
  </si>
  <si>
    <t>CSHT_VPC_00259</t>
  </si>
  <si>
    <t>TAM-HONGII-VPC</t>
  </si>
  <si>
    <t>Phạm Phương Bắc</t>
  </si>
  <si>
    <t>4254268888</t>
  </si>
  <si>
    <t>CSHT_VPC_00390</t>
  </si>
  <si>
    <t>EXP-TE-LO-2_VPC</t>
  </si>
  <si>
    <t>Nguyễn Thị Dương</t>
  </si>
  <si>
    <t>1999666888888</t>
  </si>
  <si>
    <t>CSHT_VPC_00408</t>
  </si>
  <si>
    <t>BAO-VAN-DONG-VAN-2-YLC_VPC</t>
  </si>
  <si>
    <t>2803205032988</t>
  </si>
  <si>
    <t>CSHT_VPC_00478</t>
  </si>
  <si>
    <t>Exp_Nhat-Tien-YLC_VPC</t>
  </si>
  <si>
    <t>CSHT_VPC_00553</t>
  </si>
  <si>
    <t>EXP-VAT-CACH-DONG-CUONG-YLC_VPC</t>
  </si>
  <si>
    <t>1504888839999</t>
  </si>
  <si>
    <t>Ngân hàng Nông nghiệp và PTNT VN</t>
  </si>
  <si>
    <t>CSHT_VPC_00469</t>
  </si>
  <si>
    <t>EXP-DONG-VAN-YLC_VPC</t>
  </si>
  <si>
    <t>CSHT_VPC_00502</t>
  </si>
  <si>
    <t>UB-YEN-DONG-YLC_VPC</t>
  </si>
  <si>
    <t>UB xã Yên Đồng</t>
  </si>
  <si>
    <t>Nguyễn Kim Biên</t>
  </si>
  <si>
    <t>2803236291981</t>
  </si>
  <si>
    <t>NO_MA_850VPC</t>
  </si>
  <si>
    <t>Thuê Cột điện</t>
  </si>
  <si>
    <t>Cty CP Điện lực Nguyệt Đức</t>
  </si>
  <si>
    <t>CSHT_VPC_00071</t>
  </si>
  <si>
    <t>B0027_Cao-Dai_VPC</t>
  </si>
  <si>
    <t>UBND xã Cao Đại</t>
  </si>
  <si>
    <t>CSHT_VPC_00047</t>
  </si>
  <si>
    <t>B0026_Vinh-Ninh_VPC</t>
  </si>
  <si>
    <t>Phùng Lâm Bưu</t>
  </si>
  <si>
    <t>CSHT_VPC_00145</t>
  </si>
  <si>
    <t>B0011_Tu-Trung_VPC</t>
  </si>
  <si>
    <t>Lưu Văn Thanh</t>
  </si>
  <si>
    <t>2804205005879</t>
  </si>
  <si>
    <t>Ngân hàng NN và PTNT Việt Nam</t>
  </si>
  <si>
    <t>CSHT_VPC_00187</t>
  </si>
  <si>
    <t>B0047_Hoa-Phu_VPC</t>
  </si>
  <si>
    <t>Lê Văn Thi</t>
  </si>
  <si>
    <t>1400207255266</t>
  </si>
  <si>
    <t>CSHT_VPC_00160</t>
  </si>
  <si>
    <t>B0042_Hoi-Chu_VPC</t>
  </si>
  <si>
    <t>Nguyễn Thị Sáu</t>
  </si>
  <si>
    <t>Ngô Thị Anh</t>
  </si>
  <si>
    <t>4250337777</t>
  </si>
  <si>
    <t>Ngân hàng TMCP Đầu tư và PT VN</t>
  </si>
  <si>
    <t>CSHT_VPC_00233</t>
  </si>
  <si>
    <t>VHX-Minh-Chau_VPC</t>
  </si>
  <si>
    <t>Nguyễn Danh Ngọc</t>
  </si>
  <si>
    <t>3756480001</t>
  </si>
  <si>
    <t>CSHT_VPC_00014</t>
  </si>
  <si>
    <t>B6196_Viet-Xuan_VPC</t>
  </si>
  <si>
    <t>Nguyễn Quang Sâm</t>
  </si>
  <si>
    <t>CSHT_VPC_00385</t>
  </si>
  <si>
    <t>TAN-CUONG-VTG_VPC</t>
  </si>
  <si>
    <t>UBND xã Phú Thịnh (Trần Xuân Khiêm)</t>
  </si>
  <si>
    <t>Trường tiểu học Minh Châu</t>
  </si>
  <si>
    <t>CSHT_VPC_00442</t>
  </si>
  <si>
    <t>EXP-UB-VINH-SON_VPC</t>
  </si>
  <si>
    <t>Phùng Duy Hưng</t>
  </si>
  <si>
    <t>Trần Thị Sính</t>
  </si>
  <si>
    <t>2804215002940</t>
  </si>
  <si>
    <t>Agribank - CN Vĩnh Phúc</t>
  </si>
  <si>
    <t>CSHT_VPC_00107</t>
  </si>
  <si>
    <t>B0031_Ngu-Kien_VPC</t>
  </si>
  <si>
    <t>Nguyễn Đắc Hải</t>
  </si>
  <si>
    <t>106001691308</t>
  </si>
  <si>
    <t>NH TMCP Công thương Việt Nam CN Phúc Yên</t>
  </si>
  <si>
    <t>CSHT_VPC_00465</t>
  </si>
  <si>
    <t>EXP-KDT-THO-TANG-VTG_VPC</t>
  </si>
  <si>
    <t>Lê Văn Toàn</t>
  </si>
  <si>
    <t>27319688888</t>
  </si>
  <si>
    <t>Ngân hàng Quân đội</t>
  </si>
  <si>
    <t>CSHT_VPC_00471</t>
  </si>
  <si>
    <t>EXP-LUNG-HOA-VTG_VPC</t>
  </si>
  <si>
    <t>Đào Văn Biên</t>
  </si>
  <si>
    <t>985526452</t>
  </si>
  <si>
    <t>CSHT_VPC_00399</t>
  </si>
  <si>
    <t>VIET-AN-VIET-XUAN-VTG_VPC</t>
  </si>
  <si>
    <t>Trần Hoa Vinh</t>
  </si>
  <si>
    <t>CSHT_VPC_00149</t>
  </si>
  <si>
    <t>B0049_Yen-Dinh-Phu-Da_VPC</t>
  </si>
  <si>
    <t>Lê Thế Tiến</t>
  </si>
  <si>
    <t>CSHT_VPC_00060</t>
  </si>
  <si>
    <t>B0103_Vinh-ThinhII_VPC</t>
  </si>
  <si>
    <t>Trần Trọng Hưng</t>
  </si>
  <si>
    <t>108879027576</t>
  </si>
  <si>
    <t>Ngân hàng VietinBank</t>
  </si>
  <si>
    <t>CSHT_VPC_00008</t>
  </si>
  <si>
    <t>B0024_Yen-Lap_VPC</t>
  </si>
  <si>
    <t>Nguyễn Văn Tứ</t>
  </si>
  <si>
    <t>CSHT_VPC_00441</t>
  </si>
  <si>
    <t>EXP-BAN-GIANG-PHU-THINH-VTG_VPC</t>
  </si>
  <si>
    <t>UBND xã Tân Phú ( smalcel)</t>
  </si>
  <si>
    <t>CSHT_VPC_00204</t>
  </si>
  <si>
    <t>N6104_Vinh-Son_VPC</t>
  </si>
  <si>
    <t>Nguyễn Hữu Thanh</t>
  </si>
  <si>
    <t>2806215007064</t>
  </si>
  <si>
    <t>CSHT_VPC_00374</t>
  </si>
  <si>
    <t>NAM-THO-TANG-VTG_VPC</t>
  </si>
  <si>
    <t>Nguyễn Văn Quý</t>
  </si>
  <si>
    <t>Nguyễn Văn Thủy</t>
  </si>
  <si>
    <t>361000238422</t>
  </si>
  <si>
    <t>Ngân hàng TMCP Ngoại thương VN</t>
  </si>
  <si>
    <t>CSHT_VPC_00202</t>
  </si>
  <si>
    <t>N6065_Dan-Thuong_VPC</t>
  </si>
  <si>
    <t>Trần Xuân Khiêm</t>
  </si>
  <si>
    <t>CSHT_VPC_00434</t>
  </si>
  <si>
    <t>HOA-LOAN-LUNG-HOA-VTG_VPC</t>
  </si>
  <si>
    <t>Nguyễn Xuân Tưởng</t>
  </si>
  <si>
    <t>CSHT_VPC_00451</t>
  </si>
  <si>
    <t>EXP-PHUONG-VIEN-THO-TANG-VTG_VPC</t>
  </si>
  <si>
    <t>Vũ Thị Loan</t>
  </si>
  <si>
    <t>Đặng Thị Thu Ngà</t>
  </si>
  <si>
    <t>2804205051144</t>
  </si>
  <si>
    <t>CSHT_VPC_00198</t>
  </si>
  <si>
    <t>3G_Khu2-Vinh-Tuong_VPC</t>
  </si>
  <si>
    <t>Lê Xuân Chính</t>
  </si>
  <si>
    <t>2806215027032</t>
  </si>
  <si>
    <t>CSHT_VPC_00379</t>
  </si>
  <si>
    <t>Y-TE-NGHIA-HUNG-VTG_VPC</t>
  </si>
  <si>
    <t>Nguyễn Duy Lương</t>
  </si>
  <si>
    <t>866866628</t>
  </si>
  <si>
    <t>CSHT_VPC_00237</t>
  </si>
  <si>
    <t>DAI-DONG-VTG_VPC</t>
  </si>
  <si>
    <t>Lê Văn Thanh</t>
  </si>
  <si>
    <t>CSHT_VPC_00224</t>
  </si>
  <si>
    <t>Tan-Tien_VPC</t>
  </si>
  <si>
    <t>Vũ Văn Hường</t>
  </si>
  <si>
    <t>CSHT_VPC_00208</t>
  </si>
  <si>
    <t>Van-Giang-900_VPC</t>
  </si>
  <si>
    <t>Nguyễn Văn Thành</t>
  </si>
  <si>
    <t>CSHT_VPC_00015</t>
  </si>
  <si>
    <t>B0097_Tho-TangII-VTG_VPC</t>
  </si>
  <si>
    <t>CSHT_VPC_00472</t>
  </si>
  <si>
    <t>EXP-THON2-VAN-XUAN-VTG_VPC</t>
  </si>
  <si>
    <t>Phạm Quốc Uy</t>
  </si>
  <si>
    <t>CSHT_VPC_00373</t>
  </si>
  <si>
    <t>THUONG-TRUNGII-VTG_VPC</t>
  </si>
  <si>
    <t>Đỗ Thị Mỹ Phương</t>
  </si>
  <si>
    <t>103000672647</t>
  </si>
  <si>
    <t>CSHT_VPC_00223</t>
  </si>
  <si>
    <t>Tam-Phuc_VPC</t>
  </si>
  <si>
    <t>Công đoàn cơ quan xã Tam Phúc</t>
  </si>
  <si>
    <t>Nguyễn Quốc Tuân</t>
  </si>
  <si>
    <t>985710296</t>
  </si>
  <si>
    <t>Tổ hạ tầng Phúc Yên</t>
  </si>
  <si>
    <t>CSHT_VPC_00074</t>
  </si>
  <si>
    <t>Hong-Bang_VPC</t>
  </si>
  <si>
    <t>Lưu Văn Nam</t>
  </si>
  <si>
    <t>102885967999</t>
  </si>
  <si>
    <t>Viettinbank</t>
  </si>
  <si>
    <t>CSHT_VPC_00123</t>
  </si>
  <si>
    <t>Thanh-Lang_VPC</t>
  </si>
  <si>
    <t>Đỗ Văn Phiệt</t>
  </si>
  <si>
    <t>42510000168630</t>
  </si>
  <si>
    <t>Ngân hàng TMCP Đầu tư và Phát triển Việt Nam -CN Vĩnh Phúc</t>
  </si>
  <si>
    <t>CSHT_VPC_00055</t>
  </si>
  <si>
    <t>Gia-Khanh_VPC</t>
  </si>
  <si>
    <t>Trần Vinh Hiển</t>
  </si>
  <si>
    <t>CSHT_VPC_00006</t>
  </si>
  <si>
    <t>TRAI-LON-THIEN-KE_VPC</t>
  </si>
  <si>
    <t>Nguyễn Thị Thanh</t>
  </si>
  <si>
    <t>18704060088414</t>
  </si>
  <si>
    <t>Ngân hàng Quốc Tế VN</t>
  </si>
  <si>
    <t>CSHT_VPC_00193</t>
  </si>
  <si>
    <t>Tam-Hop_VPC</t>
  </si>
  <si>
    <t>Ngô Thị Thanh</t>
  </si>
  <si>
    <t>Nguyễn Thúy Hường</t>
  </si>
  <si>
    <t>104003744913</t>
  </si>
  <si>
    <t>Viettin bank -TMCP công thương VN</t>
  </si>
  <si>
    <t>CSHT_VPC_00016</t>
  </si>
  <si>
    <t>Huu-Bang_VPC</t>
  </si>
  <si>
    <t>Nguyễn Duy Đoán</t>
  </si>
  <si>
    <t>108000218426</t>
  </si>
  <si>
    <t>Ngân hàng Viettinbank</t>
  </si>
  <si>
    <t>CSHT_VPC_00439</t>
  </si>
  <si>
    <t>EXP-NHAN-VUC-DAO-DUC-BXN_VPC</t>
  </si>
  <si>
    <t>Nguyễn Văn Dũng</t>
  </si>
  <si>
    <t>4260820441</t>
  </si>
  <si>
    <t>TMCP Đầu tư và PT VN -BIDV</t>
  </si>
  <si>
    <t>CSHT_VPC_00437</t>
  </si>
  <si>
    <t>CTY-UTECH-KCN-BXN_VPC</t>
  </si>
  <si>
    <t>Công ty TNHH Đầu tư xây dựng An Thịnh Vĩnh Phúc</t>
  </si>
  <si>
    <t>CSHT_VPC_00031</t>
  </si>
  <si>
    <t>Huong-CanhIII_VPC</t>
  </si>
  <si>
    <t>Nguyễn Hữu Sang</t>
  </si>
  <si>
    <t>2801205344915</t>
  </si>
  <si>
    <t>CSHT_VPC_00030</t>
  </si>
  <si>
    <t>Huong-canh2_VPC</t>
  </si>
  <si>
    <t>Trần Thị Chật</t>
  </si>
  <si>
    <t>105870473380</t>
  </si>
  <si>
    <t>Ngân hàng TMCP Công thương VN</t>
  </si>
  <si>
    <t>CSHT_VPC_00231</t>
  </si>
  <si>
    <t>KCN-BINH-XUYEN2_VPC</t>
  </si>
  <si>
    <t>Lê Tất Mạnh</t>
  </si>
  <si>
    <t>101834196666</t>
  </si>
  <si>
    <t>CSHT_VPC_00438</t>
  </si>
  <si>
    <t>CAU-SONG-PHAN-BXN_VPC</t>
  </si>
  <si>
    <t>CSHT_VPC_00169</t>
  </si>
  <si>
    <t>Ngu-Ho_VPC</t>
  </si>
  <si>
    <t>Phạm Văn Thu</t>
  </si>
  <si>
    <t>CSHT_VPC_00398</t>
  </si>
  <si>
    <t>KCN-THANG-LONG3-BXN_VPC</t>
  </si>
  <si>
    <t>Nguyễn Hữu Toàn</t>
  </si>
  <si>
    <t>CSHT_VPC_00446</t>
  </si>
  <si>
    <t>EXP-KCN-THANG-LONGIII-2_VPC</t>
  </si>
  <si>
    <t>Nguyễn Thị Phượng</t>
  </si>
  <si>
    <t>130111979</t>
  </si>
  <si>
    <t>CSHT_VPC_00420</t>
  </si>
  <si>
    <t>EXP-KCN-BA-THIEN-2IP-BXN_VPC</t>
  </si>
  <si>
    <t>Trần Văn Long</t>
  </si>
  <si>
    <t>2801205380925</t>
  </si>
  <si>
    <t>CSHT_VPC_00124</t>
  </si>
  <si>
    <t>Thanh-Lanh_VPC</t>
  </si>
  <si>
    <t>Phan Đức Chí</t>
  </si>
  <si>
    <t>CSHT_VPC_00135</t>
  </si>
  <si>
    <t>Vinh-Dong-Trung-My_VPC</t>
  </si>
  <si>
    <t>Nguyễn Thị Hồng Kỳ</t>
  </si>
  <si>
    <t>2801205079539</t>
  </si>
  <si>
    <t>CSHT_VPC_00400</t>
  </si>
  <si>
    <t>DONG-NANG-BXN_VPC</t>
  </si>
  <si>
    <t>Nguyễn Thị Được</t>
  </si>
  <si>
    <t>CSHT_VPC_00045</t>
  </si>
  <si>
    <t>Huong-Son_VPC</t>
  </si>
  <si>
    <t>Đinh Văn Minh</t>
  </si>
  <si>
    <t>2801205217896</t>
  </si>
  <si>
    <t>NH Nông nghiệp và PTNT VN</t>
  </si>
  <si>
    <t>CSHT_VPC_00002</t>
  </si>
  <si>
    <t>Hoang-Oanh_VPC</t>
  </si>
  <si>
    <t>Đỗ Văn Mão</t>
  </si>
  <si>
    <t>Đỗ Công Giang</t>
  </si>
  <si>
    <t>8836868555</t>
  </si>
  <si>
    <t>Ngân hàng Đầu tư và Phát triển Việt Nam</t>
  </si>
  <si>
    <t>CSHT_VPC_00046</t>
  </si>
  <si>
    <t>Huong-vi_VPC</t>
  </si>
  <si>
    <t>Đỗ Thị Khuyên</t>
  </si>
  <si>
    <t>2801205247714</t>
  </si>
  <si>
    <t>CSHT_VPC_00435</t>
  </si>
  <si>
    <t>EXP-TAN-AN-TAN-PHONG_VPC</t>
  </si>
  <si>
    <t>2801205410902</t>
  </si>
  <si>
    <t>CSHT_VPC_00181</t>
  </si>
  <si>
    <t>Phu-Xuan_VPC</t>
  </si>
  <si>
    <t>Lê Anh Điền</t>
  </si>
  <si>
    <t>2801215023315</t>
  </si>
  <si>
    <t>CSHT_VPC_00215</t>
  </si>
  <si>
    <t>KCN-Ba-Thien2-900_VPC</t>
  </si>
  <si>
    <t>Dương Thị Lan</t>
  </si>
  <si>
    <t>4250287030</t>
  </si>
  <si>
    <t>CSHT_VPC_00372</t>
  </si>
  <si>
    <t>BAC-KE-BA-HIEN-BXN_VPC</t>
  </si>
  <si>
    <t>Nguyễn Văn Điều</t>
  </si>
  <si>
    <t>2801205225206</t>
  </si>
  <si>
    <t>CSHT_VPC_00376</t>
  </si>
  <si>
    <t>TRAM-BOM-DAM-CA_BXN_VPC</t>
  </si>
  <si>
    <t>Nguyễn Thị Lan Anh</t>
  </si>
  <si>
    <t>101000833868</t>
  </si>
  <si>
    <t>CSHT_VPC_00114</t>
  </si>
  <si>
    <t>Quat-Luu_VPC</t>
  </si>
  <si>
    <t>Ngô Thị Hòe</t>
  </si>
  <si>
    <t>Đỗ Trọng Thúy</t>
  </si>
  <si>
    <t>4260070999</t>
  </si>
  <si>
    <t>NH BIDV CN Vĩnh Phúc</t>
  </si>
  <si>
    <t>CSHT_VPC_00552</t>
  </si>
  <si>
    <t>EXP-CHO-NOI-TAM-HOP-BXN_VPC</t>
  </si>
  <si>
    <t>Phan Thị Hồng Nhung</t>
  </si>
  <si>
    <t>51816633</t>
  </si>
  <si>
    <t>NH VIB CN Vĩnh Phúc</t>
  </si>
  <si>
    <t>CSHT_VPC_00429</t>
  </si>
  <si>
    <t>THANH-XUAN-GIA-KHANH-BXN_VPC</t>
  </si>
  <si>
    <t>Nguyễn Tiến Hiệp</t>
  </si>
  <si>
    <t>CSHT_VPC_00430</t>
  </si>
  <si>
    <t>CAU-CAC-QUAT-LUU-BXN_VPC</t>
  </si>
  <si>
    <t>Nguyễn Mạnh Hùng</t>
  </si>
  <si>
    <t>109886280056</t>
  </si>
  <si>
    <t>CSHT_VPC_00436</t>
  </si>
  <si>
    <t>CTY-KMV-KCN-BXN_VPC</t>
  </si>
  <si>
    <t>Công ty TNHH Đầu tư xây dựng An Thịnh</t>
  </si>
  <si>
    <t>CHUA_CO_MA_917</t>
  </si>
  <si>
    <t>KCN-BINH-XUYEN_VPC</t>
  </si>
  <si>
    <t>CSHT_VPC_00271</t>
  </si>
  <si>
    <t>BA-HIEN-THONG-NHAT-BXN_VPC</t>
  </si>
  <si>
    <t>Công ty TNHH Fuchuan</t>
  </si>
  <si>
    <t>119000038790</t>
  </si>
  <si>
    <t>CSHT_VPC_00492</t>
  </si>
  <si>
    <t>KCN-BA-THIEN-I-SO-1_VPC</t>
  </si>
  <si>
    <t>Công ty cổ phần phát triển và kinh doanh nhà ( HDTC )</t>
  </si>
  <si>
    <t>CSHT_VPC_00497</t>
  </si>
  <si>
    <t>CTY-LUMI-KCN-THANG-LONG-3-BXN_VPC</t>
  </si>
  <si>
    <t>Công ty TNHH KCN Thăng Long Vĩnh Phúc</t>
  </si>
  <si>
    <t>Thang Long Industrial Park (Vinh Phuc) Corporation</t>
  </si>
  <si>
    <t>116005668866</t>
  </si>
  <si>
    <t>CSHT_VPC_00410</t>
  </si>
  <si>
    <t>KCN-BINH-XUYEN-II-SO-1-BXN_VPC</t>
  </si>
  <si>
    <t>CSHT_VPC_00498</t>
  </si>
  <si>
    <t>KCN-BA-THIEN-I-SO-2_VPC</t>
  </si>
  <si>
    <t>CSHT_VPC_00040</t>
  </si>
  <si>
    <t>Cao-Minh_VPC</t>
  </si>
  <si>
    <t>Đào Nguyên Vĩnh</t>
  </si>
  <si>
    <t>109000181173</t>
  </si>
  <si>
    <t>CSHT_VPC_00201</t>
  </si>
  <si>
    <t>Cao-Minh2_VPC</t>
  </si>
  <si>
    <t>Nguyễn Xuân Vĩnh</t>
  </si>
  <si>
    <t>4260518269</t>
  </si>
  <si>
    <t>Ngân hàng TMCP đầu tư và PTVN</t>
  </si>
  <si>
    <t>CSHT_VPC_00138</t>
  </si>
  <si>
    <t>CDSP-Vinh-Phuc_VPC</t>
  </si>
  <si>
    <t>Trường Cao đẳng Vĩnh Phúc (ông: Hoàng Văn Bình)</t>
  </si>
  <si>
    <t>Trường cao đẳng Vĩnh Phúc</t>
  </si>
  <si>
    <t>128000113868</t>
  </si>
  <si>
    <t>CSHT_VPC_00211</t>
  </si>
  <si>
    <t>Cho-Phuc-Yen-900_VPC</t>
  </si>
  <si>
    <t>Nguyễn Xuân Mạnh</t>
  </si>
  <si>
    <t>103868789999</t>
  </si>
  <si>
    <t>CSHT_VPC_00079</t>
  </si>
  <si>
    <t>CO-KHI-VIET-XO_VPC</t>
  </si>
  <si>
    <t>Đoàn Văn Cầu</t>
  </si>
  <si>
    <t>2890205114560</t>
  </si>
  <si>
    <t>CSHT_VPC_00089</t>
  </si>
  <si>
    <t>Dong-Cau_VPC</t>
  </si>
  <si>
    <t>Trịnh Duy Sinh</t>
  </si>
  <si>
    <t>100005356739</t>
  </si>
  <si>
    <t>Viettin bank -TMCP công thương VN CN Phúc Yên</t>
  </si>
  <si>
    <t>CSHT_VPC_00073</t>
  </si>
  <si>
    <t>DONG-QUY_VPC</t>
  </si>
  <si>
    <t>UBND Phường Đồng Xuân</t>
  </si>
  <si>
    <t>CSHT_VPC_00196</t>
  </si>
  <si>
    <t>Dong-Son_VPC</t>
  </si>
  <si>
    <t>Nguyễn Thị Thục</t>
  </si>
  <si>
    <t>2890205031059</t>
  </si>
  <si>
    <t>CSHT_VPC_00218</t>
  </si>
  <si>
    <t>Hien-Le_VPC</t>
  </si>
  <si>
    <t>Thôn Hiển Lễ xã Cao Minh (ông: Nguyễn Đình Đức)</t>
  </si>
  <si>
    <t>CSHT_VPC_00180</t>
  </si>
  <si>
    <t>Hon-Da2_VPC</t>
  </si>
  <si>
    <t>Ngô Thị Quý</t>
  </si>
  <si>
    <t>107000211955</t>
  </si>
  <si>
    <t>NH TMCP Công thương VN</t>
  </si>
  <si>
    <t>CSHT_VPC_00341</t>
  </si>
  <si>
    <t>HON-DA3-PYN_VPC</t>
  </si>
  <si>
    <t>Đỗ Văn Thứ</t>
  </si>
  <si>
    <t>108000501215</t>
  </si>
  <si>
    <t>CSHT_VPC_00220</t>
  </si>
  <si>
    <t>KDT-Dong-Son_VPC</t>
  </si>
  <si>
    <t>Bùi Huy Hoàng</t>
  </si>
  <si>
    <t>4260402520</t>
  </si>
  <si>
    <t>CSHT_VPC_00225</t>
  </si>
  <si>
    <t>KDT-Hung-Vuong_VPC</t>
  </si>
  <si>
    <t>CSHT_VPC_00375</t>
  </si>
  <si>
    <t>KHU6-NAM-VIEM_PYN_VPC</t>
  </si>
  <si>
    <t>Vũ Văn Tào</t>
  </si>
  <si>
    <t>Vũ Văn Thơ</t>
  </si>
  <si>
    <t>2890205255990</t>
  </si>
  <si>
    <t>CSHT_VPC_00221</t>
  </si>
  <si>
    <t>KIM-NGOC_VPC</t>
  </si>
  <si>
    <t>Đinh Công Thưởng (Đại diện bà: Lưu Thị Quỳnh Anh)</t>
  </si>
  <si>
    <t>Lưu Thị Quỳnh Anh</t>
  </si>
  <si>
    <t>4260469190</t>
  </si>
  <si>
    <t>CSHT_VPC_00023</t>
  </si>
  <si>
    <t>Lap-Dinh_VPC</t>
  </si>
  <si>
    <t>Chu Văn Thư</t>
  </si>
  <si>
    <t>100000132685</t>
  </si>
  <si>
    <t>Ngân hàng Vietin bank</t>
  </si>
  <si>
    <t>CSHT_VPC_00222</t>
  </si>
  <si>
    <t>Ngoc-Thanh_VPC</t>
  </si>
  <si>
    <t>Ngô Văn Bình</t>
  </si>
  <si>
    <t>Ngô Trọng Tùng</t>
  </si>
  <si>
    <t>104866969253</t>
  </si>
  <si>
    <t>CSHT_VPC_00261</t>
  </si>
  <si>
    <t>NHA-MAY-PIN_VPC</t>
  </si>
  <si>
    <t>Công ty CP Cao su Sao Vàng</t>
  </si>
  <si>
    <t>CSHT_VPC_00192</t>
  </si>
  <si>
    <t>San-Gon-Dai-Lai_VPC</t>
  </si>
  <si>
    <t>Lưu Văn Hai</t>
  </si>
  <si>
    <t>CSHT_VPC_00134</t>
  </si>
  <si>
    <t>THANH-CAO_VPC</t>
  </si>
  <si>
    <t>Nguyễn Trung Phong</t>
  </si>
  <si>
    <t>4260041321</t>
  </si>
  <si>
    <t>CSHT_VPC_00125</t>
  </si>
  <si>
    <t>Thanh-Loc_VPC</t>
  </si>
  <si>
    <t>4260697104</t>
  </si>
  <si>
    <t>CSHT_VPC_00130</t>
  </si>
  <si>
    <t>Tien-Chau_VPC</t>
  </si>
  <si>
    <t>Nguyễn Cát Bắc</t>
  </si>
  <si>
    <t>Lương Thị Dương</t>
  </si>
  <si>
    <t>361000259698</t>
  </si>
  <si>
    <t>Ngân hàng TMCP Ngoại thương Việt Nam</t>
  </si>
  <si>
    <t>CSHT_VPC_00131</t>
  </si>
  <si>
    <t>Tien-Non_VPC</t>
  </si>
  <si>
    <t>2890215030480</t>
  </si>
  <si>
    <t>CSHT_VPC_00199</t>
  </si>
  <si>
    <t>Trieu-Thi-Khoan-Hoa_VPC</t>
  </si>
  <si>
    <t>Võ Thị Minh Hoa</t>
  </si>
  <si>
    <t>Võ Thị Thanh Hồng</t>
  </si>
  <si>
    <t>9915295889</t>
  </si>
  <si>
    <t>NH Ngoại Thương VN Vietcombank</t>
  </si>
  <si>
    <t>CSHT_VPC_00093</t>
  </si>
  <si>
    <t>Trung-Nhi_VPC</t>
  </si>
  <si>
    <t>Công đoàn cơ sở cơ quan Phường Trưng Nhị</t>
  </si>
  <si>
    <t>CSHT_VPC_00234</t>
  </si>
  <si>
    <t>UB-PHUC-THANG-TPO_VPC</t>
  </si>
  <si>
    <t>Công đoàn Phường Phúc Thắng</t>
  </si>
  <si>
    <t>CSHT_VPC_00066</t>
  </si>
  <si>
    <t>XUAN-HOAII_VPC</t>
  </si>
  <si>
    <t>Vũ Bá Quỳnh</t>
  </si>
  <si>
    <t>988978229</t>
  </si>
  <si>
    <t>NH An Bình</t>
  </si>
  <si>
    <t>CSHT_VPC_00068</t>
  </si>
  <si>
    <t>Xuan-Phuong_VPC</t>
  </si>
  <si>
    <t>Nguyễn Văn Tuấn</t>
  </si>
  <si>
    <t>2890205013868</t>
  </si>
  <si>
    <t>Tổ hạ tầng Tam Đảo</t>
  </si>
  <si>
    <t>CSHT_VPC_00150</t>
  </si>
  <si>
    <t>Ninh-Ha_VPC</t>
  </si>
  <si>
    <t>Lại Tiến Đạt</t>
  </si>
  <si>
    <t>CSHT_VPC_00167</t>
  </si>
  <si>
    <t>Kim-Long_VPC</t>
  </si>
  <si>
    <t>Tạ Văn Hành</t>
  </si>
  <si>
    <t>2809205149935</t>
  </si>
  <si>
    <t>CSHT_VPC_00028</t>
  </si>
  <si>
    <t>Hop-Minh_VPC</t>
  </si>
  <si>
    <t>Nguyễn Tô Hiệu</t>
  </si>
  <si>
    <t>4250168649</t>
  </si>
  <si>
    <t>CSHT_VPC_00029</t>
  </si>
  <si>
    <t>Ho-Son_VPC</t>
  </si>
  <si>
    <t>Phạm Thị Lan Hương</t>
  </si>
  <si>
    <t>105006940329</t>
  </si>
  <si>
    <t>Ngân hàng Vietinbank Vĩnh Phúc</t>
  </si>
  <si>
    <t>CSHT_VPC_00121</t>
  </si>
  <si>
    <t>Tan-Long_VPC</t>
  </si>
  <si>
    <t>Vũ Hồng Trường</t>
  </si>
  <si>
    <t>CSHT_VPC_00021</t>
  </si>
  <si>
    <t>Lac-Hong_VPC</t>
  </si>
  <si>
    <t>Công ty cổ phần đầu tư- Du lịch Vinashin Tam Đảo</t>
  </si>
  <si>
    <t>Công ty cổ phần dịch vụ du lịch Tam Đảo</t>
  </si>
  <si>
    <t>117000106213</t>
  </si>
  <si>
    <t>NH Viettin bank - CN Vĩnh Phúc</t>
  </si>
  <si>
    <t>CSHT_VPC_00191</t>
  </si>
  <si>
    <t>Km6_VPC</t>
  </si>
  <si>
    <t>Nguyễn Huy Thơm</t>
  </si>
  <si>
    <t>Trịnh Ngọc Bích</t>
  </si>
  <si>
    <t>3550123424008</t>
  </si>
  <si>
    <t>Ngân hàng MB chi nhánh Vĩnh Phúc</t>
  </si>
  <si>
    <t>CSHT_VPC_00174</t>
  </si>
  <si>
    <t>Lang-Ha_VPC</t>
  </si>
  <si>
    <t>Trần Quang Đạt</t>
  </si>
  <si>
    <t>2809205028896</t>
  </si>
  <si>
    <t>Agribank - CN Lập Thạch</t>
  </si>
  <si>
    <t>CSHT_VPC_00183</t>
  </si>
  <si>
    <t>San-Golf-Tam-Dao_VPC</t>
  </si>
  <si>
    <t>Trần Quang Hùng</t>
  </si>
  <si>
    <t>Trần Phi Cường</t>
  </si>
  <si>
    <t>2809205028969</t>
  </si>
  <si>
    <t>CSHT_VPC_00210</t>
  </si>
  <si>
    <t>KCN-Tam-Duong-II_VPC</t>
  </si>
  <si>
    <t>Vũ Bá Bình</t>
  </si>
  <si>
    <t>CSHT_VPC_00216</t>
  </si>
  <si>
    <t>Ban-Long_VPC</t>
  </si>
  <si>
    <t>Đào Văn San</t>
  </si>
  <si>
    <t>CSHT_VPC_00260</t>
  </si>
  <si>
    <t>KM12_VPC</t>
  </si>
  <si>
    <t>Nguyễn Duy Tiến</t>
  </si>
  <si>
    <t>Nguyễn Duy Viễn</t>
  </si>
  <si>
    <t>108600992889</t>
  </si>
  <si>
    <t>CSHT_VPC_00371</t>
  </si>
  <si>
    <t>KM-8-KIM-LONG-TDO _VPC</t>
  </si>
  <si>
    <t>Phạm Thị Đại</t>
  </si>
  <si>
    <t>Phùng Thị Liên</t>
  </si>
  <si>
    <t>106872368956</t>
  </si>
  <si>
    <t>CSHT_VPC_00084</t>
  </si>
  <si>
    <t>Den-Thong_VPC</t>
  </si>
  <si>
    <t>Nguyễn Thị Huệ</t>
  </si>
  <si>
    <t>CSHT_VPC_00108</t>
  </si>
  <si>
    <t>Nhan-Ly_VPC</t>
  </si>
  <si>
    <t>Trần Thị Nhật Lan</t>
  </si>
  <si>
    <t>102000330146</t>
  </si>
  <si>
    <t>Viettin bank -CN Vĩnh Phúc</t>
  </si>
  <si>
    <t>CSHT_VPC_00136</t>
  </si>
  <si>
    <t>Vinh-Ninh2_VPC</t>
  </si>
  <si>
    <t>Trần Cát Chín</t>
  </si>
  <si>
    <t>2809991977999</t>
  </si>
  <si>
    <t>CSHT_VPC_00144</t>
  </si>
  <si>
    <t>Huu-Tai_VPC</t>
  </si>
  <si>
    <t>Nguyễn Văn Nhân; Nguyễn Thị Thanh</t>
  </si>
  <si>
    <t>2809205090956</t>
  </si>
  <si>
    <t>CSHT_VPC_00213</t>
  </si>
  <si>
    <t>Dong-Linh-900_VPC</t>
  </si>
  <si>
    <t>Nguyễn Hồng Sang</t>
  </si>
  <si>
    <t>Nguyễn Chí Công</t>
  </si>
  <si>
    <t>2809999829999</t>
  </si>
  <si>
    <t>CSHT_VPC_00301</t>
  </si>
  <si>
    <t>DONG-HOI_VPC</t>
  </si>
  <si>
    <t>Hoàng Văn sáu</t>
  </si>
  <si>
    <t>CSHT_VPC_00262</t>
  </si>
  <si>
    <t>YEN-DUONG_VPC</t>
  </si>
  <si>
    <t>Trần Thị Làm</t>
  </si>
  <si>
    <t>Trương Văn Man</t>
  </si>
  <si>
    <t>398190177</t>
  </si>
  <si>
    <t>CSHT_VPC_00300</t>
  </si>
  <si>
    <t>DONG-GIENG_VPC</t>
  </si>
  <si>
    <t>Hoàng Văn chương</t>
  </si>
  <si>
    <t>CSHT_VPC_00048</t>
  </si>
  <si>
    <t>Vinh-Phu_VPC</t>
  </si>
  <si>
    <t>Phạm Văn An</t>
  </si>
  <si>
    <t>Phạm Văn Lộc</t>
  </si>
  <si>
    <t>102001655624</t>
  </si>
  <si>
    <t>CSHT_VPC_00129</t>
  </si>
  <si>
    <t>Thuy-Son_VPC</t>
  </si>
  <si>
    <t>Nguyễn Đức Khanh</t>
  </si>
  <si>
    <t>CSHT_VPC_00005</t>
  </si>
  <si>
    <t>Ngoc-Thach_VPC</t>
  </si>
  <si>
    <t>Nguyễn văn Lễ</t>
  </si>
  <si>
    <t>Nguyễn Văn Dương</t>
  </si>
  <si>
    <t>106884941728</t>
  </si>
  <si>
    <t>CSHT_VPC_00036</t>
  </si>
  <si>
    <t>Bien-Phong_VPC</t>
  </si>
  <si>
    <t>TTHL Biên Phòng</t>
  </si>
  <si>
    <t>CSHT_VPC_00229</t>
  </si>
  <si>
    <t>Tam-Duong2_VPC</t>
  </si>
  <si>
    <t>Trần Quang Đạo</t>
  </si>
  <si>
    <t>Trần Quang Viễn</t>
  </si>
  <si>
    <t>101005388090</t>
  </si>
  <si>
    <t>CSHT_VPC_00154</t>
  </si>
  <si>
    <t>Hop-Thinh_VPC</t>
  </si>
  <si>
    <t>Phùng Thị Nhân</t>
  </si>
  <si>
    <t>2807205028942</t>
  </si>
  <si>
    <t>DUY_PHIEN_VPC</t>
  </si>
  <si>
    <t>duy phiên 13</t>
  </si>
  <si>
    <t>UBND Xã Duy phiên</t>
  </si>
  <si>
    <t>CSHT_VPC_00076</t>
  </si>
  <si>
    <t>Yen-Binh_VPC</t>
  </si>
  <si>
    <t>Phùng Quang Tiếp</t>
  </si>
  <si>
    <t>Phùng Văn Tiếp</t>
  </si>
  <si>
    <t>2807205019698</t>
  </si>
  <si>
    <t>CSHT_VPC_00190</t>
  </si>
  <si>
    <t>Mai-Nham_VPC</t>
  </si>
  <si>
    <t>Vũ Quang Thọ</t>
  </si>
  <si>
    <t>2807215031576</t>
  </si>
  <si>
    <t>CSHT_VPC_00212</t>
  </si>
  <si>
    <t>Dien-Lam_VPC</t>
  </si>
  <si>
    <t>Nguyễn Kim Hùy</t>
  </si>
  <si>
    <t>2807205091088</t>
  </si>
  <si>
    <t>CSHT_VPC_00384</t>
  </si>
  <si>
    <t>VAN-TAP-TDG_VPC</t>
  </si>
  <si>
    <t>Lê Văn Lương</t>
  </si>
  <si>
    <t>2807205019617</t>
  </si>
  <si>
    <t>CSHT_VPC_00392</t>
  </si>
  <si>
    <t>XOM-CHUA-HOANG-LAU_VPC</t>
  </si>
  <si>
    <t>Lê Thanh Thủy</t>
  </si>
  <si>
    <t>Công ty cổ phần giày Vĩnh Yên</t>
  </si>
  <si>
    <t>4250000176</t>
  </si>
  <si>
    <t>CSHT_VPC_00393</t>
  </si>
  <si>
    <t>KIEN-TRANG-TDO_VPC</t>
  </si>
  <si>
    <t>Lại Hữu Cung</t>
  </si>
  <si>
    <t>CSHT_VPC_00132</t>
  </si>
  <si>
    <t>Trai-Ga_VPC</t>
  </si>
  <si>
    <t>Hoàng Thị Khay</t>
  </si>
  <si>
    <t>Đỗ Thị Vân Anh</t>
  </si>
  <si>
    <t>3550111638005</t>
  </si>
  <si>
    <t>MB-CN Vĩnh Phúc</t>
  </si>
  <si>
    <t>CSHT_VPC_00209</t>
  </si>
  <si>
    <t>Lang-Que_VPC</t>
  </si>
  <si>
    <t>Nguyễn Văn Tý</t>
  </si>
  <si>
    <t>2807215030748</t>
  </si>
  <si>
    <t>CSHT_VPC_00494</t>
  </si>
  <si>
    <t>KHU-2-HOANG-HOA-TDG_VPC</t>
  </si>
  <si>
    <t>Nguyễn Thị Hường</t>
  </si>
  <si>
    <t>CSHT_VPC_00460</t>
  </si>
  <si>
    <t>EXP-DEN-THONG-TDO_VPC2</t>
  </si>
  <si>
    <t>Lê Công Trìu</t>
  </si>
  <si>
    <t>4251391688</t>
  </si>
  <si>
    <t>CSHT_VPC_00426</t>
  </si>
  <si>
    <t>EXP-CAM-LAM-MINH-QUANG-TDO_VPC</t>
  </si>
  <si>
    <t>Đỗ Văn Ngọc</t>
  </si>
  <si>
    <t>CSHT_VPC_00517</t>
  </si>
  <si>
    <t>MBF-VP_TDG_HOP_HOA</t>
  </si>
  <si>
    <t>Đoàn Ngọc Hạ</t>
  </si>
  <si>
    <t>Đoàn Ngọc Chiến</t>
  </si>
  <si>
    <t>100890485555</t>
  </si>
  <si>
    <t>CSHT_VPC_00427</t>
  </si>
  <si>
    <t>EXP-THON-QUANG-TAM-QUAN_VPC</t>
  </si>
  <si>
    <t>Lê Anh Du</t>
  </si>
  <si>
    <t>101601230477</t>
  </si>
  <si>
    <t>CSHT_VPC_00424</t>
  </si>
  <si>
    <t>EXP-CHUA-BOI-BO-LY-TDO_VPC</t>
  </si>
  <si>
    <t>Dương Văn Xuân</t>
  </si>
  <si>
    <t>2809205156040</t>
  </si>
  <si>
    <t>Agribank - CN Tam Đảo</t>
  </si>
  <si>
    <t>CSHT_VPC_00545</t>
  </si>
  <si>
    <t>EXP-XOM-LE-DAO-TU-TDG_VPC</t>
  </si>
  <si>
    <t>Nguyễn Ngọc Linh</t>
  </si>
  <si>
    <t>4251731433</t>
  </si>
  <si>
    <t>CSHT_VPC_00548</t>
  </si>
  <si>
    <t>EXP-TDP-LIEN-BINH-TT-HOP-HOA-TDG_VPC</t>
  </si>
  <si>
    <t>Đinh Thị Thu Hương</t>
  </si>
  <si>
    <t>Trường TH &amp;THCS Hợp Hòa</t>
  </si>
  <si>
    <t>2807888938889</t>
  </si>
  <si>
    <t>CSHT_VPC_00549</t>
  </si>
  <si>
    <t>EXP-TTDD-NGUOI-CO-CONG-TDO_VPC</t>
  </si>
  <si>
    <t>UBND Thị trấn Tam Đảo</t>
  </si>
  <si>
    <t>CSHT_VPC_00305</t>
  </si>
  <si>
    <t>TU-DU_VPC</t>
  </si>
  <si>
    <t>Hà Đình Hòe</t>
  </si>
  <si>
    <t>Hà Đình Tiến</t>
  </si>
  <si>
    <t>2808205100963</t>
  </si>
  <si>
    <t>CSHT_VPC_00162</t>
  </si>
  <si>
    <t>Ngoc-Hoa_VPC</t>
  </si>
  <si>
    <t>Lê Thị Tâm</t>
  </si>
  <si>
    <t>2808205029766</t>
  </si>
  <si>
    <t>CSHT_VPC_00141</t>
  </si>
  <si>
    <t>Nhu-Son_VPC</t>
  </si>
  <si>
    <t>Nguyễn Quốc Tuấn</t>
  </si>
  <si>
    <t>18704060139393</t>
  </si>
  <si>
    <t>Ngân hàng Quốc Tế</t>
  </si>
  <si>
    <t>CSHT_VPC_00113</t>
  </si>
  <si>
    <t>Quang-Son_VPC</t>
  </si>
  <si>
    <t>Nguyễn Văn Tịnh</t>
  </si>
  <si>
    <t>Nguyễn Xuân Chiến</t>
  </si>
  <si>
    <t>2808205429390</t>
  </si>
  <si>
    <t>CSHT_VPC_00067</t>
  </si>
  <si>
    <t>Xuan-Loi_VPC</t>
  </si>
  <si>
    <t>Trần Đình Hảo</t>
  </si>
  <si>
    <t>2808205011646</t>
  </si>
  <si>
    <t>CSHT_VPC_00007</t>
  </si>
  <si>
    <t>Van-Truc_VPC</t>
  </si>
  <si>
    <t>Nguyễn Hải Hà</t>
  </si>
  <si>
    <t>CSHT_VPC_00085</t>
  </si>
  <si>
    <t>Dinh-Chu_VPC</t>
  </si>
  <si>
    <t>Nguyễn Thanh Điền</t>
  </si>
  <si>
    <t>2808205031440</t>
  </si>
  <si>
    <t>CSHT_VPC_00094</t>
  </si>
  <si>
    <t>Tu-Yen_VPC</t>
  </si>
  <si>
    <t>Nguyễn Công Toan</t>
  </si>
  <si>
    <t>2808205021604</t>
  </si>
  <si>
    <t>CSHT_VPC_00170</t>
  </si>
  <si>
    <t>Quang-Yen_VPC</t>
  </si>
  <si>
    <t>Trần Văn Dung</t>
  </si>
  <si>
    <t>2805205010932</t>
  </si>
  <si>
    <t>CSHT_VPC_00033</t>
  </si>
  <si>
    <t>Bac-Binh_VPC</t>
  </si>
  <si>
    <t>Đỗ Thị Niên</t>
  </si>
  <si>
    <t>Đỗ Văn Khanh</t>
  </si>
  <si>
    <t>2808205505670</t>
  </si>
  <si>
    <t>CSHT_VPC_00099</t>
  </si>
  <si>
    <t>Luong-Ai_VPC</t>
  </si>
  <si>
    <t>Đỗ Cao Cẩm</t>
  </si>
  <si>
    <t>Đỗ Cao Thành</t>
  </si>
  <si>
    <t>3520107470004</t>
  </si>
  <si>
    <t>CSHT_VPC_00054</t>
  </si>
  <si>
    <t>Don-Nhan_VPC</t>
  </si>
  <si>
    <t>Lỗ Bá Tôn</t>
  </si>
  <si>
    <t>2805205004821</t>
  </si>
  <si>
    <t>CSHT_VPC_00177</t>
  </si>
  <si>
    <t>Tan-Phu_VPC</t>
  </si>
  <si>
    <t>2808205153267</t>
  </si>
  <si>
    <t>CSHT_VPC_00090</t>
  </si>
  <si>
    <t>Dong-Ich_VPC</t>
  </si>
  <si>
    <t>Lê Thị Có</t>
  </si>
  <si>
    <t>2800205160087</t>
  </si>
  <si>
    <t>CSHT_VPC_00157</t>
  </si>
  <si>
    <t>Quan-Tu_VPC</t>
  </si>
  <si>
    <t>Vũ Kim Sơn</t>
  </si>
  <si>
    <t>Vũ Thị Kim Phượng</t>
  </si>
  <si>
    <t>2808215000160</t>
  </si>
  <si>
    <t>CSHT_VPC_00024</t>
  </si>
  <si>
    <t>Le-loi_VPC</t>
  </si>
  <si>
    <t>Nguyễn Kim Tuyến (Bưu điện tỉnh Vĩnh Phúc)</t>
  </si>
  <si>
    <t>Nguyễn Kim Tuyến</t>
  </si>
  <si>
    <t>2805205035565</t>
  </si>
  <si>
    <t>CSHT_VPC_00172</t>
  </si>
  <si>
    <t>Thai-Hoa_VPC</t>
  </si>
  <si>
    <t>Hà Văn Thuấn</t>
  </si>
  <si>
    <t>Hà Văn Thuân</t>
  </si>
  <si>
    <t>2808205011681</t>
  </si>
  <si>
    <t>CSHT_VPC_00128</t>
  </si>
  <si>
    <t>Thuy-Dien_VPC</t>
  </si>
  <si>
    <t>Nguyễn Thị Thăng</t>
  </si>
  <si>
    <t>Trần Giang Nam</t>
  </si>
  <si>
    <t>2808205022426</t>
  </si>
  <si>
    <t>CSHT_VPC_00097</t>
  </si>
  <si>
    <t>Dong-Que_VPC</t>
  </si>
  <si>
    <t>Khổng Trọng Hải (Khổng Trọng San)</t>
  </si>
  <si>
    <t>Khổng Trọng Hà</t>
  </si>
  <si>
    <t>2808205011652</t>
  </si>
  <si>
    <t>CSHT_VPC_00103</t>
  </si>
  <si>
    <t>My-An_VPC</t>
  </si>
  <si>
    <t>Vũ Thành Công</t>
  </si>
  <si>
    <t>2808205161758</t>
  </si>
  <si>
    <t>CSHT_VPC_00126</t>
  </si>
  <si>
    <t>Than-Son_VPC</t>
  </si>
  <si>
    <t>Nguyễn Thị Lữ</t>
  </si>
  <si>
    <t>Nguyễn Xuân Huy</t>
  </si>
  <si>
    <t>2808205021294</t>
  </si>
  <si>
    <t>CSHT_VPC_00043</t>
  </si>
  <si>
    <t>Lung-Gi_VPC</t>
  </si>
  <si>
    <t>Lê Tiến Sách</t>
  </si>
  <si>
    <t>2808205031088</t>
  </si>
  <si>
    <t>CSHT_VPC_00133</t>
  </si>
  <si>
    <t>Yen-Thach_VPC</t>
  </si>
  <si>
    <t>Lê Duy Cường</t>
  </si>
  <si>
    <t>2805205031354</t>
  </si>
  <si>
    <t>CSHT_VPC_00378</t>
  </si>
  <si>
    <t>DUC-BACII-SLO_VPC</t>
  </si>
  <si>
    <t>Lưu Khổng Hưng</t>
  </si>
  <si>
    <t>CSHT_VPC_00344</t>
  </si>
  <si>
    <t>YEN-THACHII-SLO_VPC</t>
  </si>
  <si>
    <t>Nguyễn Bằng Giang</t>
  </si>
  <si>
    <t>2805205124110</t>
  </si>
  <si>
    <t>CSHT_VPC_00304</t>
  </si>
  <si>
    <t>NGOC-KY-NGOC-MY_VPC</t>
  </si>
  <si>
    <t>Vũ Đức Xuyên</t>
  </si>
  <si>
    <t>CSHT_VPC_00120</t>
  </si>
  <si>
    <t>Tan-Lap_VPC</t>
  </si>
  <si>
    <t>Nguyễn Tiến Thanh</t>
  </si>
  <si>
    <t>2808205135446</t>
  </si>
  <si>
    <t>CSHT_VPC_00310</t>
  </si>
  <si>
    <t>HAI-LUUII_VPC</t>
  </si>
  <si>
    <t>Phan Thị Chung</t>
  </si>
  <si>
    <t>2805215023920</t>
  </si>
  <si>
    <t>CSHT_VPC_00185</t>
  </si>
  <si>
    <t>Dong-Quyen_VPC</t>
  </si>
  <si>
    <t>Lăng Văn Hiền</t>
  </si>
  <si>
    <t>2808281002835</t>
  </si>
  <si>
    <t>Agribank chi nhánh Lập Thạch</t>
  </si>
  <si>
    <t>CSHT_VPC_00258</t>
  </si>
  <si>
    <t>THON-CUONG-NGOC-MY_VPC</t>
  </si>
  <si>
    <t>2808205280525</t>
  </si>
  <si>
    <t>CSHT_VPC_00111</t>
  </si>
  <si>
    <t>Phu-Ninh_VPC</t>
  </si>
  <si>
    <t>Nguyễn Thái Học</t>
  </si>
  <si>
    <t>2808205036892</t>
  </si>
  <si>
    <t>CSHT_VPC_00391</t>
  </si>
  <si>
    <t>PHAN-LANG-CAO-PHONG-SLO_VPC</t>
  </si>
  <si>
    <t>Lê Quý Ngọc</t>
  </si>
  <si>
    <t>Khổng Văn Điện</t>
  </si>
  <si>
    <t>367381987</t>
  </si>
  <si>
    <t>CSHT_VPC_00184</t>
  </si>
  <si>
    <t>Dan-Chu_VPC</t>
  </si>
  <si>
    <t>Dương Anh Tuấn</t>
  </si>
  <si>
    <t>2805205035696</t>
  </si>
  <si>
    <t>CSHT_VPC_00037</t>
  </si>
  <si>
    <t>Binh-Chi_VPC</t>
  </si>
  <si>
    <t>Nguyễn Thị Bình</t>
  </si>
  <si>
    <t>Trương Trung Văn</t>
  </si>
  <si>
    <t>2805215023601</t>
  </si>
  <si>
    <t>CSHT_VPC_00205</t>
  </si>
  <si>
    <t>Rung-Tram-900_VPC</t>
  </si>
  <si>
    <t>Phan Tiến Dũng</t>
  </si>
  <si>
    <t>2808205012366</t>
  </si>
  <si>
    <t>CSHT_VPC_00217</t>
  </si>
  <si>
    <t>Cao-Phong_VPC</t>
  </si>
  <si>
    <t>Khổng Ngọc Hải</t>
  </si>
  <si>
    <t>2808205234875</t>
  </si>
  <si>
    <t>CSHT_VPC_00032</t>
  </si>
  <si>
    <t>Anh-Dung_VPC</t>
  </si>
  <si>
    <t>Nguyễn Văn Trọng</t>
  </si>
  <si>
    <t>Đào Thị Thu</t>
  </si>
  <si>
    <t>2805151051973</t>
  </si>
  <si>
    <t>Ngân hàng Agribank Sông lô</t>
  </si>
  <si>
    <t>CSHT_VPC_00303</t>
  </si>
  <si>
    <t>TRIEU-DEII_VPC</t>
  </si>
  <si>
    <t>Triệu Hùng Chiến</t>
  </si>
  <si>
    <t>Triệu Hùng Thắng</t>
  </si>
  <si>
    <t>2808205225419</t>
  </si>
  <si>
    <t>CSHT_VPC_00096</t>
  </si>
  <si>
    <t>Vien-Luan_VPC</t>
  </si>
  <si>
    <t>Trần Đăng Minh</t>
  </si>
  <si>
    <t>Trần Thành Đô</t>
  </si>
  <si>
    <t>2805215017326</t>
  </si>
  <si>
    <t>Trần Quốc Trịnh</t>
  </si>
  <si>
    <t>CSHT_VPC_00309</t>
  </si>
  <si>
    <t>DONG-QUEII_VPC</t>
  </si>
  <si>
    <t>Vũ Văn Biển</t>
  </si>
  <si>
    <t>CSHT_VPC_00425</t>
  </si>
  <si>
    <t>LONG-CUONG-TT-LTH_VPC</t>
  </si>
  <si>
    <t>Dương Ngọc Hoàng</t>
  </si>
  <si>
    <t>101876873096</t>
  </si>
  <si>
    <t>CSHT_VPC_00311</t>
  </si>
  <si>
    <t>QUANG-YENII_VPC</t>
  </si>
  <si>
    <t>Nguyễn Bá Cách</t>
  </si>
  <si>
    <t>2805205056127</t>
  </si>
  <si>
    <t>CSHT_VPC_00370</t>
  </si>
  <si>
    <t>DONG-THINH2-SLO_VPC</t>
  </si>
  <si>
    <t>Nguyễn Văn Đặng</t>
  </si>
  <si>
    <t>CSHT_VPC_00397</t>
  </si>
  <si>
    <t>DONG-NGOA-LIEN-SON-LTH_VPC</t>
  </si>
  <si>
    <t>Nguyễn Thị Minh Thư</t>
  </si>
  <si>
    <t>CSHT_VPC_00423</t>
  </si>
  <si>
    <t>EXP-DUA-CA-HAI-LUU-SLO_VPC</t>
  </si>
  <si>
    <t>2805205112400</t>
  </si>
  <si>
    <t>CSHT_VPC_00343</t>
  </si>
  <si>
    <t>THAI-HOAII-LTH_VPC</t>
  </si>
  <si>
    <t>Lê Minh Thuyết</t>
  </si>
  <si>
    <t>4250048121</t>
  </si>
  <si>
    <t>CSHT_VPC_00501</t>
  </si>
  <si>
    <t>VAN-TRUNG-NGOC-MY-LTH_VPC</t>
  </si>
  <si>
    <t>Nguyễn Văn Yên</t>
  </si>
  <si>
    <t>Nguyễn Văn Hoàn</t>
  </si>
  <si>
    <t>CSHT_VPC_00417</t>
  </si>
  <si>
    <t>EXP-THON-HOANG-CHUNG-LTH_VPC</t>
  </si>
  <si>
    <t>Phạm Hồng Dương</t>
  </si>
  <si>
    <t>CSHT_VPC_00543</t>
  </si>
  <si>
    <t>EXP-LAN-HUNG-LTH_VPC</t>
  </si>
  <si>
    <t>2808155526666</t>
  </si>
  <si>
    <t>CSHT_VPC_00443</t>
  </si>
  <si>
    <t>EXP-VAN-THANG-DONG-THINH-SLO_VPC</t>
  </si>
  <si>
    <t>Nguyễn Văn Luận</t>
  </si>
  <si>
    <t>CSHT_VPC_00541</t>
  </si>
  <si>
    <t>EXP-CHIEN-THANG-DONG-THINH-SLO_VPC</t>
  </si>
  <si>
    <t>Bùi Thị Lực</t>
  </si>
  <si>
    <t>Trần Thị Tấm</t>
  </si>
  <si>
    <t>2805215017531</t>
  </si>
  <si>
    <t>Ngân hàng Việt Nam Thịnh Vượng</t>
  </si>
  <si>
    <t>CSHT_VPC_00458</t>
  </si>
  <si>
    <t>EXP-XUAN-HOA2-LTH_VPC</t>
  </si>
  <si>
    <t>Khổng Văn Hải</t>
  </si>
  <si>
    <t>CSHT_VPC_00188</t>
  </si>
  <si>
    <t>Minh-Quyet_VPC</t>
  </si>
  <si>
    <t>Cao Thị Minh Thuỷ</t>
  </si>
  <si>
    <t>101004381007</t>
  </si>
  <si>
    <t>Ngân hàng Vietinbank - Chi nhánh Vĩnh Phúc</t>
  </si>
  <si>
    <t>CSHT_VPC_00115</t>
  </si>
  <si>
    <t>San-Gon3_VPC</t>
  </si>
  <si>
    <t>Bùi Thị Hoa Yêu</t>
  </si>
  <si>
    <t>4250531764</t>
  </si>
  <si>
    <t>CSHT_VPC_00386</t>
  </si>
  <si>
    <t>Dinh-Trung_VPC</t>
  </si>
  <si>
    <t>Nguyễn Thị Ngào</t>
  </si>
  <si>
    <t>Hoàng Văn Thụ</t>
  </si>
  <si>
    <t>4250514303</t>
  </si>
  <si>
    <t>CSHT_VPC_00088</t>
  </si>
  <si>
    <t>Doi-Son_VPC</t>
  </si>
  <si>
    <t>Nguyễn Văn Quân</t>
  </si>
  <si>
    <t>42510000196686</t>
  </si>
  <si>
    <t>CSHT_VPC_00062</t>
  </si>
  <si>
    <t>XN-Su_VPC</t>
  </si>
  <si>
    <t>Hoàng Văn Đủ</t>
  </si>
  <si>
    <t>CSHT_VPC_00053</t>
  </si>
  <si>
    <t>Don-Hau_VPC</t>
  </si>
  <si>
    <t>Phạm Thị Thu Hằng</t>
  </si>
  <si>
    <t>CSHT_VPC_00042</t>
  </si>
  <si>
    <t>Lien-Bao-II_VPC</t>
  </si>
  <si>
    <t>Hà Ngọc Tuấn</t>
  </si>
  <si>
    <t>932999999999</t>
  </si>
  <si>
    <t>CSHT_VPC_00235</t>
  </si>
  <si>
    <t>XOM-TIEC-TICH-SON_VPC</t>
  </si>
  <si>
    <t>Hoàng Nam</t>
  </si>
  <si>
    <t>4251194328</t>
  </si>
  <si>
    <t>Ngân hàng TMCP Đầu tư và PTVN</t>
  </si>
  <si>
    <t>CSHT_VPC_00143</t>
  </si>
  <si>
    <t>Hoi-Hop_VPC</t>
  </si>
  <si>
    <t>Phạm Hồng Tuấn</t>
  </si>
  <si>
    <t>CSHT_VPC_00003</t>
  </si>
  <si>
    <t>Lang-Tra_VPC</t>
  </si>
  <si>
    <t>Phùng Thị Đường</t>
  </si>
  <si>
    <t>4251023778</t>
  </si>
  <si>
    <t>CSHT_VPC_00102</t>
  </si>
  <si>
    <t>Minh-Quyet-II_VPC</t>
  </si>
  <si>
    <t>CSHT_VPC_00049</t>
  </si>
  <si>
    <t>Cau-But-Dinh-Trung_VPC</t>
  </si>
  <si>
    <t>Nguyễn Quốc Điền</t>
  </si>
  <si>
    <t>2800205151999</t>
  </si>
  <si>
    <t>CSHT_VPC_00063</t>
  </si>
  <si>
    <t>Xom-5_VPC</t>
  </si>
  <si>
    <t>Nguyễn Thị Viên</t>
  </si>
  <si>
    <t>Nguyễn Việt Hà</t>
  </si>
  <si>
    <t>102001655609</t>
  </si>
  <si>
    <t>CSHT_VPC_00140</t>
  </si>
  <si>
    <t>CDGT_VPC</t>
  </si>
  <si>
    <t>Trịnh Thị Minh Lý</t>
  </si>
  <si>
    <t>CSHT_VPC_00159</t>
  </si>
  <si>
    <t>Tich-Son_VPC</t>
  </si>
  <si>
    <t>Trần Thị Hiên</t>
  </si>
  <si>
    <t>978104041957</t>
  </si>
  <si>
    <t>CSHT_VPC_00077</t>
  </si>
  <si>
    <t>Cho-Vinh-Yen_VPC</t>
  </si>
  <si>
    <t>Nguyễn Thị Thanh Thoa</t>
  </si>
  <si>
    <t>361000319168</t>
  </si>
  <si>
    <t>CSHT_VPC_00155</t>
  </si>
  <si>
    <t>An-Dinh-Vinh-Yen_VPC</t>
  </si>
  <si>
    <t>Dương Xuân Toán</t>
  </si>
  <si>
    <t>361000269451</t>
  </si>
  <si>
    <t>CSHT_VPC_00009</t>
  </si>
  <si>
    <t>Dinh-Trung-II_VPC</t>
  </si>
  <si>
    <t>Nguyễn Văn Tú</t>
  </si>
  <si>
    <t>CSHT_VPC_00153</t>
  </si>
  <si>
    <t>Benh-Vien-Da-Khoa_VPC</t>
  </si>
  <si>
    <t>Hà Đình Kính</t>
  </si>
  <si>
    <t>Hà Khoa Bảng</t>
  </si>
  <si>
    <t>4252777999</t>
  </si>
  <si>
    <t>CSHT_VPC_00195</t>
  </si>
  <si>
    <t>Trai-Thuy_VPC</t>
  </si>
  <si>
    <t>Nguyễn Văn Minh</t>
  </si>
  <si>
    <t>CSHT_VPC_00207</t>
  </si>
  <si>
    <t>Phu-Ninh-900_VPC</t>
  </si>
  <si>
    <t>Nguyễn Lương Bàn</t>
  </si>
  <si>
    <t>CSHT_VPC_00214</t>
  </si>
  <si>
    <t>KHU-VUC-DOI-204-900_VPC</t>
  </si>
  <si>
    <t>4250785075</t>
  </si>
  <si>
    <t>Ngân hàng TMCP đầu tư và phát triển Việt Nam</t>
  </si>
  <si>
    <t>CSHT_VPC_00206</t>
  </si>
  <si>
    <t>Lac-Y-900_VPC</t>
  </si>
  <si>
    <t>Bệnh viện Đa khoa tỉnh Vĩnh Phúc</t>
  </si>
  <si>
    <t>Bệnh viện phục hồi chức năng Vĩnh Phúc</t>
  </si>
  <si>
    <t>8601195868</t>
  </si>
  <si>
    <t>CSHT_VPC_00230</t>
  </si>
  <si>
    <t>NGA5-VAN-MIEU_VPC</t>
  </si>
  <si>
    <t>CSHT_VPC_00226</t>
  </si>
  <si>
    <t>KDT-Nam-Dam-Vac_VPC</t>
  </si>
  <si>
    <t>Hà Thị Hằng</t>
  </si>
  <si>
    <t>CSHT_VPC_00431</t>
  </si>
  <si>
    <t>DIEN-BIEN-PHU-VYN_VPC</t>
  </si>
  <si>
    <t>Phí Thị Thanh Xuân</t>
  </si>
  <si>
    <t>12001011719933</t>
  </si>
  <si>
    <t>Ngân hàng TMCP Hàng Hải VN</t>
  </si>
  <si>
    <t>CSHT_VPC_00263</t>
  </si>
  <si>
    <t>KHAI-QUANGII_VPC</t>
  </si>
  <si>
    <t>Công ty CP Phát triển hạ tầng Vĩnh Phúc</t>
  </si>
  <si>
    <t>Công ty cổ phần Phát triển Hạ tầng Vĩnh Phúc</t>
  </si>
  <si>
    <t>12010302460011</t>
  </si>
  <si>
    <t>Ngân hàng Kỹ Thương VN</t>
  </si>
  <si>
    <t>CSHT_VPC_00019</t>
  </si>
  <si>
    <t>Khu1-Lien-Bao_VPC</t>
  </si>
  <si>
    <t>Đặng Đức Lập</t>
  </si>
  <si>
    <t>366968968</t>
  </si>
  <si>
    <t>NH TMCP Quốc tế VN</t>
  </si>
  <si>
    <t>CSHT_VPC_00377</t>
  </si>
  <si>
    <t>CD-KINH-TE-VYN_VPC</t>
  </si>
  <si>
    <t>Trường CĐ Kinh tế kỹ thuật Vĩnh Phúc</t>
  </si>
  <si>
    <t>Trường CĐ kỹ thuật công nghệ Vĩnh Phúc</t>
  </si>
  <si>
    <t>113000024992</t>
  </si>
  <si>
    <t>CSHT_VPC_00395</t>
  </si>
  <si>
    <t>DH-CONG-NGHE-GTVT-VYN_VPC</t>
  </si>
  <si>
    <t>CSHT_VPC_00416</t>
  </si>
  <si>
    <t>TO-HIEN-THANH-VYN_VPC</t>
  </si>
  <si>
    <t>Nguyễn Trung Dũng</t>
  </si>
  <si>
    <t>985573894</t>
  </si>
  <si>
    <t>Ngân hàng TMCP Lộc Phát Việt Nam</t>
  </si>
  <si>
    <t>CSHT_VPC_00173</t>
  </si>
  <si>
    <t>Dien-Quat-Luu_VPC</t>
  </si>
  <si>
    <t>Nguyễn Văn Đối</t>
  </si>
  <si>
    <t>Đỗ Thị Hồng Nhung</t>
  </si>
  <si>
    <t>968644211</t>
  </si>
  <si>
    <t>CSHT_VPC_00139</t>
  </si>
  <si>
    <t>Xom-Trai_VPC</t>
  </si>
  <si>
    <t>CSHT_VPC_00109</t>
  </si>
  <si>
    <t>Phuc-Lai_VPC</t>
  </si>
  <si>
    <t>Đỗ Xuân Dương</t>
  </si>
  <si>
    <t>2807205023899</t>
  </si>
  <si>
    <t>CSHT_VPC_00421</t>
  </si>
  <si>
    <t>CC-BAO-QUAN-VYN_VPC</t>
  </si>
  <si>
    <t>Trần Văn Tân</t>
  </si>
  <si>
    <t>108001313481</t>
  </si>
  <si>
    <t>CSHT_VPC_00041</t>
  </si>
  <si>
    <t>Cap-3-Tran-Phu_VPC</t>
  </si>
  <si>
    <t>Lê Hải Dương</t>
  </si>
  <si>
    <t>CSHT_VPC_00487</t>
  </si>
  <si>
    <t>CTY-QLSC-DUONG-BO-VYN_VPC</t>
  </si>
  <si>
    <t>Cục QL Đường Bộ (Hoàng Đức Học)</t>
  </si>
  <si>
    <t>Công ty cổ phần quản lý và sửa chữa đường bộ Vĩnh Phúc</t>
  </si>
  <si>
    <t>114000114332</t>
  </si>
  <si>
    <t>CSHT_VPC_00546</t>
  </si>
  <si>
    <t>EXP-NGUYEN-THI-MINH-KHAI-HHP-VYN_VPC</t>
  </si>
  <si>
    <t>Phùng Ngọc Thắng</t>
  </si>
  <si>
    <t>2810003071972</t>
  </si>
  <si>
    <t>CSHT_VPC_00555</t>
  </si>
  <si>
    <t>EXP-DONG-RUNG-HOI-HOP-VYN_VPC</t>
  </si>
  <si>
    <t>4250341680</t>
  </si>
  <si>
    <t>CSHT_VPC_00359</t>
  </si>
  <si>
    <t>EXP-NGO-13-ME-LINH-VYN-VPC</t>
  </si>
  <si>
    <t>Tạ Thị Thu+ Trần Văn Thể</t>
  </si>
  <si>
    <t>361000340134</t>
  </si>
  <si>
    <t>CSHT_VPC_00404</t>
  </si>
  <si>
    <t>EXP-BV-DA-CHIEN-VYN_VPC</t>
  </si>
  <si>
    <t>Lê Văn Trường</t>
  </si>
  <si>
    <t>CSHT_VPC_00432</t>
  </si>
  <si>
    <t>KDT-BAC-DAM-VAC-VYN_VPC</t>
  </si>
  <si>
    <t>Lê Văn Tuấn</t>
  </si>
  <si>
    <t>361000336946</t>
  </si>
  <si>
    <t>CSHT_VPC_00447</t>
  </si>
  <si>
    <t>EXP-IBS-CC-VCI-TOWER-VYN_VPC</t>
  </si>
  <si>
    <t>Chu Thị Thanh Hương</t>
  </si>
  <si>
    <t>8865107033</t>
  </si>
  <si>
    <t>CSHT_VPC_00362</t>
  </si>
  <si>
    <t>VINACONEC-VYN_VPC</t>
  </si>
  <si>
    <t>Bùi Văn Huấn</t>
  </si>
  <si>
    <t>CSHT_VPC_00496</t>
  </si>
  <si>
    <t>Khu 14 Hướng Đạo</t>
  </si>
  <si>
    <t>Trần Văn Huy</t>
  </si>
  <si>
    <t>CSHT_PTO_00971</t>
  </si>
  <si>
    <t>XUAN-CHIEM</t>
  </si>
  <si>
    <t>Phạm Quốc Minh</t>
  </si>
  <si>
    <t>CSHT_PTO_00973</t>
  </si>
  <si>
    <t>NGOAI-TRACH</t>
  </si>
  <si>
    <t>CSHT_PTO_00974</t>
  </si>
  <si>
    <t>MY-KY</t>
  </si>
  <si>
    <t>CSHT_PTO_00986</t>
  </si>
  <si>
    <t>KĐT HUNG-VUONG</t>
  </si>
  <si>
    <t>Nguyễn Văn Thường</t>
  </si>
  <si>
    <t>106867993880</t>
  </si>
  <si>
    <t>CSHT_PTO_00988</t>
  </si>
  <si>
    <t>THO-AN</t>
  </si>
  <si>
    <t>Trần Văn Công</t>
  </si>
  <si>
    <t>CSHT_PTO_00983</t>
  </si>
  <si>
    <t>HUONG-DINH</t>
  </si>
  <si>
    <t>106886147223</t>
  </si>
  <si>
    <t>CSHT_PTO_00962</t>
  </si>
  <si>
    <t>THON-DONG</t>
  </si>
  <si>
    <t>Trần Văn Bốn</t>
  </si>
  <si>
    <t>973733113</t>
  </si>
  <si>
    <t>CSHT_PTO_00960</t>
  </si>
  <si>
    <t>CAU-TRE</t>
  </si>
  <si>
    <t>Nguyễn Ngọc An</t>
  </si>
  <si>
    <t>Nguyễn Ngọc Quân</t>
  </si>
  <si>
    <t>29266666666</t>
  </si>
  <si>
    <t>Techcombank - CN Vĩnh Phúc</t>
  </si>
  <si>
    <t>CSHT_PTO_01000</t>
  </si>
  <si>
    <t>DONG-CUONG</t>
  </si>
  <si>
    <t>Nguyễn Văn Huy</t>
  </si>
  <si>
    <t>CSHT_PTO_01001</t>
  </si>
  <si>
    <t>VI-TRU</t>
  </si>
  <si>
    <t>Nguyễn Mạnh Kiên</t>
  </si>
  <si>
    <t>3550138882722</t>
  </si>
  <si>
    <t>Ngân hàng MBbank</t>
  </si>
  <si>
    <t>CSHT_PTO_00997</t>
  </si>
  <si>
    <t>LIEN-BAO</t>
  </si>
  <si>
    <t>Nguyễn Hữu Duật</t>
  </si>
  <si>
    <t>917183188</t>
  </si>
  <si>
    <t>Ngân hàng Shinhan Viet Nam</t>
  </si>
  <si>
    <t>CSHT_PTO_00999</t>
  </si>
  <si>
    <t>TON-DUC-THANG</t>
  </si>
  <si>
    <t>Nguyễn Thanh Đạt</t>
  </si>
  <si>
    <t>105001493930</t>
  </si>
  <si>
    <t>CSHT_PTO_00946</t>
  </si>
  <si>
    <t>NGOC-LONG</t>
  </si>
  <si>
    <t>Vũ Thị Viện</t>
  </si>
  <si>
    <t>CSHT_PTO_00956</t>
  </si>
  <si>
    <t>NHO-LAM</t>
  </si>
  <si>
    <t>Nguyễn Văn Đống</t>
  </si>
  <si>
    <t>CSHT_PTO_01004</t>
  </si>
  <si>
    <t>PVĐ</t>
  </si>
  <si>
    <t>Nguyễn Văn Lượng</t>
  </si>
  <si>
    <t>CSHT_PTO_01023</t>
  </si>
  <si>
    <t>UBTHAI-HOA</t>
  </si>
  <si>
    <t>UBND xã Thái Hoà_(Đại diện: Ông Trần Duy Kiên_Trưởng phòng KT)</t>
  </si>
  <si>
    <t>CSHT_PTO_01002</t>
  </si>
  <si>
    <t>LAM-SON</t>
  </si>
  <si>
    <t>Lưu Quốc Công</t>
  </si>
  <si>
    <t>CSHT_PTO_00950</t>
  </si>
  <si>
    <t>RUNG-CHUNG</t>
  </si>
  <si>
    <t>Nguyễn Văn Đức</t>
  </si>
  <si>
    <t>CSHT_PTO_00947</t>
  </si>
  <si>
    <t>UB LIEN-HOA</t>
  </si>
  <si>
    <t>UBND xã Liên Hoà_(Trần Văn Thắng_Trưởng phòng KTHT)</t>
  </si>
  <si>
    <t>CSHT_PTO_00948</t>
  </si>
  <si>
    <t>QUANG-KHUAN</t>
  </si>
  <si>
    <t>Nguyễn Văn Trường</t>
  </si>
  <si>
    <t>CSHT_PTO_00968</t>
  </si>
  <si>
    <t>THON-DOC</t>
  </si>
  <si>
    <t>Trần Văn Sơn</t>
  </si>
  <si>
    <t>CSHT_PTO_00991</t>
  </si>
  <si>
    <t>DAI-PHUC</t>
  </si>
  <si>
    <t>Đỗ Thị Chiên</t>
  </si>
  <si>
    <t>CSHT_PTO_00953</t>
  </si>
  <si>
    <t>THON-MOI</t>
  </si>
  <si>
    <t>2807215061889</t>
  </si>
  <si>
    <t>Agribank - CN Tam Dương</t>
  </si>
  <si>
    <t>CSHT_PTO_00954</t>
  </si>
  <si>
    <t>THON-HUONG</t>
  </si>
  <si>
    <t>Nguyễn Văn Bằng</t>
  </si>
  <si>
    <t>CSHT_PTO_00955</t>
  </si>
  <si>
    <t>DOAN-KET</t>
  </si>
  <si>
    <t>Nguyễn Đức Tiến</t>
  </si>
  <si>
    <t>CSHT_PTO_00957</t>
  </si>
  <si>
    <t>TAN-LONG</t>
  </si>
  <si>
    <t>Nguyễn Văn Thao_(Đại diện Chùa Vân - Tịnh Viện)</t>
  </si>
  <si>
    <t>CSHT_PTO_00958</t>
  </si>
  <si>
    <t>SON-LONG</t>
  </si>
  <si>
    <t>Lê Xuân Đức</t>
  </si>
  <si>
    <t>Lê Thế Long</t>
  </si>
  <si>
    <t>1230199991988</t>
  </si>
  <si>
    <t>CSHT_PTO_01019</t>
  </si>
  <si>
    <t>LUNG-HOA</t>
  </si>
  <si>
    <t>CSHT_PTO_00964</t>
  </si>
  <si>
    <t>DONG-LANG</t>
  </si>
  <si>
    <t>Nguyễn Minh Nhiệm</t>
  </si>
  <si>
    <t>CSHT_PTO_01016</t>
  </si>
  <si>
    <t>K7-MINH-CHAU</t>
  </si>
  <si>
    <t>Đỗ Công Dũng</t>
  </si>
  <si>
    <t>2210205473188</t>
  </si>
  <si>
    <t>CSHT_PTO_01017</t>
  </si>
  <si>
    <t>K2-MINH-CHAU</t>
  </si>
  <si>
    <t>Nguyễn Tuyển Tuyền</t>
  </si>
  <si>
    <t>CSHT_PTO_00</t>
  </si>
  <si>
    <t>THON-RUNG</t>
  </si>
  <si>
    <t>Bùi Kim Quốc</t>
  </si>
  <si>
    <t>CSHT_PTO_01014</t>
  </si>
  <si>
    <t>THON-DAU</t>
  </si>
  <si>
    <t>Nguyễn Trung Kiên_(Thụ hưởng: Nguyễn Đình Hương)</t>
  </si>
  <si>
    <t>CSHT_PTO_01025</t>
  </si>
  <si>
    <t>IC6-VAN-QUAN</t>
  </si>
  <si>
    <t>Vũ Văn Thái</t>
  </si>
  <si>
    <t>CSHT_PTO_01005</t>
  </si>
  <si>
    <t>CAO-QUANG</t>
  </si>
  <si>
    <t>Trần Thị Thanh Hải</t>
  </si>
  <si>
    <t>21001162741</t>
  </si>
  <si>
    <t>CSHT_PTO_00987</t>
  </si>
  <si>
    <t>YTE-PHUC-YEN</t>
  </si>
  <si>
    <t>Nguyễn Hữu Trung</t>
  </si>
  <si>
    <t>CSHT_PTO_00975</t>
  </si>
  <si>
    <t>BA-HIEN</t>
  </si>
  <si>
    <t>Công ty TNHH XNK TM&amp;DV T&amp;V_(Đại diện: Nguyễn Hữu Cường - Giám đốc)</t>
  </si>
  <si>
    <t>Phạm Văn Sơn</t>
  </si>
  <si>
    <t>CSHT_PTO_00949</t>
  </si>
  <si>
    <t>NUI-NGOC</t>
  </si>
  <si>
    <t>Kiều Quang Ngọc</t>
  </si>
  <si>
    <t>CSHT_PTO_00965</t>
  </si>
  <si>
    <t>AN-TUONG</t>
  </si>
  <si>
    <t>Đàm Đức Bang</t>
  </si>
  <si>
    <t>CSHT_PTO_00967</t>
  </si>
  <si>
    <t>PHUONG-VIEN</t>
  </si>
  <si>
    <t>Phạm Văn Lý</t>
  </si>
  <si>
    <t>Phạn Văn Lý</t>
  </si>
  <si>
    <t>102000160788</t>
  </si>
  <si>
    <t>CSHT_PTO_00992</t>
  </si>
  <si>
    <t>THANH_LANG</t>
  </si>
  <si>
    <t>Nguyễn Công Canh</t>
  </si>
  <si>
    <t>CSHT_PTO_01011</t>
  </si>
  <si>
    <t>KĐT Phúc Sơn</t>
  </si>
  <si>
    <t>Nguyễn Thị Thu Hoạt</t>
  </si>
  <si>
    <t>QHVPC2023_2024_MCR_029</t>
  </si>
  <si>
    <t>Phúc Yên</t>
  </si>
  <si>
    <t>CSHT_PTO_00951</t>
  </si>
  <si>
    <t>Sơn Đông</t>
  </si>
  <si>
    <t>Triệu Văn Bắc</t>
  </si>
  <si>
    <t>Triệu Việt Bắc</t>
  </si>
  <si>
    <t>7061001962</t>
  </si>
  <si>
    <t>CSXH VN - PGD Lập Thạch</t>
  </si>
  <si>
    <t>QHVPC2025_2026_R_016</t>
  </si>
  <si>
    <t>Tiên Lữ</t>
  </si>
  <si>
    <t>Đỗ Văn Mạnh</t>
  </si>
  <si>
    <t>QHVP2025_2026_M015</t>
  </si>
  <si>
    <t>Vĩnh Phúc</t>
  </si>
  <si>
    <t>Nguyễn Thị Hồng Nhung (KT VTT)</t>
  </si>
  <si>
    <t>QHVP2025_2026_M018</t>
  </si>
  <si>
    <t>Yên Lạc</t>
  </si>
  <si>
    <t>QHVP2025_2026_M019</t>
  </si>
  <si>
    <t>Nhà văn hóa thôn Cổ Tích -Yên Lạc</t>
  </si>
  <si>
    <t>QHVP2025_2026_M013</t>
  </si>
  <si>
    <t>Vĩnh Yên</t>
  </si>
  <si>
    <t>Nguyễn Bá Nhân</t>
  </si>
  <si>
    <t>QHVPC2023_2024_RMT_002</t>
  </si>
  <si>
    <t>Lập Thạch</t>
  </si>
  <si>
    <t>Khổng Minh Nhâm</t>
  </si>
  <si>
    <t>QHVPC2023_2024_MCR_008</t>
  </si>
  <si>
    <t>Bùi Quang Vinh</t>
  </si>
  <si>
    <t>QHVPC2025_2026_R_007</t>
  </si>
  <si>
    <t>Tam Dương</t>
  </si>
  <si>
    <t>Nguyễn Thị Phương</t>
  </si>
  <si>
    <t>QHVPC2025_2026_R_011</t>
  </si>
  <si>
    <t>Thổ Tang</t>
  </si>
  <si>
    <t>Nguyễn Duy Phương</t>
  </si>
  <si>
    <t>CSHT_PTO_00982</t>
  </si>
  <si>
    <t>Hoàng An</t>
  </si>
  <si>
    <t>Tạ Đức Minh</t>
  </si>
  <si>
    <t>105863432888</t>
  </si>
  <si>
    <t>CSHT_PTO_01021</t>
  </si>
  <si>
    <t>EXP-THON ĐONG TAM-HAI LUU_VPC</t>
  </si>
  <si>
    <t>Đỗ Thị Ca</t>
  </si>
  <si>
    <t>Nguyễn Trung Sơn</t>
  </si>
  <si>
    <t>CSHT_HBH_00941</t>
  </si>
  <si>
    <t>CSHT_PTO_00124</t>
  </si>
  <si>
    <t>Đỗ Văn Trường</t>
  </si>
  <si>
    <t>2222529999</t>
  </si>
  <si>
    <t>CSHT_PTO_00195</t>
  </si>
  <si>
    <t>Bùi Quang Hội</t>
  </si>
  <si>
    <t>Ngô Minh Tuấn</t>
  </si>
  <si>
    <t>912991988</t>
  </si>
  <si>
    <t>CSHT_PTO_00966</t>
  </si>
  <si>
    <t>1045/2025/HĐTĐ</t>
  </si>
  <si>
    <t>947705272</t>
  </si>
  <si>
    <t>CSHT_PTO_00972</t>
  </si>
  <si>
    <t>Công ty cổ phần Thiên Hà Xanh GLOBAL</t>
  </si>
  <si>
    <t>19038879646012</t>
  </si>
  <si>
    <t>Ngân hàng TMCP Kỹ thương Việt Nam - CN Trần Thái Tông</t>
  </si>
  <si>
    <t>CSHT_PTO_00976</t>
  </si>
  <si>
    <t>Hà Thị Hồng Hải</t>
  </si>
  <si>
    <t>2807205187606</t>
  </si>
  <si>
    <t>Ngân hàng Agribank khu vực Tam Dương</t>
  </si>
  <si>
    <t>CSHT_PTO_00998</t>
  </si>
  <si>
    <t>Nguyễn Thị Quỳnh</t>
  </si>
  <si>
    <t>3550125180001</t>
  </si>
  <si>
    <t>Quân Đội</t>
  </si>
  <si>
    <t>CSHT_PTO_01012</t>
  </si>
  <si>
    <t>CSHT_PTO_01018</t>
  </si>
  <si>
    <t>Lê Thị Nga</t>
  </si>
  <si>
    <t>7919793777</t>
  </si>
  <si>
    <t>Ngân hàng thương mại Ngoại thương Việt Nam</t>
  </si>
  <si>
    <t>CSHT_PTO_01022</t>
  </si>
  <si>
    <t>1988228860</t>
  </si>
  <si>
    <t>Ngân hàng TMCP ngoại thương Việt Nam</t>
  </si>
  <si>
    <t>CSHT_PTO_01076</t>
  </si>
  <si>
    <t>MINH-PHUONG3_PTO</t>
  </si>
  <si>
    <t>Nguyễn Việt Dương</t>
  </si>
  <si>
    <t>107006226464</t>
  </si>
  <si>
    <t>CSHT_PTO_01082</t>
  </si>
  <si>
    <t>Mộ Hạ 2</t>
  </si>
  <si>
    <t>2708215009972</t>
  </si>
  <si>
    <t>CSHT_PTO_01084</t>
  </si>
  <si>
    <t>CHUNG-CU-HOA-PHONG_PTO</t>
  </si>
  <si>
    <t>Lê Hữu Thành</t>
  </si>
  <si>
    <t>979353087</t>
  </si>
  <si>
    <t>CSHT_VPC_00087</t>
  </si>
  <si>
    <t>Doi-411_VPC</t>
  </si>
  <si>
    <t>3260/2025/HĐTĐ</t>
  </si>
  <si>
    <t>CSHT_VPC_00955</t>
  </si>
  <si>
    <t>2026/2025/HĐTĐ</t>
  </si>
  <si>
    <t>Nguyễn Đức Nghĩa</t>
  </si>
  <si>
    <t>973888290</t>
  </si>
  <si>
    <t>CSHT_VPC_00958</t>
  </si>
  <si>
    <t>2029/2025/HĐTĐ</t>
  </si>
  <si>
    <t>826251669</t>
  </si>
  <si>
    <t>CSHT_VPC_00973</t>
  </si>
  <si>
    <t>Ngoại trạch</t>
  </si>
  <si>
    <t>100879568069</t>
  </si>
  <si>
    <t>Vietinbank - CN Vĩnh Phúc</t>
  </si>
  <si>
    <t>CSHT_VPC_00987</t>
  </si>
  <si>
    <t>Trung tâm y tế khu vực Phúc Yên</t>
  </si>
  <si>
    <t>1010278888</t>
  </si>
  <si>
    <t>TMCP Ngoại thương Việt Nam chi nhánh Vĩnh Phúc</t>
  </si>
  <si>
    <t>CSHT_VPC_00988</t>
  </si>
  <si>
    <t>2004/2025/HĐTĐ</t>
  </si>
  <si>
    <t>593938886</t>
  </si>
  <si>
    <t>H28/2025/HĐKT</t>
  </si>
  <si>
    <t>H701/2025/HĐTĐ</t>
  </si>
  <si>
    <t>H702/2025/HĐTĐ</t>
  </si>
  <si>
    <t>H571/2025/HĐTĐ</t>
  </si>
  <si>
    <t>H581/2025/HĐTĐ</t>
  </si>
  <si>
    <t>H117/2025/HĐTĐ</t>
  </si>
  <si>
    <t>H106/2025/HĐTĐ</t>
  </si>
  <si>
    <t>H160/2025/HĐTĐ</t>
  </si>
  <si>
    <t>H134/2025/HĐTĐ</t>
  </si>
  <si>
    <t>H133/2025/HĐTĐ</t>
  </si>
  <si>
    <t>H116/2025/HĐTĐ</t>
  </si>
  <si>
    <t>H563/2025/HĐTĐ</t>
  </si>
  <si>
    <t>H579/2025/HĐTĐ</t>
  </si>
  <si>
    <t>H708/2025/HĐTĐ</t>
  </si>
  <si>
    <t>H709/2025/HĐTĐ</t>
  </si>
  <si>
    <t>H360/2025/HĐTĐ</t>
  </si>
  <si>
    <t>H166/2025/HĐTĐ</t>
  </si>
  <si>
    <t>H361/2025/HĐTĐ</t>
  </si>
  <si>
    <t>H756/2025/HĐTĐ</t>
  </si>
  <si>
    <t>H753/2025/HĐTĐ</t>
  </si>
  <si>
    <t>H761/2025/HĐTĐ</t>
  </si>
  <si>
    <t>H714/2025/HĐTĐ</t>
  </si>
  <si>
    <t>H252/2025/HĐTĐ</t>
  </si>
  <si>
    <t>H22/2025/HĐKT</t>
  </si>
  <si>
    <t>H182/2025/HĐTĐ</t>
  </si>
  <si>
    <t>H32/2025/HĐKT</t>
  </si>
  <si>
    <t>H715/2025/HĐTĐ</t>
  </si>
  <si>
    <t>H716/2025/HĐTĐ</t>
  </si>
  <si>
    <t>H717/2025/HĐTĐ</t>
  </si>
  <si>
    <t>H721/2025/HĐTĐ</t>
  </si>
  <si>
    <t>H27/2025/HĐKT</t>
  </si>
  <si>
    <t>H20/2025/HĐKT</t>
  </si>
  <si>
    <t>H722/2025/HĐTĐ</t>
  </si>
  <si>
    <t>H723/2025/HĐTĐ</t>
  </si>
  <si>
    <t>H45/2025/HĐKT</t>
  </si>
  <si>
    <t>H18/2025/HĐKT</t>
  </si>
  <si>
    <t>H724/2025/HĐTĐ</t>
  </si>
  <si>
    <t>H37/2025/HĐKT</t>
  </si>
  <si>
    <t>13/2025/HĐTĐ</t>
  </si>
  <si>
    <t>H164/2025/HĐTĐ</t>
  </si>
  <si>
    <t>H265/2025/HĐTĐ</t>
  </si>
  <si>
    <t>H362/2025/HĐTĐ</t>
  </si>
  <si>
    <t>H730/2025/HĐTĐ</t>
  </si>
  <si>
    <t>H731/2025/HĐTĐ</t>
  </si>
  <si>
    <t>H732/2025/HĐTĐ</t>
  </si>
  <si>
    <t>H103/2025/HĐTĐ</t>
  </si>
  <si>
    <t>H264/2025/HĐTĐ</t>
  </si>
  <si>
    <t>H735/2025/HĐTĐ</t>
  </si>
  <si>
    <t>H253/2025/HĐTĐ</t>
  </si>
  <si>
    <t>H736/2025/HĐTĐ</t>
  </si>
  <si>
    <t>H765/2025/HĐTĐ</t>
  </si>
  <si>
    <t>H41/2025/HĐKT</t>
  </si>
  <si>
    <t>H562/2025/HĐTĐ</t>
  </si>
  <si>
    <t>H11/2025/HĐKT</t>
  </si>
  <si>
    <t>H580/2025/HĐTĐ</t>
  </si>
  <si>
    <t>H46/2025/HĐKT</t>
  </si>
  <si>
    <t>H739/2025/HĐTĐ</t>
  </si>
  <si>
    <t>H561/2025/HĐTĐ</t>
  </si>
  <si>
    <t>H260/2025/HĐTĐ</t>
  </si>
  <si>
    <t>09/2025/HĐTĐ</t>
  </si>
  <si>
    <t>H355/2025/HĐTĐ</t>
  </si>
  <si>
    <t>H741/2025/HĐTĐ</t>
  </si>
  <si>
    <t>H163/2025/HĐTĐ</t>
  </si>
  <si>
    <t>H130/2025/HĐTĐ</t>
  </si>
  <si>
    <t>H567/2025/HĐTĐ</t>
  </si>
  <si>
    <t>10/2025/HĐTĐ</t>
  </si>
  <si>
    <t>H114/2025/HĐTĐ</t>
  </si>
  <si>
    <t>H124/2025/HĐTĐ</t>
  </si>
  <si>
    <t>H742/2025/HĐTĐ</t>
  </si>
  <si>
    <t>H743/2025/HĐTĐ</t>
  </si>
  <si>
    <t>H744/2025/HĐTĐ</t>
  </si>
  <si>
    <t>H170/2025/HĐTĐ</t>
  </si>
  <si>
    <t>H745/2025/HĐTĐ</t>
  </si>
  <si>
    <t>H367/2025/HĐTĐ</t>
  </si>
  <si>
    <t>H100/2025/HĐTĐ</t>
  </si>
  <si>
    <t>H39/2025/HĐKT</t>
  </si>
  <si>
    <t>H10/2025/HĐKT</t>
  </si>
  <si>
    <t>H25/2025/HĐKT</t>
  </si>
  <si>
    <t>H746/2025/HĐTĐ</t>
  </si>
  <si>
    <t>H760/2025/HĐTĐ</t>
  </si>
  <si>
    <t>H759/2025/HĐTĐ</t>
  </si>
  <si>
    <t>H747/2025/HĐTĐ</t>
  </si>
  <si>
    <t>H572/2025/HĐTĐ</t>
  </si>
  <si>
    <t>H34/2025/HĐKT</t>
  </si>
  <si>
    <t>H19/2025/HĐKT</t>
  </si>
  <si>
    <t>H748/2025/HĐTĐ</t>
  </si>
  <si>
    <t>H749/2025/HĐTĐ</t>
  </si>
  <si>
    <t>H750/2025/HĐTĐ</t>
  </si>
  <si>
    <t>H38/2025/HĐKT</t>
  </si>
  <si>
    <t>H31/2025/HĐKT</t>
  </si>
  <si>
    <t>H119/2025/HĐTĐ</t>
  </si>
  <si>
    <t>H574/2025/HĐTĐ</t>
  </si>
  <si>
    <t>H251/2025/HĐTĐ</t>
  </si>
  <si>
    <t>H263/2025/HĐTĐ</t>
  </si>
  <si>
    <t>14/2025/HĐTĐ</t>
  </si>
  <si>
    <t>H575/2025/HĐTĐ</t>
  </si>
  <si>
    <t>H23/2025/HĐKT</t>
  </si>
  <si>
    <t>H35/2025/HĐKT</t>
  </si>
  <si>
    <t>H256/2025/HĐTĐ</t>
  </si>
  <si>
    <t>H26/2025/HĐKT</t>
  </si>
  <si>
    <t>H36/2025/HĐKT</t>
  </si>
  <si>
    <t>H257/2025/HĐTĐ</t>
  </si>
  <si>
    <t>H104/2025/HĐTĐ</t>
  </si>
  <si>
    <t>H21/2025/HĐKT</t>
  </si>
  <si>
    <t>39/2025/HĐTĐ</t>
  </si>
  <si>
    <t>H30/2025/HĐKT</t>
  </si>
  <si>
    <t>H135/2025/HĐTĐ</t>
  </si>
  <si>
    <t>H29/2025/HĐKT</t>
  </si>
  <si>
    <t>H587/2025/HĐTĐ</t>
  </si>
  <si>
    <t>07/2025/HĐTĐ</t>
  </si>
  <si>
    <t>H266/2025/HĐTĐ</t>
  </si>
  <si>
    <t>H165/2025/HĐTĐ</t>
  </si>
  <si>
    <t>H112/2025/HĐTĐ</t>
  </si>
  <si>
    <t>H128/2025/HĐTĐ</t>
  </si>
  <si>
    <t>H175/2025/HĐTĐ</t>
  </si>
  <si>
    <t>H137/2025/HĐTĐ</t>
  </si>
  <si>
    <t>H57/2025/HĐKT</t>
  </si>
  <si>
    <t>H259/2025/HĐTĐ</t>
  </si>
  <si>
    <t>H374/2025/HĐTĐ</t>
  </si>
  <si>
    <t>H167/2025/HĐTĐ</t>
  </si>
  <si>
    <t>H101/2025/HĐTĐ</t>
  </si>
  <si>
    <t>H33/2025/HĐKT</t>
  </si>
  <si>
    <t>H115/2025/HĐTĐ</t>
  </si>
  <si>
    <t>H12/2025/HĐKT</t>
  </si>
  <si>
    <t>H40/2025/HĐKT</t>
  </si>
  <si>
    <t>H141/2025/HĐTĐ</t>
  </si>
  <si>
    <t>H262/2025/HĐTĐ</t>
  </si>
  <si>
    <t>30/2025/HĐTĐ</t>
  </si>
  <si>
    <t>28/2025/HĐTĐ</t>
  </si>
  <si>
    <t>H102/2025/HĐTĐ</t>
  </si>
  <si>
    <t>H168/2025/HĐTĐ</t>
  </si>
  <si>
    <t>33/2025/HĐTĐ</t>
  </si>
  <si>
    <t>H136/2025/HĐTĐ</t>
  </si>
  <si>
    <t>H598/2025/HĐTĐ</t>
  </si>
  <si>
    <t>H105/2025/HĐTĐ</t>
  </si>
  <si>
    <t>H13/2025/HĐKT</t>
  </si>
  <si>
    <t>08/2025/HĐTĐ</t>
  </si>
  <si>
    <t>H56/2025/HĐKT</t>
  </si>
  <si>
    <t>H383/2025/HĐTĐ</t>
  </si>
  <si>
    <t>H42/2025/HĐKT</t>
  </si>
  <si>
    <t>H126/2025/HĐTĐ</t>
  </si>
  <si>
    <t>H122/2025/HĐTĐ</t>
  </si>
  <si>
    <t>H169/2025/HĐTĐ</t>
  </si>
  <si>
    <t>H127/2025/HĐTĐ</t>
  </si>
  <si>
    <t>1037/2025/HĐTĐ</t>
  </si>
  <si>
    <t>1036/2025/HĐTĐ</t>
  </si>
  <si>
    <t>1041/2025/HĐTĐ</t>
  </si>
  <si>
    <t>1006/2025/HĐTĐ</t>
  </si>
  <si>
    <t>1001/2025/HĐTĐ</t>
  </si>
  <si>
    <t>0511/2025/HĐTĐ</t>
  </si>
  <si>
    <t>1043/2025/HĐTĐ</t>
  </si>
  <si>
    <t>1035/2025/HĐTĐ</t>
  </si>
  <si>
    <t>1048/2025/HĐDV-TTHTVPC</t>
  </si>
  <si>
    <t>06/2025/HĐDV-TTHT</t>
  </si>
  <si>
    <t>1032/2025/HĐTĐ</t>
  </si>
  <si>
    <t>1034/2025/HĐTĐ</t>
  </si>
  <si>
    <t>0452/2025/HĐTĐ</t>
  </si>
  <si>
    <t>1033/2025/HĐTĐ</t>
  </si>
  <si>
    <t>1039/2025/HĐTĐ</t>
  </si>
  <si>
    <t>1051/2025/HĐTĐ</t>
  </si>
  <si>
    <t>1029/2025/HĐTĐ</t>
  </si>
  <si>
    <t>0540/2025/HĐTĐ</t>
  </si>
  <si>
    <t>3284/2025/HĐTĐ</t>
  </si>
  <si>
    <t>0520/2025/HĐTĐ</t>
  </si>
  <si>
    <t>1021/2025/HĐTĐ</t>
  </si>
  <si>
    <t>0548/2025/HĐTĐ</t>
  </si>
  <si>
    <t>3250/2025/HĐTĐ</t>
  </si>
  <si>
    <t>0503/2025/HĐTĐ</t>
  </si>
  <si>
    <t>0542/2025/HĐTĐ</t>
  </si>
  <si>
    <t>0543/2025/HĐTĐ</t>
  </si>
  <si>
    <t>3279/2025/HĐTĐ</t>
  </si>
  <si>
    <t>3194/2025/HĐTĐ</t>
  </si>
  <si>
    <t>1025/2025/HĐTĐ</t>
  </si>
  <si>
    <t>1022/2025/HĐTĐ</t>
  </si>
  <si>
    <t>2000/2026/HĐTĐ</t>
  </si>
  <si>
    <t>0510/2025/HĐTĐ</t>
  </si>
  <si>
    <t>1010/2025/HĐTĐ</t>
  </si>
  <si>
    <t>0513/2025/HĐTĐ</t>
  </si>
  <si>
    <t>0517/2025/HĐTĐ</t>
  </si>
  <si>
    <t>0320/2025/HĐTĐ</t>
  </si>
  <si>
    <t>0310/2025/HĐTĐ</t>
  </si>
  <si>
    <t>1038/2025/HĐTĐ</t>
  </si>
  <si>
    <t>0309/2025/HĐTĐ</t>
  </si>
  <si>
    <t>0311/2025/HĐTĐ</t>
  </si>
  <si>
    <t>1030/2025/HĐTĐ</t>
  </si>
  <si>
    <t>0313/2025/HĐTĐ</t>
  </si>
  <si>
    <t>0305/2025/HĐTĐ</t>
  </si>
  <si>
    <t>0338/2025/HĐTĐ</t>
  </si>
  <si>
    <t>0373/2025/HĐTĐ</t>
  </si>
  <si>
    <t>0340/2025/HĐTĐ</t>
  </si>
  <si>
    <t>0372/2025/HĐTĐ</t>
  </si>
  <si>
    <t>0359/2025/HĐTĐ</t>
  </si>
  <si>
    <t>0342/2025/HĐTĐ</t>
  </si>
  <si>
    <t>1020/2025/HĐTĐ</t>
  </si>
  <si>
    <t>0363/2025/HĐTĐ</t>
  </si>
  <si>
    <t>0358/2025/HĐTĐ</t>
  </si>
  <si>
    <t>0370/2025/HĐTĐ</t>
  </si>
  <si>
    <t>0330/2025/HĐTĐ</t>
  </si>
  <si>
    <t>0388/2025/HĐTĐ</t>
  </si>
  <si>
    <t>1023/2025/HĐTĐ</t>
  </si>
  <si>
    <t>0361/2025/HĐTĐ</t>
  </si>
  <si>
    <t>3266/2025/HĐTĐ</t>
  </si>
  <si>
    <t>0386/2025/HĐTĐ</t>
  </si>
  <si>
    <t>0336/2025/HĐTĐ</t>
  </si>
  <si>
    <t>1013/2025/HĐTĐ</t>
  </si>
  <si>
    <t>0383/2025/HĐTĐ</t>
  </si>
  <si>
    <t>1012/2025/HĐTĐ</t>
  </si>
  <si>
    <t>0366/2026/HĐTĐ</t>
  </si>
  <si>
    <t>1024/2025/HĐTĐ</t>
  </si>
  <si>
    <t>1018/2025/HĐTĐ</t>
  </si>
  <si>
    <t>0364/2025/HĐTĐ</t>
  </si>
  <si>
    <t>0379/2025/HĐTĐ</t>
  </si>
  <si>
    <t>0368/2025/HĐTĐ</t>
  </si>
  <si>
    <t>1004/2025/HĐTĐ</t>
  </si>
  <si>
    <t>0334/2025/HĐTĐ</t>
  </si>
  <si>
    <t>0371/2025/HĐTĐ</t>
  </si>
  <si>
    <t>0380/2025/HĐTĐ</t>
  </si>
  <si>
    <t>0303/2025/HĐTĐ</t>
  </si>
  <si>
    <t>0385/2025/HĐTĐ</t>
  </si>
  <si>
    <t>1000/2025/HĐTĐ</t>
  </si>
  <si>
    <t>1044/2025/HĐTĐ</t>
  </si>
  <si>
    <t>0369/2025/HĐTĐ</t>
  </si>
  <si>
    <t>1003/2025/HĐTĐ</t>
  </si>
  <si>
    <t>0375/2025/HĐTĐ</t>
  </si>
  <si>
    <t>1014/2025/HĐTĐ</t>
  </si>
  <si>
    <t>0381/2025/HĐTĐ</t>
  </si>
  <si>
    <t>0335/2025/HĐTĐ</t>
  </si>
  <si>
    <t>3263/2025/HĐTĐ</t>
  </si>
  <si>
    <t>1002/2025/HĐTĐ</t>
  </si>
  <si>
    <t>1047/2025/HĐTĐ</t>
  </si>
  <si>
    <t>0378/2025/HĐTĐ</t>
  </si>
  <si>
    <t>0360/2025/HĐTĐ</t>
  </si>
  <si>
    <t>2606/2025/HĐTĐ</t>
  </si>
  <si>
    <t>3265/2025/HĐTĐ</t>
  </si>
  <si>
    <t>541/2025/HĐTĐ</t>
  </si>
  <si>
    <t>3259/2025/HĐTĐ</t>
  </si>
  <si>
    <t>0460/2025/HĐTĐ</t>
  </si>
  <si>
    <t>0461/2025/HĐTĐ</t>
  </si>
  <si>
    <t>0405/2025/HĐTĐ</t>
  </si>
  <si>
    <t>3286/2025/HĐTĐ</t>
  </si>
  <si>
    <t>1008/2025/HĐTĐ</t>
  </si>
  <si>
    <t>3280/2025/HĐTĐ</t>
  </si>
  <si>
    <t>0408/2025/HĐTĐ</t>
  </si>
  <si>
    <t>3285/2025/HĐTĐ</t>
  </si>
  <si>
    <t>0416/2025/HĐTĐ</t>
  </si>
  <si>
    <t>0401/2025/HĐTĐ</t>
  </si>
  <si>
    <t>0453/2025/HĐTĐ</t>
  </si>
  <si>
    <t>1011/2025/HĐTĐ</t>
  </si>
  <si>
    <t>10012024/HĐTĐ</t>
  </si>
  <si>
    <t>0463/2025/HĐTĐ</t>
  </si>
  <si>
    <t>0103/2025/HĐTĐ</t>
  </si>
  <si>
    <t>Chủ hợp đồng</t>
  </si>
  <si>
    <t>đề xuất tăng giá T5</t>
  </si>
  <si>
    <t>Ngày ký</t>
  </si>
  <si>
    <t>Ngày tính tiền</t>
  </si>
  <si>
    <t>bàn giao hợp đồng</t>
  </si>
  <si>
    <t>H04/2025/HĐKT</t>
  </si>
  <si>
    <t>01/10/2035</t>
  </si>
  <si>
    <t>x</t>
  </si>
  <si>
    <t>H02/2025/HĐKT</t>
  </si>
  <si>
    <t>H83/2025/HĐKT</t>
  </si>
  <si>
    <t>30/09/2035</t>
  </si>
  <si>
    <t>21/2023/HĐTĐ /45017</t>
  </si>
  <si>
    <t>30/2019/HĐTĐ/43466</t>
  </si>
  <si>
    <t>H43/2025/HĐKT</t>
  </si>
  <si>
    <t>01/10/2026</t>
  </si>
  <si>
    <t>30/09/2030</t>
  </si>
  <si>
    <t>H704/2025/HĐKT</t>
  </si>
  <si>
    <t>H44/2025/HĐKT</t>
  </si>
  <si>
    <t>01/10/2033</t>
  </si>
  <si>
    <t>06/2025/HĐKT</t>
  </si>
  <si>
    <t>H19/2026/HĐTĐ</t>
  </si>
  <si>
    <t>31/12/2026</t>
  </si>
  <si>
    <t>H705/2025/HĐKT</t>
  </si>
  <si>
    <t>H706/2025/HĐKT</t>
  </si>
  <si>
    <t>Số 30/HĐKT/41275</t>
  </si>
  <si>
    <t>01/10/2030</t>
  </si>
  <si>
    <t>30/09/2028</t>
  </si>
  <si>
    <t>H17/2025/HĐKT</t>
  </si>
  <si>
    <t>01/10/2027</t>
  </si>
  <si>
    <t>01/BTS/HĐKT/41275</t>
  </si>
  <si>
    <t>H76/2025/HĐTĐ</t>
  </si>
  <si>
    <t>H84/2025/HĐTĐ</t>
  </si>
  <si>
    <t>H82/2025/HĐTĐ</t>
  </si>
  <si>
    <t>16/BTS/HĐKT/41275</t>
  </si>
  <si>
    <t>11/HĐTĐ-YT/42736</t>
  </si>
  <si>
    <t>12/HĐTĐ - YT/42908</t>
  </si>
  <si>
    <t>07/HĐTĐ-YT/43248</t>
  </si>
  <si>
    <t>H07/2025/HĐKT</t>
  </si>
  <si>
    <t>3/2018 HĐTĐ/43101</t>
  </si>
  <si>
    <t>30/9/2028</t>
  </si>
  <si>
    <t>H111/2025/HĐTĐ</t>
  </si>
  <si>
    <t>30/09/2033</t>
  </si>
  <si>
    <t>H03/2025/HĐKT</t>
  </si>
  <si>
    <t>01/10/2028</t>
  </si>
  <si>
    <t>H12/2026/HĐTĐ</t>
  </si>
  <si>
    <t>30/03/2031</t>
  </si>
  <si>
    <t>227//2022/HĐ-TĐHB-VNPT</t>
  </si>
  <si>
    <t>01/01/2028</t>
  </si>
  <si>
    <t>15/BTS/HĐKT/42309</t>
  </si>
  <si>
    <t>H15/2026/HĐTĐ</t>
  </si>
  <si>
    <t>30/09/2029</t>
  </si>
  <si>
    <t>Số 32/HĐKT/41275</t>
  </si>
  <si>
    <t>Số 51/2019/HĐTĐ-LSN/43466</t>
  </si>
  <si>
    <t>Số 35/HĐKT/41275</t>
  </si>
  <si>
    <t>Số 36/HĐKT/41275</t>
  </si>
  <si>
    <t>H58/2025/HĐKT</t>
  </si>
  <si>
    <t>01/10/2025</t>
  </si>
  <si>
    <t>Số 27/HĐKT/44013</t>
  </si>
  <si>
    <t>30/09/2027</t>
  </si>
  <si>
    <t>11/2025/HĐKT</t>
  </si>
  <si>
    <t>30/09/2026</t>
  </si>
  <si>
    <t>H14 /2026/HĐTĐ</t>
  </si>
  <si>
    <t>30/09/2031</t>
  </si>
  <si>
    <t>H01/2026/HĐTĐ</t>
  </si>
  <si>
    <t>01/01/2027</t>
  </si>
  <si>
    <t>H13/2026/HĐTĐ</t>
  </si>
  <si>
    <t>30/03/2036</t>
  </si>
  <si>
    <t>08/HĐKT/PLHĐ</t>
  </si>
  <si>
    <t>31/12/2025</t>
  </si>
  <si>
    <t>16/HĐKT/PLHĐ</t>
  </si>
  <si>
    <t>28/02/2029</t>
  </si>
  <si>
    <t>H60/2025/HĐKT</t>
  </si>
  <si>
    <t>H254/2025/HĐKT</t>
  </si>
  <si>
    <t>30/01/2028</t>
  </si>
  <si>
    <t>H181/2025/HĐKT</t>
  </si>
  <si>
    <t>11/HĐKT/PLHĐ</t>
  </si>
  <si>
    <t>H176/2025/HĐKT</t>
  </si>
  <si>
    <t>H61/2025/HĐTĐ</t>
  </si>
  <si>
    <t>H718/2025/HĐKT</t>
  </si>
  <si>
    <t>H171/2025/HĐTĐ</t>
  </si>
  <si>
    <t>H754/2025/HĐKT</t>
  </si>
  <si>
    <t>H755/2025/HĐKT</t>
  </si>
  <si>
    <t>H719/2025/HĐKT</t>
  </si>
  <si>
    <t>H720/2025/HĐKT</t>
  </si>
  <si>
    <t>19/HĐKT/PLHĐ</t>
  </si>
  <si>
    <t>H180/2025/HĐKT</t>
  </si>
  <si>
    <t>H161/2025/HĐKT</t>
  </si>
  <si>
    <t>H140/2025/HĐKT</t>
  </si>
  <si>
    <t>19/2025/HĐTĐ/45778</t>
  </si>
  <si>
    <t>05/2016-HĐTĐ-LCS/42644</t>
  </si>
  <si>
    <t>21/HĐKT/PLHĐ</t>
  </si>
  <si>
    <t>H139/2025/HĐKT</t>
  </si>
  <si>
    <t>H725/2025/HĐKT</t>
  </si>
  <si>
    <t>H726/2025/HĐKT</t>
  </si>
  <si>
    <t>H727/2025/HĐKT</t>
  </si>
  <si>
    <t>H121/2025/HĐKT</t>
  </si>
  <si>
    <t>05/BTS/HĐTĐ/41275</t>
  </si>
  <si>
    <t>H728/2025/HĐKT</t>
  </si>
  <si>
    <t>H729/2025/HĐKT</t>
  </si>
  <si>
    <t>H764/2025/HĐTĐ</t>
  </si>
  <si>
    <t>01/01/2029</t>
  </si>
  <si>
    <t>H87/2025/HĐTĐ</t>
  </si>
  <si>
    <t>H54/2025/HĐKT</t>
  </si>
  <si>
    <t>01/10/2032</t>
  </si>
  <si>
    <t>19/HĐTĐ - 20/HĐTĐ/42461</t>
  </si>
  <si>
    <t>22/2023/HĐTĐ /45017</t>
  </si>
  <si>
    <t>Số 31/HĐKT/44927</t>
  </si>
  <si>
    <t>H184/2025/HĐTĐ</t>
  </si>
  <si>
    <t>30/10/2035</t>
  </si>
  <si>
    <t>30/06/2026</t>
  </si>
  <si>
    <t>20/HĐKT/PLHĐ</t>
  </si>
  <si>
    <t>Số 14/HĐTĐ/41279</t>
  </si>
  <si>
    <t>H86/2025/HĐTĐ</t>
  </si>
  <si>
    <t>04/BTS/HĐKT/41275</t>
  </si>
  <si>
    <t>40/HĐKT/2015/42186</t>
  </si>
  <si>
    <t>H757/2025/HĐTĐ</t>
  </si>
  <si>
    <t>01/01/2036</t>
  </si>
  <si>
    <t>H733/2025/HĐKT</t>
  </si>
  <si>
    <t>H734/2025/HĐKT</t>
  </si>
  <si>
    <t>09/HĐTĐ-YT/42736</t>
  </si>
  <si>
    <t>18/2019/HĐKT/42339</t>
  </si>
  <si>
    <t>31/07/2029</t>
  </si>
  <si>
    <t>H79/2025/HĐKT</t>
  </si>
  <si>
    <t>H85/41275</t>
  </si>
  <si>
    <t>41/HĐKT/42186</t>
  </si>
  <si>
    <t>H50/2025/HĐKT</t>
  </si>
  <si>
    <t>H24/2025/HĐKT</t>
  </si>
  <si>
    <t>H138/45931</t>
  </si>
  <si>
    <t>71/2019/HĐTĐ/43466</t>
  </si>
  <si>
    <t>H16/2025/HĐKT</t>
  </si>
  <si>
    <t>04/2025/HĐKT</t>
  </si>
  <si>
    <t>12/2025/HĐKT</t>
  </si>
  <si>
    <t>H737/2025/HĐTĐ</t>
  </si>
  <si>
    <t>H738/2025/HĐTĐ</t>
  </si>
  <si>
    <t>30/04/2026</t>
  </si>
  <si>
    <t>10/HĐTĐ-YT/42736</t>
  </si>
  <si>
    <t>H183/2025/HĐKT</t>
  </si>
  <si>
    <t>31/01/2033</t>
  </si>
  <si>
    <t>Số 40/HĐKT/41275</t>
  </si>
  <si>
    <t>Số 34/HĐKT/43617</t>
  </si>
  <si>
    <t>Số 12/2020/HĐTĐ/43831</t>
  </si>
  <si>
    <t>37/2020/HĐTĐ/44013</t>
  </si>
  <si>
    <t>23/2025/HĐKT</t>
  </si>
  <si>
    <t>H162/2025/HĐKT</t>
  </si>
  <si>
    <t>H81/2025/HĐKT</t>
  </si>
  <si>
    <t>H740/2025/HĐKT</t>
  </si>
  <si>
    <t>9/2025/HĐKT</t>
  </si>
  <si>
    <t>Số 36/2016-HĐTĐ/BTS-KB/42541</t>
  </si>
  <si>
    <t>H758/2025/HĐKT</t>
  </si>
  <si>
    <t>62/2016/ HĐTĐ-ĐB/42705</t>
  </si>
  <si>
    <t>30/09/2032</t>
  </si>
  <si>
    <t>H49/2025/HĐKT</t>
  </si>
  <si>
    <t>06/HĐTĐ/41306</t>
  </si>
  <si>
    <t>3</t>
  </si>
  <si>
    <t>H143/2025/HĐTĐ</t>
  </si>
  <si>
    <t>71/2017/HĐTĐ/44684</t>
  </si>
  <si>
    <t>H89/2025/HĐTĐ</t>
  </si>
  <si>
    <t>30/09/2034</t>
  </si>
  <si>
    <t>61/2016-HĐTĐ-LCS/PLHĐ</t>
  </si>
  <si>
    <t>31/12/2035</t>
  </si>
  <si>
    <t>79/2017/HĐTĐ/42917</t>
  </si>
  <si>
    <t>H255/2025/HĐTĐ</t>
  </si>
  <si>
    <t>H194/2025/HĐTĐ</t>
  </si>
  <si>
    <t>80/2017/HĐTĐ/42998</t>
  </si>
  <si>
    <t>H570/2025/HĐKT</t>
  </si>
  <si>
    <t>H172/2025/HĐKT</t>
  </si>
  <si>
    <t>101/2017 HĐTĐ/43074</t>
  </si>
  <si>
    <t>H123/2025/HĐKT</t>
  </si>
  <si>
    <t>16/2025/HĐKT</t>
  </si>
  <si>
    <t>Số 15/2018/HĐTĐ/43221</t>
  </si>
  <si>
    <t>H91/2025/HĐTĐ</t>
  </si>
  <si>
    <t>30/01/2034</t>
  </si>
  <si>
    <t>12/2019/HĐTĐ/43617</t>
  </si>
  <si>
    <t>30/04/2029</t>
  </si>
  <si>
    <t>11/2025/HĐTĐ/45658</t>
  </si>
  <si>
    <t>H05/2025/HĐKT</t>
  </si>
  <si>
    <t>H06/2025/HĐKT</t>
  </si>
  <si>
    <t>H53/2025/HĐKT</t>
  </si>
  <si>
    <t>19/2025/HĐKT</t>
  </si>
  <si>
    <t>H585/2025/HĐKT</t>
  </si>
  <si>
    <t>H584/2025/HĐKT</t>
  </si>
  <si>
    <t>64/2019/HĐTĐ/43739</t>
  </si>
  <si>
    <t>20/2020/HĐTĐ/43831</t>
  </si>
  <si>
    <t>24/2020/HĐTĐ/43831</t>
  </si>
  <si>
    <t>H373/2025/HĐKT</t>
  </si>
  <si>
    <t>30/07/2029</t>
  </si>
  <si>
    <t>30/06/2029</t>
  </si>
  <si>
    <t>H59/2025/HĐKT</t>
  </si>
  <si>
    <t>H118/2025/HĐKT</t>
  </si>
  <si>
    <t>H92/2025/HĐKT</t>
  </si>
  <si>
    <t>H120/2025/HĐKT</t>
  </si>
  <si>
    <t>H369/2025/HĐKT</t>
  </si>
  <si>
    <t>H370/2025/HĐKT</t>
  </si>
  <si>
    <t>H93/2025/HĐTĐ</t>
  </si>
  <si>
    <t>H372/2025/HĐTĐ</t>
  </si>
  <si>
    <t>H129/43713</t>
  </si>
  <si>
    <t>21/2020/HĐTĐ/43831</t>
  </si>
  <si>
    <t>H371/2025/HĐTĐ</t>
  </si>
  <si>
    <t>63/2018/HĐTĐ/43101</t>
  </si>
  <si>
    <t>15/BTS/HĐKT/41275</t>
  </si>
  <si>
    <t>H125/2025/HĐKT</t>
  </si>
  <si>
    <t>03/2025/HĐKT</t>
  </si>
  <si>
    <t>15/2025/HĐKT</t>
  </si>
  <si>
    <t>30/05/2030</t>
  </si>
  <si>
    <t>10/2023/HĐKT/44977</t>
  </si>
  <si>
    <t>H52/2025/HĐKT</t>
  </si>
  <si>
    <t>H132/2025/HĐTĐ</t>
  </si>
  <si>
    <t>H376/2025/HĐTĐ</t>
  </si>
  <si>
    <t>30/10/2030</t>
  </si>
  <si>
    <t>H375/2025/HĐTĐ</t>
  </si>
  <si>
    <t>H55/2025/HĐKT</t>
  </si>
  <si>
    <t>01/10/2031</t>
  </si>
  <si>
    <t>H48/2025/HĐKT</t>
  </si>
  <si>
    <t>H47/2025/HĐKT</t>
  </si>
  <si>
    <t>H377/2025/HĐTĐ</t>
  </si>
  <si>
    <t>30/12/2026</t>
  </si>
  <si>
    <t>H35/2025/HĐTĐ</t>
  </si>
  <si>
    <t>H95/2025/HĐTĐ</t>
  </si>
  <si>
    <t>H380/2025/HĐTĐ</t>
  </si>
  <si>
    <t>H381/2025/HĐTĐ</t>
  </si>
  <si>
    <t>H378/44713</t>
  </si>
  <si>
    <t>30/06/2027</t>
  </si>
  <si>
    <t>44/2022/HĐTĐ/44713</t>
  </si>
  <si>
    <t>43/2022/HĐTĐ/44691</t>
  </si>
  <si>
    <t>42/2022/HĐTĐ/44713</t>
  </si>
  <si>
    <t>45/2022/HĐTĐ/44713</t>
  </si>
  <si>
    <t>41/2022/HĐTĐ/44713</t>
  </si>
  <si>
    <t>75//TT/2022/VNPTHB-CTHS</t>
  </si>
  <si>
    <t>20/05/2032</t>
  </si>
  <si>
    <t>40/2022/HĐTĐ/44713</t>
  </si>
  <si>
    <t>11/2022/HĐTĐ/44645</t>
  </si>
  <si>
    <t>10/2022/HĐTĐ/44645</t>
  </si>
  <si>
    <t>H379/2025/HĐTĐ</t>
  </si>
  <si>
    <t>40//2023/HĐKT/AP-VTHB</t>
  </si>
  <si>
    <t>31/12/2033</t>
  </si>
  <si>
    <t>H96/2025/HĐTĐ</t>
  </si>
  <si>
    <t>H14/2025/HĐKT</t>
  </si>
  <si>
    <t>H382/2025/HĐTĐ</t>
  </si>
  <si>
    <t>H02/2026/HĐKT</t>
  </si>
  <si>
    <t>01/01/2035</t>
  </si>
  <si>
    <t>H268/2025/HĐTĐ</t>
  </si>
  <si>
    <t>30/07/2034</t>
  </si>
  <si>
    <t>H267/2025/HĐTĐ</t>
  </si>
  <si>
    <t>H11/2026/SUDICOHB-HĐKT</t>
  </si>
  <si>
    <t>H97/2025/HĐTĐ</t>
  </si>
  <si>
    <t>H98/2025/HĐTĐ</t>
  </si>
  <si>
    <t>H99/2025/HĐTĐ</t>
  </si>
  <si>
    <t>10//HĐTMB/2025/VNPTHB-CTHS</t>
  </si>
  <si>
    <t>28/02/2038</t>
  </si>
  <si>
    <t>H51/2025/HĐKT</t>
  </si>
  <si>
    <t>H850/2025/HĐTĐ</t>
  </si>
  <si>
    <t>H856/2025/HĐTĐ</t>
  </si>
  <si>
    <t>T70/2025/HĐTĐ</t>
  </si>
  <si>
    <t>24/09/2035</t>
  </si>
  <si>
    <t>T82/2025/HĐTĐ</t>
  </si>
  <si>
    <t>24/06/2035</t>
  </si>
  <si>
    <t>T72/2025/HĐTĐ</t>
  </si>
  <si>
    <t>17/09/2035</t>
  </si>
  <si>
    <t>T71/2025/HĐTĐ</t>
  </si>
  <si>
    <t>19/09/2035</t>
  </si>
  <si>
    <t>T80/2025/HĐTĐ</t>
  </si>
  <si>
    <t>H863/2025/HĐTĐ</t>
  </si>
  <si>
    <t>T68/2025/HĐTĐ</t>
  </si>
  <si>
    <t>T69/2025/HĐTĐ</t>
  </si>
  <si>
    <t>H851/2025/HĐTĐ</t>
  </si>
  <si>
    <t>30/11/2035</t>
  </si>
  <si>
    <t>K98/2025/HĐTĐ</t>
  </si>
  <si>
    <t>K99/2025/HĐTĐ</t>
  </si>
  <si>
    <t>H869/2025/HĐTĐ</t>
  </si>
  <si>
    <t>30/11/2030</t>
  </si>
  <si>
    <t>H870/2025/HĐTĐ</t>
  </si>
  <si>
    <t>H871/2025/HĐTĐ</t>
  </si>
  <si>
    <t>H872/2025/HĐTĐ</t>
  </si>
  <si>
    <t>H873/2025/HĐTĐ</t>
  </si>
  <si>
    <t>H874/2025/HĐTĐ</t>
  </si>
  <si>
    <t>H875/2026/HĐTĐ</t>
  </si>
  <si>
    <t>31/12/2030</t>
  </si>
  <si>
    <t>H876/2025/HĐTĐ</t>
  </si>
  <si>
    <t>H877/2025/HĐTĐ</t>
  </si>
  <si>
    <t>H878/2026/HĐTĐ</t>
  </si>
  <si>
    <t>H879/2025/HĐTĐ</t>
  </si>
  <si>
    <t>H880/2026/HĐTĐ</t>
  </si>
  <si>
    <t>H881/2026/HĐTĐ</t>
  </si>
  <si>
    <t>H881/2025/HĐTĐ</t>
  </si>
  <si>
    <t>118/2025/HĐTĐ</t>
  </si>
  <si>
    <t>14/12/2035</t>
  </si>
  <si>
    <t>H854/2025/HĐTĐ</t>
  </si>
  <si>
    <t>18/11/2030</t>
  </si>
  <si>
    <t>H885/2026/HĐTĐ</t>
  </si>
  <si>
    <t>H852/2025/HĐTĐ</t>
  </si>
  <si>
    <t>120/2025/HĐTĐ</t>
  </si>
  <si>
    <t>01/01/2026</t>
  </si>
  <si>
    <t>29/10/2030</t>
  </si>
  <si>
    <t>115/2025/HĐTĐ</t>
  </si>
  <si>
    <t>114/2025/HĐTĐ</t>
  </si>
  <si>
    <t>C89/2025/HĐTĐ</t>
  </si>
  <si>
    <t>C88/2025/HĐTĐ</t>
  </si>
  <si>
    <t>H855/2025/HĐTĐ</t>
  </si>
  <si>
    <t>20/10/2035</t>
  </si>
  <si>
    <t>110/2025/HĐTĐ</t>
  </si>
  <si>
    <t>03/11/2035</t>
  </si>
  <si>
    <t>111/HĐCTV</t>
  </si>
  <si>
    <t>03/11/2030</t>
  </si>
  <si>
    <t>113/2025/HĐTĐ</t>
  </si>
  <si>
    <t>02/11/2030</t>
  </si>
  <si>
    <t>112/2025/HĐTĐ</t>
  </si>
  <si>
    <t>122/2025/HĐTĐ</t>
  </si>
  <si>
    <t>26/11/2035</t>
  </si>
  <si>
    <t>95/2025/HĐ-TCSHT/VENUS-VNPT.HBH</t>
  </si>
  <si>
    <t>08/09/2035</t>
  </si>
  <si>
    <t>H73/2025/HĐKT</t>
  </si>
  <si>
    <t>H901/2025/HĐKT</t>
  </si>
  <si>
    <t>14/12/2030</t>
  </si>
  <si>
    <t>H903/2025/HĐKT</t>
  </si>
  <si>
    <t>H10/2026/HĐTĐ</t>
  </si>
  <si>
    <t>28/02/2036</t>
  </si>
  <si>
    <t>/</t>
  </si>
  <si>
    <t>247/2025/HĐTĐ</t>
  </si>
  <si>
    <t>31/12/2029</t>
  </si>
  <si>
    <t>256/2025/HĐTĐ</t>
  </si>
  <si>
    <t>265/2025/HĐTĐ</t>
  </si>
  <si>
    <t>255/2025/HĐTĐ</t>
  </si>
  <si>
    <t>253/2025/HĐTĐ</t>
  </si>
  <si>
    <t>01/10/2040</t>
  </si>
  <si>
    <t>257/2025/HĐTĐ</t>
  </si>
  <si>
    <t>261/2025/HĐTĐ</t>
  </si>
  <si>
    <t>259/2025/HĐTĐ</t>
  </si>
  <si>
    <t>239/2025/HĐTĐ</t>
  </si>
  <si>
    <t>258/2025/HĐTĐ</t>
  </si>
  <si>
    <t>252/2025/HĐTĐ</t>
  </si>
  <si>
    <t>248/2025/HĐTĐ</t>
  </si>
  <si>
    <t>249/2025/HĐTĐ</t>
  </si>
  <si>
    <t>244/2025/HĐTĐ</t>
  </si>
  <si>
    <t>251/2025/HĐTĐ</t>
  </si>
  <si>
    <t>243/2025/HĐTĐ</t>
  </si>
  <si>
    <t>241/2025/HĐTĐ</t>
  </si>
  <si>
    <t>260/2025/HĐTĐ</t>
  </si>
  <si>
    <t>240/2025/HĐTĐ</t>
  </si>
  <si>
    <t>245/2025/HĐTĐ</t>
  </si>
  <si>
    <t>250/2025/HĐTĐ</t>
  </si>
  <si>
    <t>242/2025/HĐTĐ</t>
  </si>
  <si>
    <t>142/2025/HĐTĐ</t>
  </si>
  <si>
    <t>143/2025/HĐTĐ</t>
  </si>
  <si>
    <t>28/02/2027</t>
  </si>
  <si>
    <t>149/2025/HĐTĐ</t>
  </si>
  <si>
    <t>141/2025/HĐTĐ</t>
  </si>
  <si>
    <t>134/2025/HĐTĐ</t>
  </si>
  <si>
    <t>01/01/2025</t>
  </si>
  <si>
    <t>133/2025/HĐTĐ</t>
  </si>
  <si>
    <t>135/2025/HĐTĐ</t>
  </si>
  <si>
    <t>136/2025/HĐTĐ</t>
  </si>
  <si>
    <t>137/2025/HĐTĐ</t>
  </si>
  <si>
    <t>138/2025/HĐTĐ</t>
  </si>
  <si>
    <t>139/2025/HĐTĐ</t>
  </si>
  <si>
    <t>144/2025/HĐTĐ</t>
  </si>
  <si>
    <t>147/2025/HĐTĐ</t>
  </si>
  <si>
    <t>146/2025/HĐTĐ</t>
  </si>
  <si>
    <t>145/2025/HĐTĐ</t>
  </si>
  <si>
    <t>148/2025/HĐTĐ</t>
  </si>
  <si>
    <t>212/2025/HĐTĐ</t>
  </si>
  <si>
    <t>207/2025/HĐTĐ</t>
  </si>
  <si>
    <t>219/2025/HĐTĐ</t>
  </si>
  <si>
    <t>208/2025/HĐTĐ</t>
  </si>
  <si>
    <t>210/2025/HĐTĐ</t>
  </si>
  <si>
    <t>209/2025/HĐTĐ</t>
  </si>
  <si>
    <t>211/2025/HĐTĐ</t>
  </si>
  <si>
    <t>218/2025/HĐTĐ</t>
  </si>
  <si>
    <t>214/2025/HĐTĐ</t>
  </si>
  <si>
    <t>215/2025/HĐTĐ</t>
  </si>
  <si>
    <t>213/2025/HĐTĐ</t>
  </si>
  <si>
    <t>220/2025/HĐTĐ</t>
  </si>
  <si>
    <t>216/2025/HĐTĐ</t>
  </si>
  <si>
    <t>217/2025/HĐTĐ</t>
  </si>
  <si>
    <t>86.02/2025/HĐTĐ</t>
  </si>
  <si>
    <t>14/07/2026</t>
  </si>
  <si>
    <t>06/10/2025</t>
  </si>
  <si>
    <t>222/2025/HĐTĐ</t>
  </si>
  <si>
    <t>08/2025/2025/HĐTĐ</t>
  </si>
  <si>
    <t>30/11/2025</t>
  </si>
  <si>
    <t>223/2025/HĐTĐ</t>
  </si>
  <si>
    <t>3247/2025/HĐTĐ</t>
  </si>
  <si>
    <t>233/2025/HĐTĐ</t>
  </si>
  <si>
    <t>01/01/0025</t>
  </si>
  <si>
    <t>331.02/2025/HĐTĐ</t>
  </si>
  <si>
    <t>30/12/2030</t>
  </si>
  <si>
    <t>199/2025/HĐTĐ</t>
  </si>
  <si>
    <t>238/2025/HĐTĐ</t>
  </si>
  <si>
    <t>225/2025/HĐTĐ</t>
  </si>
  <si>
    <t>224/2025/HĐTĐ</t>
  </si>
  <si>
    <t>201/2025/HĐTĐ</t>
  </si>
  <si>
    <t>231/2025/HĐTĐ</t>
  </si>
  <si>
    <t>184/2025/HĐTĐ</t>
  </si>
  <si>
    <t>203/2025/HĐTĐ</t>
  </si>
  <si>
    <t>01/09/2025</t>
  </si>
  <si>
    <t>187/2025/HĐTĐ</t>
  </si>
  <si>
    <t>197/2025/HĐTĐ</t>
  </si>
  <si>
    <t>3222/2025/HĐTĐ</t>
  </si>
  <si>
    <t>180/2025/HĐTĐ</t>
  </si>
  <si>
    <t>181/2025/HĐTĐ</t>
  </si>
  <si>
    <t>188/2025/HĐTĐ</t>
  </si>
  <si>
    <t>189/2025/HĐTĐ</t>
  </si>
  <si>
    <t>190/2025/HĐTĐ</t>
  </si>
  <si>
    <t>370/2025/HĐTĐ</t>
  </si>
  <si>
    <t>101/2025/2025/HĐTĐ</t>
  </si>
  <si>
    <t>03/10/2025</t>
  </si>
  <si>
    <t>01/07/2025</t>
  </si>
  <si>
    <t>318/2025/HĐTĐ</t>
  </si>
  <si>
    <t>319/2025/HĐTĐ</t>
  </si>
  <si>
    <t>195/2025/HĐTĐ</t>
  </si>
  <si>
    <t>31/12/2031</t>
  </si>
  <si>
    <t>200/2025/HĐTĐ</t>
  </si>
  <si>
    <t>396/2025/HĐTĐ</t>
  </si>
  <si>
    <t>30/04/2028</t>
  </si>
  <si>
    <t>198/2025/HĐTĐ</t>
  </si>
  <si>
    <t>202/2025/HĐTĐ</t>
  </si>
  <si>
    <t>310/2025/HĐTĐ</t>
  </si>
  <si>
    <t>313/2025/HĐTĐ</t>
  </si>
  <si>
    <t>308/2025/HĐTĐ</t>
  </si>
  <si>
    <t>311/2025/HĐTĐ</t>
  </si>
  <si>
    <t>312/2025/HĐTĐ</t>
  </si>
  <si>
    <t>01/10/2036</t>
  </si>
  <si>
    <t>314/2025/HĐTĐ</t>
  </si>
  <si>
    <t>316/2025/HĐTĐ</t>
  </si>
  <si>
    <t>PL/2025/HĐTĐ</t>
  </si>
  <si>
    <t>317/2025/HĐTĐ</t>
  </si>
  <si>
    <t>320/2025/HĐTĐ</t>
  </si>
  <si>
    <t>01.10/2025/HĐTĐ</t>
  </si>
  <si>
    <t>323/2025/HĐTĐ</t>
  </si>
  <si>
    <t>324/2025/HĐTĐ</t>
  </si>
  <si>
    <t>325/2025/HĐTĐ</t>
  </si>
  <si>
    <t>329/2025/HĐTĐ</t>
  </si>
  <si>
    <t>326/2025/HĐTĐ</t>
  </si>
  <si>
    <t>285/2025/HĐTĐ</t>
  </si>
  <si>
    <t>96.02/2025/HĐTĐ</t>
  </si>
  <si>
    <t>278/2025/HĐTĐ</t>
  </si>
  <si>
    <t>279/2025/HĐTĐ</t>
  </si>
  <si>
    <t>283/2025/HĐTĐ</t>
  </si>
  <si>
    <t>280/2025/HĐTĐ</t>
  </si>
  <si>
    <t>286/2025/HĐTĐ</t>
  </si>
  <si>
    <t>281/2025/HĐTĐ</t>
  </si>
  <si>
    <t>282/2025/HĐTĐ</t>
  </si>
  <si>
    <t>284/2025/HĐTĐ</t>
  </si>
  <si>
    <t>287/2025/HĐTĐ</t>
  </si>
  <si>
    <t>288/2025/HĐTĐ</t>
  </si>
  <si>
    <t>108/2025/HĐTĐ</t>
  </si>
  <si>
    <t>111/2025/HĐTĐ</t>
  </si>
  <si>
    <t>128/2025/HĐTĐ</t>
  </si>
  <si>
    <t>30/09/2045</t>
  </si>
  <si>
    <t>125/2025/HĐTĐ</t>
  </si>
  <si>
    <t>126/2025/HĐTĐ</t>
  </si>
  <si>
    <t>131/2025/HĐTĐ</t>
  </si>
  <si>
    <t>124/2025/HĐTĐ</t>
  </si>
  <si>
    <t>154/2025/HĐTĐ</t>
  </si>
  <si>
    <t>153/2025/HĐTĐ</t>
  </si>
  <si>
    <t>157/2025/HĐTĐ</t>
  </si>
  <si>
    <t>156/2025/HĐTĐ</t>
  </si>
  <si>
    <t>158/2025/HĐTĐ</t>
  </si>
  <si>
    <t>420/2025/HĐTĐ</t>
  </si>
  <si>
    <t>419/2025/HĐTĐ</t>
  </si>
  <si>
    <t>155/2025/HĐTĐ</t>
  </si>
  <si>
    <t>159/2025/HĐTĐ</t>
  </si>
  <si>
    <t>418/2025/HĐTĐ</t>
  </si>
  <si>
    <t>413/2025/HĐTĐ</t>
  </si>
  <si>
    <t>289/2025/HĐTĐ</t>
  </si>
  <si>
    <t>291/2025/HĐTĐ</t>
  </si>
  <si>
    <t>292/2025/HĐTĐ</t>
  </si>
  <si>
    <t>293/2025/HĐTĐ</t>
  </si>
  <si>
    <t>302/2025/HĐTĐ</t>
  </si>
  <si>
    <t>299/2025/HĐTĐ</t>
  </si>
  <si>
    <t>297/2025/HĐTĐ</t>
  </si>
  <si>
    <t>300/2025/HĐTĐ</t>
  </si>
  <si>
    <t>295/2025/HĐTĐ</t>
  </si>
  <si>
    <t>301/2025/HĐTĐ</t>
  </si>
  <si>
    <t>298/2025/HĐTĐ</t>
  </si>
  <si>
    <t>296/2025/HĐTĐ</t>
  </si>
  <si>
    <t>307/2025/HĐTĐ</t>
  </si>
  <si>
    <t>303/2025/HĐTĐ</t>
  </si>
  <si>
    <t>305/2025/HĐTĐ</t>
  </si>
  <si>
    <t>03/2025/2025/HĐTĐ</t>
  </si>
  <si>
    <t>304/2025/HĐTĐ</t>
  </si>
  <si>
    <t>165/2025/HĐTĐ</t>
  </si>
  <si>
    <t>166/2025/HĐTĐ</t>
  </si>
  <si>
    <t>167/2025/HĐTĐ</t>
  </si>
  <si>
    <t>171/2025/HĐTĐ</t>
  </si>
  <si>
    <t>5/2025/HĐTĐ</t>
  </si>
  <si>
    <t>427/2025/HĐTĐ</t>
  </si>
  <si>
    <t>393/2025/HĐTĐ</t>
  </si>
  <si>
    <t>01/10/2029</t>
  </si>
  <si>
    <t>349/2025/HĐTĐ</t>
  </si>
  <si>
    <t>108/2025/2025/HĐTĐ</t>
  </si>
  <si>
    <t>3245/2025/HĐTĐ</t>
  </si>
  <si>
    <t>31/12/2027</t>
  </si>
  <si>
    <t>398/2025/HĐTĐ</t>
  </si>
  <si>
    <t>/2025/HĐTĐ</t>
  </si>
  <si>
    <t>423/2025/HĐTĐ</t>
  </si>
  <si>
    <t>331/2025/HĐTĐ</t>
  </si>
  <si>
    <t>09.02/2025/HĐTĐ</t>
  </si>
  <si>
    <t>30/06/2028</t>
  </si>
  <si>
    <t>01/11/2025</t>
  </si>
  <si>
    <t>01/11/2027</t>
  </si>
  <si>
    <t>332/2025/HĐTĐ</t>
  </si>
  <si>
    <t>351/2025/HĐTĐ</t>
  </si>
  <si>
    <t>106/2025/HĐTĐ</t>
  </si>
  <si>
    <t>01/01/2041</t>
  </si>
  <si>
    <t>109/2025/HĐTĐ</t>
  </si>
  <si>
    <t>02/10/2025</t>
  </si>
  <si>
    <t>428/2025/HĐTĐ</t>
  </si>
  <si>
    <t>210/2025/TTHT-TTHT_PTO</t>
  </si>
  <si>
    <t>371/2025/HĐTĐ</t>
  </si>
  <si>
    <t>373/2025/HĐTĐ</t>
  </si>
  <si>
    <t>375/2025/HĐTĐ</t>
  </si>
  <si>
    <t>385/2025/HĐTĐ</t>
  </si>
  <si>
    <t>335/2025/HĐTĐ</t>
  </si>
  <si>
    <t>337/2025/HĐTĐ</t>
  </si>
  <si>
    <t>01/08/2025</t>
  </si>
  <si>
    <t>100/2025/HĐTĐ</t>
  </si>
  <si>
    <t>377/2025/HĐTĐ</t>
  </si>
  <si>
    <t>3163/2025/HĐTĐ</t>
  </si>
  <si>
    <t>383/2025/HĐTĐ</t>
  </si>
  <si>
    <t>338/2025/HĐTĐ</t>
  </si>
  <si>
    <t>01/01/2024</t>
  </si>
  <si>
    <t>01/2025/2025/HĐTĐ</t>
  </si>
  <si>
    <t>345/2025/HĐTĐ</t>
  </si>
  <si>
    <t>340/2025/HĐTĐ</t>
  </si>
  <si>
    <t>344/2025/HĐTĐ</t>
  </si>
  <si>
    <t>310/2025/TTHT-TTHT-PTO</t>
  </si>
  <si>
    <t>395/2025/HĐTĐ</t>
  </si>
  <si>
    <t>30/03/2029</t>
  </si>
  <si>
    <t>343/2025/HĐTĐ</t>
  </si>
  <si>
    <t>399/2025/HĐTĐ</t>
  </si>
  <si>
    <t>210/2025/2025/HĐTĐ</t>
  </si>
  <si>
    <t>02/01/2026</t>
  </si>
  <si>
    <t>414/2025/HĐTĐ</t>
  </si>
  <si>
    <t>01/01/2031</t>
  </si>
  <si>
    <t>390/2025/HĐTĐ</t>
  </si>
  <si>
    <t>267/2025/HĐTĐ</t>
  </si>
  <si>
    <t>268/2025/HĐTĐ</t>
  </si>
  <si>
    <t>266/2025/HĐTĐ</t>
  </si>
  <si>
    <t>276/2025/HĐTĐ</t>
  </si>
  <si>
    <t>264/2025/HĐTĐ</t>
  </si>
  <si>
    <t>02/10/2030</t>
  </si>
  <si>
    <t>263/2025/HĐTĐ</t>
  </si>
  <si>
    <t>272/2025/HĐTĐ</t>
  </si>
  <si>
    <t>270/2025/HĐTĐ</t>
  </si>
  <si>
    <t>269/2025/HĐTĐ</t>
  </si>
  <si>
    <t>271/2025/HĐTĐ</t>
  </si>
  <si>
    <t>01/11/2035</t>
  </si>
  <si>
    <t>34/2026/HĐTĐ</t>
  </si>
  <si>
    <t>44/2025/HĐTĐ</t>
  </si>
  <si>
    <t>22/12/2025</t>
  </si>
  <si>
    <t>01/02/2026</t>
  </si>
  <si>
    <t>22/12/2035</t>
  </si>
  <si>
    <t>49/2025/HĐTĐ</t>
  </si>
  <si>
    <t>01/03/2026</t>
  </si>
  <si>
    <t>117/2026/HĐTĐ</t>
  </si>
  <si>
    <t>07/2025/HĐ DV-TTHTPTO</t>
  </si>
  <si>
    <t>104/2026/HĐTĐ</t>
  </si>
  <si>
    <t xml:space="preserve">05/2025/HĐ DV-TTHT </t>
  </si>
  <si>
    <t xml:space="preserve">04/2025/HĐ DV-TTHT </t>
  </si>
  <si>
    <t>109/2026/HĐTĐ</t>
  </si>
  <si>
    <t>114/2026/HĐTĐ</t>
  </si>
  <si>
    <t>100/2026/HĐTĐ</t>
  </si>
  <si>
    <t>101/2025/HĐTĐ</t>
  </si>
  <si>
    <t>0811/2025/HĐTĐ</t>
  </si>
  <si>
    <t>108/2026/HĐ DV-TTHT</t>
  </si>
  <si>
    <t>3206/2025/HĐTĐ</t>
  </si>
  <si>
    <t>1054/2025/HĐTĐ</t>
  </si>
  <si>
    <t>0403/2025/HĐTĐ</t>
  </si>
  <si>
    <t>1081/2025/HĐTĐ</t>
  </si>
  <si>
    <t>07/2025/HDDV-TTHT</t>
  </si>
  <si>
    <t>Hết hạn HĐ</t>
  </si>
  <si>
    <t>0404/2025/HĐTĐ</t>
  </si>
  <si>
    <t>0102/2025/HĐTĐ</t>
  </si>
  <si>
    <t>1116/2025/HĐTĐ</t>
  </si>
  <si>
    <t>0402/2025/HĐTĐ</t>
  </si>
  <si>
    <t>03/2017/HĐKT/PLHĐ</t>
  </si>
  <si>
    <t>13/06/2027</t>
  </si>
  <si>
    <t>20/11/2026</t>
  </si>
  <si>
    <t>1055/2025/HĐTĐ</t>
  </si>
  <si>
    <t>3105/2025/HĐDV-TTHT_PTO</t>
  </si>
  <si>
    <t>25/10/2028</t>
  </si>
  <si>
    <t>3253/2026/HĐTĐ</t>
  </si>
  <si>
    <t>0102/2026/HĐ DV-TTHTVPC</t>
  </si>
  <si>
    <t>06/01/2026</t>
  </si>
  <si>
    <t>1052/2025/HĐTĐ</t>
  </si>
  <si>
    <t>2070/2025/HĐTĐ</t>
  </si>
  <si>
    <t>3252/2026/HĐ-BTS</t>
  </si>
  <si>
    <t>3208/2025/HĐTĐ</t>
  </si>
  <si>
    <t>0547/2025/HĐTĐ</t>
  </si>
  <si>
    <t>372/2025/HĐTĐ</t>
  </si>
  <si>
    <t>0519/2025/HĐ-BTS</t>
  </si>
  <si>
    <t>01/TT-VNPT/2019/PLHĐ</t>
  </si>
  <si>
    <t>06/11/2034</t>
  </si>
  <si>
    <t>01.01/VNPT/2025</t>
  </si>
  <si>
    <t>102-VNPT/BTS-TLIPIII/PLHĐ</t>
  </si>
  <si>
    <t>2024/02T1/FUC-VNPT/PLHĐ</t>
  </si>
  <si>
    <t>30/11/2029</t>
  </si>
  <si>
    <t>0516/2025/HĐTĐ</t>
  </si>
  <si>
    <t>30/9/2030</t>
  </si>
  <si>
    <t>3188/2026/HĐTĐ</t>
  </si>
  <si>
    <t>1017/2025/HĐTĐ/VNPT-CĐSP</t>
  </si>
  <si>
    <t>0515/2025/HĐTĐ</t>
  </si>
  <si>
    <t>0812/2025/HĐTĐ</t>
  </si>
  <si>
    <t>0531/2025/HĐTĐ</t>
  </si>
  <si>
    <t>0546/2025/HĐTĐ</t>
  </si>
  <si>
    <t>0504/2025/HĐTĐ</t>
  </si>
  <si>
    <t>3185/2025/HĐTĐ</t>
  </si>
  <si>
    <t>0501/2025/HĐTĐ</t>
  </si>
  <si>
    <t>01.10/2025/HĐTĐ/VNPT-CSSV</t>
  </si>
  <si>
    <t>0514/2025/HĐTĐ</t>
  </si>
  <si>
    <t>3191/2026/HĐTĐ</t>
  </si>
  <si>
    <t>03/06/2026</t>
  </si>
  <si>
    <t>02/06/2031</t>
  </si>
  <si>
    <t>0553/2025/HĐTĐ</t>
  </si>
  <si>
    <t>0550/2025/HĐTĐ</t>
  </si>
  <si>
    <t>0307/2025/HĐTĐ</t>
  </si>
  <si>
    <t>0315/2025/HĐTĐ</t>
  </si>
  <si>
    <t>0316/2025/HĐTĐ</t>
  </si>
  <si>
    <t>0345/2025/HĐTĐ</t>
  </si>
  <si>
    <t>0337/2025/HĐTĐ</t>
  </si>
  <si>
    <t>0362/2025/HĐTĐ</t>
  </si>
  <si>
    <t>0319/2025/HĐTĐ</t>
  </si>
  <si>
    <t>0318/2025/HĐTĐ</t>
  </si>
  <si>
    <t>0321/2025/HĐTĐ</t>
  </si>
  <si>
    <t>0317/2025/HĐTĐ</t>
  </si>
  <si>
    <t>0314/2025/HĐ-BTS</t>
  </si>
  <si>
    <t>0312/2025/HĐTĐ</t>
  </si>
  <si>
    <t>1083/2025/HĐTĐ</t>
  </si>
  <si>
    <t>04.05/2025/PLHĐ</t>
  </si>
  <si>
    <t>0306/2025/HĐTĐ</t>
  </si>
  <si>
    <t>2001/2026/HĐTĐ</t>
  </si>
  <si>
    <t>04/2026/TTHT-TTHTPTO-TDB</t>
  </si>
  <si>
    <t>02/2025/HĐ DV-TTHTPTO</t>
  </si>
  <si>
    <t>0</t>
  </si>
  <si>
    <t>0308/2025/HĐTĐ</t>
  </si>
  <si>
    <t>0331/2025/HĐTĐ</t>
  </si>
  <si>
    <t>xx</t>
  </si>
  <si>
    <t>0301/2025/HĐTĐ</t>
  </si>
  <si>
    <t>3275/2025/HĐTĐ</t>
  </si>
  <si>
    <t>0333/2025/HĐTĐ</t>
  </si>
  <si>
    <t>1040/2025/HĐTĐ</t>
  </si>
  <si>
    <t>0871/2025/HĐTĐ</t>
  </si>
  <si>
    <t>0304/2025/HĐTĐ</t>
  </si>
  <si>
    <t>0302/2025/HĐTĐ</t>
  </si>
  <si>
    <t>107/2025/HĐTĐ</t>
  </si>
  <si>
    <t>0420/2025/HĐTĐ</t>
  </si>
  <si>
    <t>0407/2025/HĐTĐ</t>
  </si>
  <si>
    <t>3207/2025/HĐTĐ</t>
  </si>
  <si>
    <t>3173/2025/HĐTĐ</t>
  </si>
  <si>
    <t>0105/2025/HĐ-BTS</t>
  </si>
  <si>
    <t>0406/2025/HĐTĐ</t>
  </si>
  <si>
    <t>3182/2026/HĐTĐ</t>
  </si>
  <si>
    <t>1061/2025/HĐTĐ</t>
  </si>
  <si>
    <t>110/2026/HĐTĐ</t>
  </si>
  <si>
    <t>0101/2026/HĐ DV-TTHTVPC</t>
  </si>
  <si>
    <t>0409/2025/HĐTĐ</t>
  </si>
  <si>
    <t>09/01/2029</t>
  </si>
  <si>
    <t>0410/2025/HĐTĐ</t>
  </si>
  <si>
    <t>3281/2025/HĐDT-TTHTPTO</t>
  </si>
  <si>
    <t>105/2025/HĐTĐ</t>
  </si>
  <si>
    <t>1082/2025/HĐTĐ</t>
  </si>
  <si>
    <t>0341/2025/HĐTĐ</t>
  </si>
  <si>
    <t>2810/2025/HĐTĐ</t>
  </si>
  <si>
    <t>2001/2025/HĐTĐ</t>
  </si>
  <si>
    <t>07/11/2025</t>
  </si>
  <si>
    <t>01/12/2025</t>
  </si>
  <si>
    <t>06/11/2035</t>
  </si>
  <si>
    <t>2002/2025/HĐTĐ</t>
  </si>
  <si>
    <t>06/11/2025</t>
  </si>
  <si>
    <t>05/11/2035</t>
  </si>
  <si>
    <t>2003/2025/HĐTĐ</t>
  </si>
  <si>
    <t>10/11/2025</t>
  </si>
  <si>
    <t>09/11/2035</t>
  </si>
  <si>
    <t>11/11/2025</t>
  </si>
  <si>
    <t>10/11/2030</t>
  </si>
  <si>
    <t>2005/2025/HĐTĐ</t>
  </si>
  <si>
    <t>2006/2025/HĐTĐ</t>
  </si>
  <si>
    <t>2007/2025/HĐTĐ</t>
  </si>
  <si>
    <t>29/10/2025</t>
  </si>
  <si>
    <t>28/10/2030</t>
  </si>
  <si>
    <t>2009/2025/HĐTĐ</t>
  </si>
  <si>
    <t>2010/2025/HĐTĐ</t>
  </si>
  <si>
    <t>28/10/2035</t>
  </si>
  <si>
    <t>2011/2025/HĐTĐ</t>
  </si>
  <si>
    <t>01/04/2026</t>
  </si>
  <si>
    <t>2012/2025/HĐTĐ</t>
  </si>
  <si>
    <t>2013/2025/HĐTĐ</t>
  </si>
  <si>
    <t>01/11/2030</t>
  </si>
  <si>
    <t>2014/2025/HĐTĐ</t>
  </si>
  <si>
    <t>13/11/2025</t>
  </si>
  <si>
    <t>12/11/2030</t>
  </si>
  <si>
    <t>01/12/2035</t>
  </si>
  <si>
    <t>2016/2025/HĐTĐ</t>
  </si>
  <si>
    <t>27/11/2025</t>
  </si>
  <si>
    <t>01/12/2030</t>
  </si>
  <si>
    <t>2017/2025/HĐTĐ</t>
  </si>
  <si>
    <t>05/11/2025</t>
  </si>
  <si>
    <t>04/11/2035</t>
  </si>
  <si>
    <t>2019/2025/HĐTĐ</t>
  </si>
  <si>
    <t>2020/2025/HĐTĐ</t>
  </si>
  <si>
    <t>2021/2025/HĐTĐ</t>
  </si>
  <si>
    <t>2022/2025/HĐTĐ</t>
  </si>
  <si>
    <t>28/10/2025</t>
  </si>
  <si>
    <t>2023/2025/HĐTĐ</t>
  </si>
  <si>
    <t>07/11/2035</t>
  </si>
  <si>
    <t>2024/2025/HĐTĐ</t>
  </si>
  <si>
    <t>17/10/2025</t>
  </si>
  <si>
    <t>2025/2025/HĐTĐ</t>
  </si>
  <si>
    <t>2028/2025/HĐTĐ</t>
  </si>
  <si>
    <t>2030/2025/HĐTĐ</t>
  </si>
  <si>
    <t>2031/2025/HĐTĐ</t>
  </si>
  <si>
    <t>2032/2025/HĐTĐ</t>
  </si>
  <si>
    <t>2033/2025/HĐTĐ</t>
  </si>
  <si>
    <t>01/01/2030</t>
  </si>
  <si>
    <t>2035/2025/HĐTĐ</t>
  </si>
  <si>
    <t>09/11/2030</t>
  </si>
  <si>
    <t>2036/2025/HĐTĐ</t>
  </si>
  <si>
    <t>2037/2025/HĐTĐ</t>
  </si>
  <si>
    <t>01/11/2025/HĐTĐ</t>
  </si>
  <si>
    <t>1511/2025/HĐTĐ/T&amp;V</t>
  </si>
  <si>
    <t>15/11/2025</t>
  </si>
  <si>
    <t>14/11/2035</t>
  </si>
  <si>
    <t>2042/2025/HĐTĐ</t>
  </si>
  <si>
    <t>27/10/2030</t>
  </si>
  <si>
    <t>2044/2025/HĐTĐ</t>
  </si>
  <si>
    <t>2045/2026/HĐTĐ</t>
  </si>
  <si>
    <t>2025/2026/HĐTĐ</t>
  </si>
  <si>
    <t>15/02/2026</t>
  </si>
  <si>
    <t>14/02/2031</t>
  </si>
  <si>
    <t>1046/2025/HĐTĐ</t>
  </si>
  <si>
    <t>17/11/2025</t>
  </si>
  <si>
    <t>16/11/2030</t>
  </si>
  <si>
    <t>400/2025/HĐTĐ</t>
  </si>
  <si>
    <t>1042/2025/HĐTĐ</t>
  </si>
  <si>
    <t>1055/2026/HĐDV-TTHT-PTO</t>
  </si>
  <si>
    <t>17/2026/HĐTĐ</t>
  </si>
  <si>
    <t>31/12/2028</t>
  </si>
  <si>
    <t>0512/2026/HĐKT</t>
  </si>
  <si>
    <t>17/04/2026</t>
  </si>
  <si>
    <t>01/05/2026</t>
  </si>
  <si>
    <t>16/04/2031</t>
  </si>
  <si>
    <t>2204/2026/HĐKT</t>
  </si>
  <si>
    <t>22/04/2026</t>
  </si>
  <si>
    <t>30/04/2031</t>
  </si>
  <si>
    <t>1004/2026/HĐKT</t>
  </si>
  <si>
    <t>10/04/2026</t>
  </si>
  <si>
    <t>09/04/2031</t>
  </si>
  <si>
    <t>0513/2026/HĐKT</t>
  </si>
  <si>
    <t>102/2026/HĐTĐ</t>
  </si>
  <si>
    <t>16/04/2030</t>
  </si>
  <si>
    <t>3148/2026/HDDV-TTHT_PTO</t>
  </si>
  <si>
    <t>15/12/2025</t>
  </si>
  <si>
    <t>31/12/2036</t>
  </si>
  <si>
    <t>29/04/2026</t>
  </si>
  <si>
    <t>28/04/2031</t>
  </si>
  <si>
    <t>tình trạng pháp lý</t>
  </si>
  <si>
    <t>Không có bìa đất pho to; Không CCCD</t>
  </si>
  <si>
    <t>Không có bìa đất; Không CCCD</t>
  </si>
  <si>
    <t>Xóm Bách,Lũng Vân huyện Tân Lạc</t>
  </si>
  <si>
    <t>Không có bìa đất pho to</t>
  </si>
  <si>
    <t>Sửa lại cam kết sở hữu đất + bổ sung CCCD người uỷ quyền</t>
  </si>
  <si>
    <t>Không có bìa đất; Không có CCCD</t>
  </si>
  <si>
    <t>Cam kết sử dụng đất</t>
  </si>
  <si>
    <t>Không đúng uỷ quyền của Ngô Giang Nam; CCCD là: Ngô Thị Giang Nam</t>
  </si>
  <si>
    <t xml:space="preserve"> Cam kết chuyển giao, sử dụng đất</t>
  </si>
  <si>
    <t>Bìa đất mờ không nhìn thấy gì</t>
  </si>
  <si>
    <t>Không bìa đất pho to; Không CCCD</t>
  </si>
  <si>
    <t>chỉ có mỗi Hợp đồng</t>
  </si>
  <si>
    <t>Đủ</t>
  </si>
  <si>
    <t>Không đúng tên bìa đất (BS uỷ quyền đất)</t>
  </si>
  <si>
    <t>Có Phụ lục thay đổi chủ thể hợp đồng ngày 01/01/2026</t>
  </si>
  <si>
    <t>Không có gì ngoài HĐ</t>
  </si>
  <si>
    <t>Không có bìa đất (có Cam kết sử dụng đất)</t>
  </si>
  <si>
    <t>Ký PLHĐ thanh toán 2025; HĐ 2026 tăng giá</t>
  </si>
  <si>
    <t>Không có bìa đất_Cam kết của gia đình không có xác nhận địa phương</t>
  </si>
  <si>
    <t>Cam kết sử dụng đất, không bìa đất</t>
  </si>
  <si>
    <t>ok</t>
  </si>
  <si>
    <t>Thiếu bìa đất</t>
  </si>
  <si>
    <t>TT 3 tháng/lần cuối kỳ; Thụ hưởng: Phạm Thị Hiền</t>
  </si>
  <si>
    <t>OK</t>
  </si>
  <si>
    <t>Bìa đất không đúng tên chủ Hợp đồng</t>
  </si>
  <si>
    <t>TT 3 tháng/lần cuối kỳ; Cam kết sử dụng đất</t>
  </si>
  <si>
    <t xml:space="preserve">Không có bìa đất pho to </t>
  </si>
  <si>
    <t>Có cam kết quản lý đất</t>
  </si>
  <si>
    <t>Không có Bìa đất; không có CCCD</t>
  </si>
  <si>
    <t>Thanh lý hợp đồng ngày 28/04/2026</t>
  </si>
  <si>
    <t>Có cam kết sử dụng đất</t>
  </si>
  <si>
    <t>Chỉ có HĐ</t>
  </si>
  <si>
    <t>Không bìa đất chỉ có cam kết sử dụng đất; Thụ hưởng: Ngô Văn Thảo</t>
  </si>
  <si>
    <t>Thiếu uỷ quyền nhận tiền</t>
  </si>
  <si>
    <t>Thiếu tất không có gì</t>
  </si>
  <si>
    <t>Không đúng tên Chủ HĐ cũ: Hà Văn Yển ; Không có bìa đất pho to</t>
  </si>
  <si>
    <t>Không có CCCD pho to</t>
  </si>
  <si>
    <t>Thiếu uỷ quyền ký Hợp đồng và Sử hữu đất từ ông Bùi Văn Tươi</t>
  </si>
  <si>
    <t>chỉ có HĐ</t>
  </si>
  <si>
    <t>Sai đối tượng uỷ quyền</t>
  </si>
  <si>
    <t xml:space="preserve">Không bìa đất pho to </t>
  </si>
  <si>
    <t>Sổ hộ khẩu gia đình</t>
  </si>
  <si>
    <t>Bìa đất không đúng tên chủ thể ký Hợp đồng</t>
  </si>
  <si>
    <t>Không CCCD;</t>
  </si>
  <si>
    <t>Bìa đất không rõ ràng</t>
  </si>
  <si>
    <t>đủ</t>
  </si>
  <si>
    <t xml:space="preserve">
có cam kết nhưng không có xác nhận địa phương:
Thiếu uỷ quyền nhận tiền có xác nhận;</t>
  </si>
  <si>
    <t>Chỉ có CCCD; thiếu bìa đất</t>
  </si>
  <si>
    <t>Có CCCD</t>
  </si>
  <si>
    <t>Thiếu bìa đất pho to</t>
  </si>
  <si>
    <t>Chỉ có Hợp đồng</t>
  </si>
  <si>
    <t>Không CCCD; Bìa đất không đúng tên</t>
  </si>
  <si>
    <t>Không có bìa đất pho to; CCCD pho to</t>
  </si>
  <si>
    <t>Thiếu bìa đất pho to;</t>
  </si>
  <si>
    <t>Có uỷ quyền của gia đình cho bà Hà Thị Đức</t>
  </si>
  <si>
    <t>Không có uỷ quyền; Không đúng chủ thể ký hợp đồng</t>
  </si>
  <si>
    <t>Bổ sung cam kết quyền sở hữu đất có xác nhận của xã</t>
  </si>
  <si>
    <t>Chỉ có mỗi Hợp đồng</t>
  </si>
  <si>
    <t>Không có bìa đất; Không có CCCD pho to</t>
  </si>
  <si>
    <t>Thiếu CCCD người Thụ hưởng: Ngô Trung Kiên</t>
  </si>
  <si>
    <t xml:space="preserve">Không có bìa đất; Không CCCD; </t>
  </si>
  <si>
    <t>Có Biên bản bàn giao MB; Có văn bản cam kết chấp hành pháp luật; Có đăng ký kinh doanh của DN</t>
  </si>
  <si>
    <t>Không có uỷ quyền nhận tiền: Vì Văn Thái_(có Tài khoản)</t>
  </si>
  <si>
    <t>Thiếu CCCD; Thiếu Bìa đất pho to</t>
  </si>
  <si>
    <t>Thiếu bìa đất+BB bàn giao MB</t>
  </si>
  <si>
    <t>Thiếu: Tên trên CCCD+Bìa đất không đúng tên trên HĐ</t>
  </si>
  <si>
    <t>Thiếu BB bàng giao MB</t>
  </si>
  <si>
    <t>Không có gì</t>
  </si>
  <si>
    <t>Bìa đất không trùng tên HĐ+Thiếu CCCD +Thiếu BB bàn giao MB</t>
  </si>
  <si>
    <t>Bìa đất không đúng tên HĐ+ Thiếu BB bàn giao MB</t>
  </si>
  <si>
    <t>Thiếu BB bàn giao MB</t>
  </si>
  <si>
    <t>thiếu CCCD</t>
  </si>
  <si>
    <t>Không có Bìa đất (Quyền sở hữu đất) Thiếu CCCD của người đứng tên HĐ</t>
  </si>
  <si>
    <t>Thiếu bìa đất__TT cuối kỳ</t>
  </si>
  <si>
    <t>Có cam kết sở hữu đất</t>
  </si>
  <si>
    <t xml:space="preserve"> Thiếu giấy uỷ quyền</t>
  </si>
  <si>
    <t>Thụ hưởng: Nguyễn Thị Mai Huyên; Giấy uỷ quyền không đúng mẫu</t>
  </si>
  <si>
    <t>Không Bìa đất; Không CCCD</t>
  </si>
  <si>
    <t>Thiếu giấy uỷ quyền</t>
  </si>
  <si>
    <t>Bìa đất không đúng tên chủ ký HĐ</t>
  </si>
  <si>
    <t>Thiếu CCCD người nhận uỷ quyền</t>
  </si>
  <si>
    <t>Thiếu Bìa đất pho to</t>
  </si>
  <si>
    <t>Trạm thanh lý chuyển địa điểm</t>
  </si>
  <si>
    <t>Thụ hưởng: Đoàn Văn Năm</t>
  </si>
  <si>
    <t>Thụ hưởng: Nguyễn Thị Thuý Hằng</t>
  </si>
  <si>
    <t>Uỷ quyền thụ hưởng: Đặng Thị Hằng</t>
  </si>
  <si>
    <t>uỷ quyền nhận tiền không có xác nhận</t>
  </si>
  <si>
    <t>Từ 01/01/2026 địa điểm chuyển sang cho cơ quan Thi hành án khu vực quản lý</t>
  </si>
  <si>
    <t>Thanh toán đầu kỳ</t>
  </si>
  <si>
    <t>Chỉ có mỗi HĐ</t>
  </si>
  <si>
    <t>Uỷ quyền từ ông Nguyễn Như Lập</t>
  </si>
  <si>
    <t>PLHĐ</t>
  </si>
  <si>
    <t>Thụ hưởng ông: Vũ Văn Hoà</t>
  </si>
  <si>
    <t>Thụ hưởng: Phạm Thị Hải Yến</t>
  </si>
  <si>
    <t>Thiéu uỷ quyền nhận tiền các xác nhận</t>
  </si>
  <si>
    <t>Thiếu uỷ quyền nhận tiền có xác nhận</t>
  </si>
  <si>
    <t>Thụ hưởng: Hán Thị Tuyết Mai</t>
  </si>
  <si>
    <t>Thụ hưởng: Nguyễn Chung Oánh</t>
  </si>
  <si>
    <t>Thụ hưởng: Nguyễn Văn Quyến</t>
  </si>
  <si>
    <t xml:space="preserve">TK: Trần Quý Đông </t>
  </si>
  <si>
    <t>Thuê DV trông coi</t>
  </si>
  <si>
    <t>Thụ hưởng: Đinh Thị Mỹ</t>
  </si>
  <si>
    <t>Thụ hưởng: Nguyễn Tiến Toàn</t>
  </si>
  <si>
    <t>Thụ hưởng ông: Đỗ Ngọc Sơn</t>
  </si>
  <si>
    <t>Thiếu uỷ quyền nhận tiền các xác nhận</t>
  </si>
  <si>
    <t>Không có Bìa đất PT; không CCCD</t>
  </si>
  <si>
    <t>ký PLHĐ</t>
  </si>
  <si>
    <t>Thanh toán Cuối kỳ</t>
  </si>
  <si>
    <t>Các mốc điều chỉnh giá: từ 01/01/2029 lên 7 triệu 2 trăm nghìn</t>
  </si>
  <si>
    <t>Thiếu bìa đỏ pho to</t>
  </si>
  <si>
    <t>Tên trên bìa đất không đúng tên tại Hợp đồng</t>
  </si>
  <si>
    <t>HĐ Thảo thuận hợp tác</t>
  </si>
  <si>
    <t>Tên bìa đất không đúng tên trên HĐ</t>
  </si>
  <si>
    <t>Không có Bìa đất PT;</t>
  </si>
  <si>
    <t>TT 12 tháng/lần vào tháng 6</t>
  </si>
  <si>
    <t>Hợp đồng dịch vụ trông coi nhà trạm</t>
  </si>
  <si>
    <t>TTHT</t>
  </si>
  <si>
    <t>TT 12 tháng/lần quý II hàng năm</t>
  </si>
  <si>
    <t>Từ 01/01 -30/04/2026: 2 triệu/tháng; từ 01/05/2026 giá 2,4 triệu/tháng</t>
  </si>
  <si>
    <t>Có Cam kết sử hữu đất</t>
  </si>
  <si>
    <t>Thiếu Bìa đỏ pho to</t>
  </si>
  <si>
    <t>Thiếu CCCD+Bìa đỏ pho to</t>
  </si>
  <si>
    <t>Thiếu bìa đỏ pho to; CCCD mờ; TT tháng 6 hàng năm</t>
  </si>
  <si>
    <t>Thiếu bìa đất pho to; Biên bản giao mặt bằng</t>
  </si>
  <si>
    <t>Hợp đồng dịch vụ trông coi</t>
  </si>
  <si>
    <t>Trụ sở công quyền</t>
  </si>
  <si>
    <t>Không đúng tên bìa đất</t>
  </si>
  <si>
    <t xml:space="preserve">Thiếu BB bàn giao MB; Thiếu bìa đỏ pho to </t>
  </si>
  <si>
    <t>Thiếu biên bản bàn giao mặt bằng;</t>
  </si>
  <si>
    <t>Thiếu biên bản bàn giao mặt bằng; Thiếu bìa đất pho to; Uỷ quyền chưa có xác nhận của địa phương</t>
  </si>
  <si>
    <t>Có PL hợp đồng tính riêng tiền điện AC 2.500đ/Kw</t>
  </si>
  <si>
    <t>Không có BB bàn giao MB; Không Bìa đất; Không CCCD</t>
  </si>
  <si>
    <t>Có cam kết</t>
  </si>
  <si>
    <t>HĐ Dịch vụ trông coi</t>
  </si>
  <si>
    <t>Thiếu biên bản bàn giao mặt bằng; Thiếu bìa đất pho to</t>
  </si>
  <si>
    <t>Không có BB bàn giao MB</t>
  </si>
  <si>
    <t>Không có BB bàn giao MB: Thiếu giấy uỷ quyền cho Đỗ Trọng Thuý</t>
  </si>
  <si>
    <t>Cam kết sử dung đất; Thiếu CCCD</t>
  </si>
  <si>
    <t>PL số 09.06.2026 PLHĐ_ĐC giá từ 3 triệu lên 4 triệu từ 01/01/2026</t>
  </si>
  <si>
    <t>Có Cam kết sở hữu đất</t>
  </si>
  <si>
    <t>PL ĐC giá từ 3.1 triệu lên 4 triệu từ 01/01/2026</t>
  </si>
  <si>
    <t>Uỷ quyền nhận tiền: Phạm Văn Lộc/Thiếu BB bàn giao MB</t>
  </si>
  <si>
    <t>Được uỷ quyền từ ông: Nguyễn Đức Khanh</t>
  </si>
  <si>
    <t>Thiếu BB bàn giao MB; Bìa đất không đúng tên chủ Hợp đồng</t>
  </si>
  <si>
    <t>Thiếu BB bàn giao MB; Thiếu xác thực giấy uỷ quyền</t>
  </si>
  <si>
    <t>HĐ Dịch vụ</t>
  </si>
  <si>
    <t>Uỷ quyền nhận tiền ông: Đoàn Ngọc Chiến/Thiếu BB bàn giao MB</t>
  </si>
  <si>
    <t>Thiếu BB bàn giao MB; Thiếu bìa đất pho to</t>
  </si>
  <si>
    <t>Thiếu BB bàn giao MB; Không có bìa đất pho to (có quyết định giao đất pho to)</t>
  </si>
  <si>
    <t>Ký lại HĐ mới từ 01/01/2026 tăng giá</t>
  </si>
  <si>
    <t>Uỷ quyền ký HĐ cho Đỗ Văn Khanh</t>
  </si>
  <si>
    <t>Thụ hưởng: Đỗ Cao Thành</t>
  </si>
  <si>
    <t>Thiếu BB bàn giao MB; Thay đổi chủ thể ký HĐ, điều chỉnh gia thuê????</t>
  </si>
  <si>
    <t>Uỷ quyền ký HĐ từ bà Nguyễn Thị Thăng</t>
  </si>
  <si>
    <t>Thiếu CCCD + Bìa đất</t>
  </si>
  <si>
    <t>TT 6 tháng/lần cuối kỳ</t>
  </si>
  <si>
    <t>Sai tên bìa đất (Minh - Ninh)</t>
  </si>
  <si>
    <t>Thụ hưởng: Trần Thị Tám; Thiếu BB bàn giao MB</t>
  </si>
  <si>
    <t>Có uỷ quyền</t>
  </si>
  <si>
    <t>Thiếu biên bản bàn giao mặt bằng</t>
  </si>
  <si>
    <t>Thiếu biên bản giao mặt bằng</t>
  </si>
  <si>
    <t xml:space="preserve">Thiếu biên bản bàn giao mặt bằng; </t>
  </si>
  <si>
    <t>Cam kết mặt bằng</t>
  </si>
  <si>
    <t>Không có Bìa đất Pho to</t>
  </si>
  <si>
    <t>HĐ dịch vụ</t>
  </si>
  <si>
    <t>Hết năm 2025 Thanh lý hợp đồng, chuyển vị trí trạm</t>
  </si>
  <si>
    <t>Thiếu biên bản bàn giao mặt bằng; Bìa đất không thể hiện rõ tên chủ đất</t>
  </si>
  <si>
    <t>PL điều chỉnh giá lên 3,3 triệu ngày 02/01/2026</t>
  </si>
  <si>
    <t>Thiếu Bìa đất pho to; Biên bản bàn giao MB</t>
  </si>
  <si>
    <t>Thiếu Bìa đất pho to không đúng tên; Biên bản bàn giao MB</t>
  </si>
  <si>
    <t>Thiếu CCCD pho to</t>
  </si>
  <si>
    <t>Quyết định giao đất</t>
  </si>
  <si>
    <t>Không có CCCD pho to; Bìa đất pho to</t>
  </si>
  <si>
    <t>Thụ hưởng: Nguyễn Đức Nghĩa</t>
  </si>
  <si>
    <t>Không làm được, chuyển địa điểm (Phòng KTĐT)</t>
  </si>
  <si>
    <t>Không có Giấy uỷ quyền nhận tiền cho Nguyễn Đình Hương</t>
  </si>
  <si>
    <t>PLHĐ số 16.06.2026 PLHĐ_ tăng giá từ 4tr lên 6 tr; Không có CCCD; + Bìa đất</t>
  </si>
  <si>
    <t>Trạm XHH</t>
  </si>
  <si>
    <t>Không có HĐ cũ</t>
  </si>
  <si>
    <t>; Thiếu cơ sở liên kết giữa chủ thể ký HĐ với chủ đứng tên bìa đất</t>
  </si>
  <si>
    <t>: Thiếu bìa đất pho to</t>
  </si>
  <si>
    <t xml:space="preserve">Thiếu Bìa đất pho to; </t>
  </si>
  <si>
    <t>: Tên trên bìa đất không đúng tên chủ thể HĐ; Tăng giá từ 2 triệu lên 3,5 triệu</t>
  </si>
  <si>
    <t xml:space="preserve">Không có bìa đất pho to; Không có uỷ quyền nhận tiền; </t>
  </si>
  <si>
    <t xml:space="preserve">; </t>
  </si>
  <si>
    <t xml:space="preserve">; Không có bìa đất pho to; Thiếu CCCD; Tăng giá từ 1,2tr lên 3,5tr </t>
  </si>
  <si>
    <t>Thiếu Bìa đất pho to; : Tăng giá từ 2,5tr lên 4 tr</t>
  </si>
  <si>
    <t xml:space="preserve">; Không có bìa đất pho to; </t>
  </si>
  <si>
    <t xml:space="preserve">Không có bìa đất pho to; </t>
  </si>
  <si>
    <t>; Thiếu Bìa đất pho to; Thiếu CCCD (chỉ có 1 mặt); Thiếu uỷ quyền nhận tiền.</t>
  </si>
  <si>
    <t>; Thiếu Bìa đất pho to; Thiếu CCCD (chỉ có 1 mặt); Thiếu uỷ quyền từ chủ thể cũ là Nguyễn Thị Yến.</t>
  </si>
  <si>
    <t>; Không đúng chủ thể hợp đồng; Thiếu bìa đất pho to…</t>
  </si>
  <si>
    <t>; Thiếu bìa đất pho to;</t>
  </si>
  <si>
    <t>; Thiếu CCCD pho to;</t>
  </si>
  <si>
    <t>: Không có CCCD</t>
  </si>
  <si>
    <t>: Không có bìa đất pho to (không đúng tên chủ HĐ)</t>
  </si>
  <si>
    <t>: Thiếu uỷ quyền nhận tiền</t>
  </si>
  <si>
    <t>; Bìa đất không đúng tên (thiếu uỷ quyền hợp pháp)</t>
  </si>
  <si>
    <t xml:space="preserve">; Thiếu bìa đất pho to </t>
  </si>
  <si>
    <t>; Thiếu bìa đất pho to (bìa đất không có uỷ quyền)</t>
  </si>
  <si>
    <t>; Thiếu bìa đất pho to</t>
  </si>
  <si>
    <t xml:space="preserve"> </t>
  </si>
  <si>
    <t>; Thiếu bìa đất pho to; Thiếu uỷ quyền nhận tiền</t>
  </si>
  <si>
    <t>;  Thiếu uỷ quyền nhận tiền</t>
  </si>
  <si>
    <t>;  Hợp đồng chuyển nhượng thiếu xác nhận của địa phương</t>
  </si>
  <si>
    <t xml:space="preserve">Bìa đất không đúng tên chủ Hợp đồng; </t>
  </si>
  <si>
    <t xml:space="preserve">Không bìa đất (có cam kết sử dụng đất); </t>
  </si>
  <si>
    <t xml:space="preserve">Thiếu bìa đất pho to; </t>
  </si>
  <si>
    <t xml:space="preserve">Không có bìa đất (có Cam kết sử dụng đất); </t>
  </si>
  <si>
    <t>; Thiếu bìa đất pho to (bìa đất không đúng tên _không có uỷ quyền)</t>
  </si>
  <si>
    <t>; Thiếu bìa đất pho to; Thiếu CCCD</t>
  </si>
  <si>
    <t>: Thiếu bìa đất pho to: Thiếu CCCD</t>
  </si>
  <si>
    <t>; Thiếu CCCD pho to; Thiếu uỷ quyền nhận tiền</t>
  </si>
  <si>
    <t>Thiếu bìa đất pho to; (có Cam kết sử dụng đất) ; Thiếu CCCD</t>
  </si>
  <si>
    <t xml:space="preserve">Thiếu bìa đất pho to; (có Cam kết sử dụng đất) </t>
  </si>
  <si>
    <t>; Không có bìa đất pho to</t>
  </si>
  <si>
    <t>: Cam kết sử dụng đất thiếu xác nhận của địa phương; Thiếu CCCD của ông  Bùi Việt Hùng</t>
  </si>
  <si>
    <t>; Thiếu uỷ quyền sử dụng đất có xác nhận địa phương</t>
  </si>
  <si>
    <t>; Thiếu uỷ quyền nhận tiền có xác nhận</t>
  </si>
  <si>
    <t>; Giấy uỷ quyền chưa có xác thực của bên thứ 3</t>
  </si>
  <si>
    <t>; Bìa đất pho to không đúng tên chủ Hợp đồng có cam kết</t>
  </si>
  <si>
    <t>; Thiếu bìa đất + CCCD pho to</t>
  </si>
  <si>
    <t>: Thay đổi chủ thể ký hợp đồng từ Bố sang Con có giấy uỷ quyền</t>
  </si>
  <si>
    <t>;</t>
  </si>
  <si>
    <t>đề xuất tăng giá tháng 6</t>
  </si>
  <si>
    <t>Ghi chú</t>
  </si>
  <si>
    <t>Từ 01/01/2026 đến 31/12/2026</t>
  </si>
  <si>
    <t>Từ 01/01/2026 đến 30/06/2026</t>
  </si>
  <si>
    <t>Từ 01/07/2026 đến 31/12/2026</t>
  </si>
  <si>
    <t>T10-T12/2025</t>
  </si>
  <si>
    <t>T4-T12/2026</t>
  </si>
  <si>
    <t>T1-T12/2026</t>
  </si>
  <si>
    <t>T1-T6/2026</t>
  </si>
  <si>
    <t>T1-T3/2026</t>
  </si>
  <si>
    <t>T4-T6/2026</t>
  </si>
  <si>
    <t>T7-T9/2026</t>
  </si>
  <si>
    <t>T7-T12/2026</t>
  </si>
  <si>
    <t>trang check lại hợp đồng cũ 5 triệu, thanh toán giá,5 tr</t>
  </si>
  <si>
    <t>Ngày thanh toán</t>
  </si>
  <si>
    <t>đề xuất tăng giá tháng 7</t>
  </si>
  <si>
    <t>Thời điểm tăng giá</t>
  </si>
  <si>
    <t>Mã CSHT RIMS</t>
  </si>
  <si>
    <t>Tổ hạ tầng</t>
  </si>
  <si>
    <t/>
  </si>
  <si>
    <t>T1-T3/2026
T4-T6/2026</t>
  </si>
  <si>
    <t>T10-T12/2025
T1-T6/2026</t>
  </si>
  <si>
    <t>T10-T12/2025
T1-T3/2026</t>
  </si>
  <si>
    <t>T1-T6/2026
T4-T6/2026</t>
  </si>
  <si>
    <t>T1-T6/2026
T1-T6/2026</t>
  </si>
  <si>
    <t>T1-T3/2026
T4-T6/2026
T1-T6/2026</t>
  </si>
  <si>
    <t>T1-T3/2026
T1-T4/2026</t>
  </si>
  <si>
    <t>T1-T3/2026
T1-T3/2026</t>
  </si>
  <si>
    <t>Từ 01/10/2025 đến 31/12/2025
Từ 01/01/2026 đến 30/06/2026</t>
  </si>
  <si>
    <t>Từ 01/07/2025 đến 31/12/2025
Từ 01/01/2026 đến 31/12/2026</t>
  </si>
  <si>
    <t>Từ 01/01/2026 đến 30/06/2026
Từ 01/07/2026 đến 31/12/2026</t>
  </si>
  <si>
    <t>Từ 01/07/2026 đến 31/12/2026
Từ 01/01/2026 đến 30/06/2026</t>
  </si>
  <si>
    <t>Từ 01/01/2026 đến 31/12/2026
Từ 01/11/2025 đến 31/12/2025</t>
  </si>
  <si>
    <t>Từ 01/11/2025 đến 31/12/2025
Từ 01/01/2026 đến 31/12/2026</t>
  </si>
  <si>
    <t>Từ 01/10/2025 đến 31/12/2025
Từ 01/01/2026 đến 31/12/2026</t>
  </si>
  <si>
    <t>Từ 01/11/2025 đến 31/12/2025
Từ 01/01/2026 đến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</si>
</sst>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-* #,##0.00\ _₫_-;\-* #,##0.00\ _₫_-;_-* &quot;-&quot;??\ _₫_-;_-@_-"/>
  </numFmts>
  <fonts count="12">
    <font>
      <sz val="11"/>
      <name val="Carlito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0"/>
      <name val="Aptos"/>
      <family val="2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4" fillId="0" borderId="1"/>
    <xf numFmtId="0" fontId="9" fillId="0" borderId="1"/>
    <xf numFmtId="0" fontId="1" fillId="0" borderId="1"/>
    <xf numFmtId="164" fontId="9" fillId="0" borderId="1" applyFont="0" applyFill="0" applyBorder="0" applyAlignment="0" applyProtection="0"/>
    <xf numFmtId="0" fontId="11" fillId="0" borderId="1"/>
    <xf numFmtId="165" fontId="9" fillId="0" borderId="1" applyFont="0" applyFill="0" applyBorder="0" applyAlignment="0" applyProtection="0"/>
    <xf numFmtId="164" fontId="1" fillId="0" borderId="1" applyFont="0" applyFill="0" applyBorder="0" applyAlignment="0" applyProtection="0"/>
    <xf numFmtId="164" fontId="9" fillId="0" borderId="1" applyFont="0" applyFill="0" applyBorder="0" applyAlignment="0" applyProtection="0"/>
    <xf numFmtId="0" fontId="9" fillId="0" borderId="1"/>
    <xf numFmtId="41" fontId="1" fillId="0" borderId="1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vertical="center"/>
    </xf>
    <xf numFmtId="38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3" fontId="2" fillId="0" borderId="0" xfId="0" applyNumberFormat="1" applyFont="1"/>
    <xf numFmtId="0" fontId="2" fillId="0" borderId="0" xfId="0" applyFont="1"/>
    <xf numFmtId="3" fontId="3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38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0" xfId="0" applyFont="1" applyFill="1" applyAlignment="1">
      <alignment vertical="center"/>
    </xf>
    <xf numFmtId="3" fontId="5" fillId="0" borderId="2" xfId="0" applyNumberFormat="1" applyFont="1" applyBorder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right" vertical="center"/>
    </xf>
    <xf numFmtId="38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0" xfId="0" applyFont="1"/>
    <xf numFmtId="38" fontId="7" fillId="4" borderId="3" xfId="0" applyNumberFormat="1" applyFont="1" applyFill="1" applyBorder="1" applyAlignment="1">
      <alignment vertical="center"/>
    </xf>
    <xf numFmtId="38" fontId="7" fillId="5" borderId="3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38" fontId="8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8" fillId="0" borderId="0" xfId="0" applyFont="1"/>
    <xf numFmtId="0" fontId="8" fillId="2" borderId="0" xfId="0" applyFont="1" applyFill="1" applyAlignment="1">
      <alignment vertical="center"/>
    </xf>
    <xf numFmtId="38" fontId="8" fillId="2" borderId="0" xfId="0" applyNumberFormat="1" applyFont="1" applyFill="1" applyAlignment="1">
      <alignment vertical="center"/>
    </xf>
    <xf numFmtId="3" fontId="8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vertical="center"/>
    </xf>
    <xf numFmtId="0" fontId="8" fillId="2" borderId="0" xfId="0" applyFont="1" applyFill="1"/>
    <xf numFmtId="0" fontId="2" fillId="0" borderId="0" xfId="0" applyFont="1" applyAlignment="1">
      <alignment horizontal="center" wrapText="1"/>
    </xf>
    <xf numFmtId="14" fontId="2" fillId="3" borderId="0" xfId="0" applyNumberFormat="1" applyFont="1" applyFill="1" applyAlignment="1">
      <alignment horizontal="right" vertical="center"/>
    </xf>
    <xf numFmtId="38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0" fontId="2" fillId="3" borderId="0" xfId="0" applyFont="1" applyFill="1"/>
    <xf numFmtId="41" fontId="10" fillId="0" borderId="1" xfId="2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/>
  </cellXfs>
  <cellStyles count="11">
    <cellStyle name="Comma [0] 2" xfId="10" xr:uid="{E9A4FAA8-54A5-43D4-B78F-C01FF6322BC2}"/>
    <cellStyle name="Comma 2" xfId="4" xr:uid="{D3F9BC91-F42D-486C-9509-BE92B5C66F1B}"/>
    <cellStyle name="Comma 2 2" xfId="8" xr:uid="{C46D5219-81B3-4FDA-A4F7-66B361ACEB84}"/>
    <cellStyle name="Comma 3" xfId="7" xr:uid="{9285F25B-BEEB-452B-B1E6-FC6A303F8D09}"/>
    <cellStyle name="Comma 4 2" xfId="6" xr:uid="{C1F43870-2EE7-4C56-B014-A0B9F7F8119B}"/>
    <cellStyle name="Normal" xfId="0" builtinId="0"/>
    <cellStyle name="Normal 2" xfId="5" xr:uid="{EB2260C3-6690-47C4-8187-3BA2F771F630}"/>
    <cellStyle name="Normal 3" xfId="9" xr:uid="{1E37582D-90F7-4A78-BD4F-208A149025DB}"/>
    <cellStyle name="Normal 32" xfId="1" xr:uid="{A34AD045-3C2B-476B-9D93-FE6623021E2C}"/>
    <cellStyle name="Normal 4" xfId="2" xr:uid="{946F28C9-50F5-4DF8-8A01-5952B36F732E}"/>
    <cellStyle name="Normal 40 2" xfId="3" xr:uid="{33F9BCA9-708A-458E-BDF4-90A692ABDE8B}"/>
  </cellStyles>
  <dxfs count="94"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171"/>
  <sheetViews>
    <sheetView tabSelected="1" workbookViewId="0">
      <pane xSplit="4" ySplit="1" topLeftCell="N11" activePane="bottomRight" state="frozen"/>
      <selection pane="topRight" activeCell="G1" sqref="G1"/>
      <selection pane="bottomLeft" activeCell="A2" sqref="A2"/>
      <selection pane="bottomRight" activeCell="R146" sqref="R146"/>
    </sheetView>
  </sheetViews>
  <sheetFormatPr defaultColWidth="8.8125" defaultRowHeight="13.9"/>
  <cols>
    <col min="1" max="1" width="5.125" style="8" customWidth="1"/>
    <col min="2" max="2" width="7.375" style="8" customWidth="1"/>
    <col min="3" max="3" width="18.3125" style="8" customWidth="1"/>
    <col min="4" max="5" width="16.625" style="8" customWidth="1"/>
    <col min="6" max="6" width="20.5" style="8" customWidth="1"/>
    <col min="7" max="7" width="36" style="8" customWidth="1"/>
    <col min="8" max="8" width="19.6875" style="8" customWidth="1"/>
    <col min="9" max="10" width="13" style="19" customWidth="1"/>
    <col min="11" max="11" width="16" style="19" customWidth="1"/>
    <col min="12" max="12" width="13" style="19" customWidth="1"/>
    <col min="13" max="13" width="13.375" style="8" customWidth="1"/>
    <col min="14" max="14" width="16" style="8" customWidth="1"/>
    <col min="15" max="15" width="11.5" style="8" customWidth="1"/>
    <col min="16" max="16" width="17" style="8" customWidth="1"/>
    <col min="17" max="18" width="14.3125" style="8" customWidth="1"/>
    <col min="19" max="19" width="14.3125" style="49" customWidth="1"/>
    <col min="20" max="20" width="19.875" style="8" customWidth="1"/>
    <col min="21" max="21" width="17" style="8" customWidth="1"/>
    <col min="22" max="22" width="25" style="8" customWidth="1"/>
    <col min="23" max="23" width="20" style="8" customWidth="1"/>
    <col min="24" max="24" width="30" style="8" customWidth="1"/>
    <col min="25" max="48" width="12" style="8" customWidth="1"/>
    <col min="49" max="50" width="17" style="8" customWidth="1"/>
    <col min="51" max="51" width="11" style="8" customWidth="1"/>
    <col min="52" max="52" width="36.1875" style="8" customWidth="1"/>
    <col min="53" max="53" width="27.875" style="7" customWidth="1"/>
    <col min="54" max="54" width="20" style="8" customWidth="1"/>
    <col min="55" max="56" width="11" style="7" customWidth="1"/>
    <col min="57" max="16384" width="8.8125" style="8"/>
  </cols>
  <sheetData>
    <row r="1" spans="1:56" s="39" customFormat="1" ht="33" customHeight="1">
      <c r="A1" s="5" t="s">
        <v>0</v>
      </c>
      <c r="B1" s="5" t="s">
        <v>1</v>
      </c>
      <c r="C1" s="5" t="s">
        <v>5725</v>
      </c>
      <c r="D1" s="5" t="s">
        <v>2</v>
      </c>
      <c r="E1" s="5" t="s">
        <v>5724</v>
      </c>
      <c r="F1" s="5" t="s">
        <v>3</v>
      </c>
      <c r="G1" s="5" t="s">
        <v>4727</v>
      </c>
      <c r="H1" s="5" t="s">
        <v>4</v>
      </c>
      <c r="I1" s="5" t="s">
        <v>4729</v>
      </c>
      <c r="J1" s="5" t="s">
        <v>4730</v>
      </c>
      <c r="K1" s="5" t="s">
        <v>5</v>
      </c>
      <c r="L1" s="5" t="s">
        <v>4731</v>
      </c>
      <c r="M1" s="5" t="s">
        <v>6</v>
      </c>
      <c r="N1" s="5" t="s">
        <v>7</v>
      </c>
      <c r="O1" s="5" t="s">
        <v>4728</v>
      </c>
      <c r="P1" s="5" t="s">
        <v>8</v>
      </c>
      <c r="Q1" s="5" t="s">
        <v>5707</v>
      </c>
      <c r="R1" s="5" t="s">
        <v>5722</v>
      </c>
      <c r="S1" s="47" t="s">
        <v>5723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  <c r="AH1" s="5" t="s">
        <v>23</v>
      </c>
      <c r="AI1" s="5" t="s">
        <v>24</v>
      </c>
      <c r="AJ1" s="5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5" t="s">
        <v>32</v>
      </c>
      <c r="AR1" s="5" t="s">
        <v>33</v>
      </c>
      <c r="AS1" s="5" t="s">
        <v>34</v>
      </c>
      <c r="AT1" s="5" t="s">
        <v>35</v>
      </c>
      <c r="AU1" s="5" t="s">
        <v>36</v>
      </c>
      <c r="AV1" s="5" t="s">
        <v>37</v>
      </c>
      <c r="AW1" s="5" t="s">
        <v>38</v>
      </c>
      <c r="AX1" s="5" t="s">
        <v>39</v>
      </c>
      <c r="AY1" s="5" t="s">
        <v>40</v>
      </c>
      <c r="AZ1" s="5" t="s">
        <v>5482</v>
      </c>
      <c r="BA1" s="9" t="s">
        <v>5721</v>
      </c>
      <c r="BB1" s="5" t="s">
        <v>41</v>
      </c>
      <c r="BC1" s="9" t="s">
        <v>5708</v>
      </c>
      <c r="BD1" s="9"/>
    </row>
    <row r="2" spans="1:56" ht="16.8" customHeight="1">
      <c r="A2" s="1">
        <v>1</v>
      </c>
      <c r="B2" s="1" t="s">
        <v>42</v>
      </c>
      <c r="C2" s="1" t="s">
        <v>43</v>
      </c>
      <c r="D2" s="1" t="s">
        <v>44</v>
      </c>
      <c r="E2" s="1" t="s">
        <v>44</v>
      </c>
      <c r="F2" s="1" t="s">
        <v>45</v>
      </c>
      <c r="G2" s="1" t="s">
        <v>46</v>
      </c>
      <c r="H2" s="1"/>
      <c r="I2" s="18"/>
      <c r="J2" s="18"/>
      <c r="K2" s="18"/>
      <c r="L2" s="18"/>
      <c r="M2" s="2">
        <v>500000</v>
      </c>
      <c r="N2" s="2">
        <v>500000</v>
      </c>
      <c r="O2" s="2"/>
      <c r="P2" s="2" t="str">
        <f t="shared" ref="P2:P65" si="0">IF(OR(M2="",N2="",M2=N2),"",N2-M2)</f>
        <v/>
      </c>
      <c r="Q2" s="2"/>
      <c r="R2" s="2"/>
      <c r="S2" s="48"/>
      <c r="T2" s="2">
        <v>0</v>
      </c>
      <c r="U2" s="2">
        <v>0</v>
      </c>
      <c r="V2" s="1"/>
      <c r="W2" s="6"/>
      <c r="X2" s="1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f t="shared" ref="AW2:AW65" si="1">SUM(Y2:AJ2)</f>
        <v>0</v>
      </c>
      <c r="AX2" s="3">
        <f t="shared" ref="AX2:AX65" si="2">SUM(AK2:AV2)</f>
        <v>0</v>
      </c>
      <c r="AY2" s="4">
        <f t="shared" ref="AY2:AY65" si="3">COUNT(Y2:AV2)</f>
        <v>0</v>
      </c>
      <c r="BA2" s="4" t="s">
        <v>5726</v>
      </c>
      <c r="BB2" s="2"/>
      <c r="BC2" s="3"/>
      <c r="BD2" s="4"/>
    </row>
    <row r="3" spans="1:56" ht="16.8" customHeight="1">
      <c r="A3" s="1">
        <v>2</v>
      </c>
      <c r="B3" s="1" t="s">
        <v>42</v>
      </c>
      <c r="C3" s="1" t="s">
        <v>47</v>
      </c>
      <c r="D3" s="1" t="s">
        <v>48</v>
      </c>
      <c r="E3" s="1" t="s">
        <v>48</v>
      </c>
      <c r="F3" s="1" t="s">
        <v>49</v>
      </c>
      <c r="G3" s="1" t="s">
        <v>50</v>
      </c>
      <c r="H3" s="1"/>
      <c r="I3" s="18"/>
      <c r="J3" s="18"/>
      <c r="K3" s="18"/>
      <c r="L3" s="18"/>
      <c r="M3" s="2">
        <v>200000</v>
      </c>
      <c r="N3" s="2">
        <v>200000</v>
      </c>
      <c r="O3" s="2"/>
      <c r="P3" s="2" t="str">
        <f t="shared" si="0"/>
        <v/>
      </c>
      <c r="Q3" s="2"/>
      <c r="R3" s="2"/>
      <c r="S3" s="48"/>
      <c r="T3" s="2">
        <v>0</v>
      </c>
      <c r="U3" s="2">
        <v>0</v>
      </c>
      <c r="V3" s="1"/>
      <c r="W3" s="6"/>
      <c r="X3" s="1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200000</v>
      </c>
      <c r="AL3" s="3">
        <v>200000</v>
      </c>
      <c r="AM3" s="3">
        <v>200000</v>
      </c>
      <c r="AN3" s="3">
        <v>200000</v>
      </c>
      <c r="AO3" s="3">
        <v>200000</v>
      </c>
      <c r="AP3" s="3">
        <v>200000</v>
      </c>
      <c r="AQ3" s="3"/>
      <c r="AR3" s="3"/>
      <c r="AS3" s="3"/>
      <c r="AT3" s="3"/>
      <c r="AU3" s="3"/>
      <c r="AV3" s="3"/>
      <c r="AW3" s="3">
        <f t="shared" si="1"/>
        <v>0</v>
      </c>
      <c r="AX3" s="3">
        <f t="shared" si="2"/>
        <v>1200000</v>
      </c>
      <c r="AY3" s="4">
        <f t="shared" si="3"/>
        <v>6</v>
      </c>
      <c r="BA3" s="4" t="s">
        <v>5715</v>
      </c>
      <c r="BB3" s="2"/>
      <c r="BC3" s="3"/>
      <c r="BD3" s="3"/>
    </row>
    <row r="4" spans="1:56" ht="16.8" customHeight="1">
      <c r="A4" s="1">
        <v>3</v>
      </c>
      <c r="B4" s="1" t="s">
        <v>42</v>
      </c>
      <c r="C4" s="1" t="s">
        <v>47</v>
      </c>
      <c r="D4" s="1" t="s">
        <v>48</v>
      </c>
      <c r="E4" s="1" t="s">
        <v>48</v>
      </c>
      <c r="F4" s="1" t="s">
        <v>49</v>
      </c>
      <c r="G4" s="1" t="s">
        <v>51</v>
      </c>
      <c r="H4" s="1"/>
      <c r="I4" s="18"/>
      <c r="J4" s="18"/>
      <c r="K4" s="18"/>
      <c r="L4" s="18"/>
      <c r="M4" s="2">
        <v>200000</v>
      </c>
      <c r="N4" s="2">
        <v>200000</v>
      </c>
      <c r="O4" s="2"/>
      <c r="P4" s="2" t="str">
        <f t="shared" si="0"/>
        <v/>
      </c>
      <c r="Q4" s="2"/>
      <c r="R4" s="2"/>
      <c r="S4" s="48"/>
      <c r="T4" s="2">
        <v>0</v>
      </c>
      <c r="U4" s="2">
        <v>0</v>
      </c>
      <c r="V4" s="1"/>
      <c r="W4" s="6"/>
      <c r="X4" s="1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>
        <v>200000</v>
      </c>
      <c r="AL4" s="3">
        <v>200000</v>
      </c>
      <c r="AM4" s="3">
        <v>200000</v>
      </c>
      <c r="AN4" s="3">
        <v>200000</v>
      </c>
      <c r="AO4" s="3">
        <v>200000</v>
      </c>
      <c r="AP4" s="3">
        <v>200000</v>
      </c>
      <c r="AQ4" s="3"/>
      <c r="AR4" s="3"/>
      <c r="AS4" s="3"/>
      <c r="AT4" s="3"/>
      <c r="AU4" s="3"/>
      <c r="AV4" s="3"/>
      <c r="AW4" s="3">
        <f t="shared" si="1"/>
        <v>0</v>
      </c>
      <c r="AX4" s="3">
        <f t="shared" si="2"/>
        <v>1200000</v>
      </c>
      <c r="AY4" s="4">
        <f t="shared" si="3"/>
        <v>6</v>
      </c>
      <c r="BA4" s="4" t="s">
        <v>5715</v>
      </c>
      <c r="BB4" s="2"/>
      <c r="BC4" s="3"/>
      <c r="BD4" s="3"/>
    </row>
    <row r="5" spans="1:56" ht="16.8" customHeight="1">
      <c r="A5" s="1">
        <v>4</v>
      </c>
      <c r="B5" s="1" t="s">
        <v>42</v>
      </c>
      <c r="C5" s="1" t="s">
        <v>47</v>
      </c>
      <c r="D5" s="1" t="s">
        <v>48</v>
      </c>
      <c r="E5" s="1" t="s">
        <v>48</v>
      </c>
      <c r="F5" s="1" t="s">
        <v>49</v>
      </c>
      <c r="G5" s="1" t="s">
        <v>52</v>
      </c>
      <c r="H5" s="1"/>
      <c r="I5" s="18"/>
      <c r="J5" s="18"/>
      <c r="K5" s="18"/>
      <c r="L5" s="18"/>
      <c r="M5" s="2">
        <v>200000</v>
      </c>
      <c r="N5" s="2">
        <v>200000</v>
      </c>
      <c r="O5" s="2"/>
      <c r="P5" s="2" t="str">
        <f t="shared" si="0"/>
        <v/>
      </c>
      <c r="Q5" s="2"/>
      <c r="R5" s="2"/>
      <c r="S5" s="48"/>
      <c r="T5" s="2">
        <v>0</v>
      </c>
      <c r="U5" s="2">
        <v>0</v>
      </c>
      <c r="V5" s="1"/>
      <c r="W5" s="6"/>
      <c r="X5" s="1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200000</v>
      </c>
      <c r="AL5" s="3">
        <v>200000</v>
      </c>
      <c r="AM5" s="3">
        <v>200000</v>
      </c>
      <c r="AN5" s="3">
        <v>200000</v>
      </c>
      <c r="AO5" s="3">
        <v>200000</v>
      </c>
      <c r="AP5" s="3">
        <v>200000</v>
      </c>
      <c r="AQ5" s="3"/>
      <c r="AR5" s="3"/>
      <c r="AS5" s="3"/>
      <c r="AT5" s="3"/>
      <c r="AU5" s="3"/>
      <c r="AV5" s="3"/>
      <c r="AW5" s="3">
        <f t="shared" si="1"/>
        <v>0</v>
      </c>
      <c r="AX5" s="3">
        <f t="shared" si="2"/>
        <v>1200000</v>
      </c>
      <c r="AY5" s="4">
        <f t="shared" si="3"/>
        <v>6</v>
      </c>
      <c r="BA5" s="4" t="s">
        <v>5715</v>
      </c>
      <c r="BB5" s="2"/>
      <c r="BC5" s="3"/>
      <c r="BD5" s="3"/>
    </row>
    <row r="6" spans="1:56" ht="16.8" customHeight="1">
      <c r="A6" s="1">
        <v>5</v>
      </c>
      <c r="B6" s="1" t="s">
        <v>42</v>
      </c>
      <c r="C6" s="1" t="s">
        <v>185</v>
      </c>
      <c r="D6" s="1" t="s">
        <v>53</v>
      </c>
      <c r="E6" s="1" t="s">
        <v>53</v>
      </c>
      <c r="F6" s="1" t="s">
        <v>54</v>
      </c>
      <c r="G6" s="1" t="s">
        <v>55</v>
      </c>
      <c r="H6" s="1"/>
      <c r="I6" s="18"/>
      <c r="J6" s="18"/>
      <c r="K6" s="18"/>
      <c r="L6" s="18"/>
      <c r="M6" s="2">
        <v>200000</v>
      </c>
      <c r="N6" s="2">
        <v>200000</v>
      </c>
      <c r="O6" s="2"/>
      <c r="P6" s="2" t="str">
        <f t="shared" si="0"/>
        <v/>
      </c>
      <c r="Q6" s="2"/>
      <c r="R6" s="2"/>
      <c r="S6" s="48"/>
      <c r="T6" s="2">
        <v>0</v>
      </c>
      <c r="U6" s="2">
        <v>0</v>
      </c>
      <c r="V6" s="1"/>
      <c r="W6" s="6"/>
      <c r="X6" s="1"/>
      <c r="Y6" s="3"/>
      <c r="Z6" s="3"/>
      <c r="AA6" s="3"/>
      <c r="AB6" s="3"/>
      <c r="AC6" s="3"/>
      <c r="AD6" s="3"/>
      <c r="AE6" s="3"/>
      <c r="AF6" s="3"/>
      <c r="AG6" s="3"/>
      <c r="AH6" s="3">
        <v>200000</v>
      </c>
      <c r="AI6" s="3">
        <v>200000</v>
      </c>
      <c r="AJ6" s="3">
        <v>200000</v>
      </c>
      <c r="AK6" s="3">
        <v>200000</v>
      </c>
      <c r="AL6" s="3">
        <v>200000</v>
      </c>
      <c r="AM6" s="3">
        <v>200000</v>
      </c>
      <c r="AN6" s="3">
        <v>200000</v>
      </c>
      <c r="AO6" s="3">
        <v>200000</v>
      </c>
      <c r="AP6" s="3">
        <v>200000</v>
      </c>
      <c r="AQ6" s="3"/>
      <c r="AR6" s="3"/>
      <c r="AS6" s="3"/>
      <c r="AT6" s="3"/>
      <c r="AU6" s="3"/>
      <c r="AV6" s="3"/>
      <c r="AW6" s="3">
        <f t="shared" si="1"/>
        <v>600000</v>
      </c>
      <c r="AX6" s="3">
        <f t="shared" si="2"/>
        <v>1200000</v>
      </c>
      <c r="AY6" s="4">
        <f t="shared" si="3"/>
        <v>9</v>
      </c>
      <c r="BA6" s="4" t="s">
        <v>5726</v>
      </c>
      <c r="BB6" s="2"/>
      <c r="BC6" s="3"/>
      <c r="BD6" s="3"/>
    </row>
    <row r="7" spans="1:56" ht="16.8" customHeight="1">
      <c r="A7" s="1">
        <v>6</v>
      </c>
      <c r="B7" s="1" t="s">
        <v>42</v>
      </c>
      <c r="C7" s="1" t="s">
        <v>47</v>
      </c>
      <c r="D7" s="1" t="s">
        <v>56</v>
      </c>
      <c r="E7" s="1" t="s">
        <v>56</v>
      </c>
      <c r="F7" s="1" t="s">
        <v>57</v>
      </c>
      <c r="G7" s="1" t="s">
        <v>58</v>
      </c>
      <c r="H7" s="1" t="s">
        <v>4732</v>
      </c>
      <c r="I7" s="18">
        <v>45940</v>
      </c>
      <c r="J7" s="18">
        <v>45931</v>
      </c>
      <c r="K7" s="18" t="s">
        <v>4733</v>
      </c>
      <c r="L7" s="18" t="s">
        <v>4734</v>
      </c>
      <c r="M7" s="2">
        <v>8200000</v>
      </c>
      <c r="N7" s="2">
        <v>8200000</v>
      </c>
      <c r="O7" s="2"/>
      <c r="P7" s="2" t="str">
        <f t="shared" si="0"/>
        <v/>
      </c>
      <c r="Q7" s="2"/>
      <c r="R7" s="2"/>
      <c r="S7" s="48"/>
      <c r="T7" s="2">
        <v>27060000</v>
      </c>
      <c r="U7" s="2">
        <v>0</v>
      </c>
      <c r="V7" s="1" t="s">
        <v>58</v>
      </c>
      <c r="W7" s="6" t="s">
        <v>59</v>
      </c>
      <c r="X7" s="1" t="s">
        <v>60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8200000</v>
      </c>
      <c r="AL7" s="3">
        <v>8200000</v>
      </c>
      <c r="AM7" s="3">
        <v>8200000</v>
      </c>
      <c r="AN7" s="3">
        <v>8200000</v>
      </c>
      <c r="AO7" s="3">
        <v>8200000</v>
      </c>
      <c r="AP7" s="3">
        <v>8200000</v>
      </c>
      <c r="AQ7" s="3"/>
      <c r="AR7" s="3"/>
      <c r="AS7" s="3"/>
      <c r="AT7" s="3"/>
      <c r="AU7" s="3"/>
      <c r="AV7" s="3"/>
      <c r="AW7" s="3">
        <f t="shared" si="1"/>
        <v>0</v>
      </c>
      <c r="AX7" s="3">
        <f t="shared" si="2"/>
        <v>49200000</v>
      </c>
      <c r="AY7" s="4">
        <f t="shared" si="3"/>
        <v>6</v>
      </c>
      <c r="AZ7" s="8" t="s">
        <v>5483</v>
      </c>
      <c r="BA7" s="4" t="s">
        <v>5727</v>
      </c>
      <c r="BB7" s="2"/>
      <c r="BC7" s="3"/>
      <c r="BD7" s="3"/>
    </row>
    <row r="8" spans="1:56" ht="16.8" customHeight="1">
      <c r="A8" s="1">
        <v>7</v>
      </c>
      <c r="B8" s="1" t="s">
        <v>42</v>
      </c>
      <c r="C8" s="1" t="s">
        <v>47</v>
      </c>
      <c r="D8" s="1" t="s">
        <v>61</v>
      </c>
      <c r="E8" s="1" t="s">
        <v>61</v>
      </c>
      <c r="F8" s="1" t="s">
        <v>62</v>
      </c>
      <c r="G8" s="1" t="s">
        <v>63</v>
      </c>
      <c r="H8" s="1" t="s">
        <v>4735</v>
      </c>
      <c r="I8" s="18">
        <v>45945</v>
      </c>
      <c r="J8" s="18">
        <v>45931</v>
      </c>
      <c r="K8" s="18" t="s">
        <v>4733</v>
      </c>
      <c r="L8" s="18" t="s">
        <v>4734</v>
      </c>
      <c r="M8" s="2">
        <v>1500000</v>
      </c>
      <c r="N8" s="2">
        <v>1500000</v>
      </c>
      <c r="O8" s="2"/>
      <c r="P8" s="2" t="str">
        <f t="shared" si="0"/>
        <v/>
      </c>
      <c r="Q8" s="2"/>
      <c r="R8" s="2"/>
      <c r="S8" s="48"/>
      <c r="T8" s="2">
        <v>4950000</v>
      </c>
      <c r="U8" s="2">
        <v>0</v>
      </c>
      <c r="V8" s="1" t="s">
        <v>63</v>
      </c>
      <c r="W8" s="6" t="s">
        <v>64</v>
      </c>
      <c r="X8" s="1" t="s">
        <v>65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1500000</v>
      </c>
      <c r="AL8" s="3">
        <v>1500000</v>
      </c>
      <c r="AM8" s="3">
        <v>1500000</v>
      </c>
      <c r="AN8" s="3">
        <v>1500000</v>
      </c>
      <c r="AO8" s="3">
        <v>1500000</v>
      </c>
      <c r="AP8" s="3">
        <v>1500000</v>
      </c>
      <c r="AQ8" s="3"/>
      <c r="AR8" s="3"/>
      <c r="AS8" s="3"/>
      <c r="AT8" s="3"/>
      <c r="AU8" s="3"/>
      <c r="AV8" s="3"/>
      <c r="AW8" s="3">
        <f t="shared" si="1"/>
        <v>0</v>
      </c>
      <c r="AX8" s="3">
        <f t="shared" si="2"/>
        <v>9000000</v>
      </c>
      <c r="AY8" s="4">
        <f t="shared" si="3"/>
        <v>6</v>
      </c>
      <c r="AZ8" s="8" t="s">
        <v>5484</v>
      </c>
      <c r="BA8" s="4" t="s">
        <v>5727</v>
      </c>
      <c r="BB8" s="2"/>
      <c r="BC8" s="3"/>
      <c r="BD8" s="3"/>
    </row>
    <row r="9" spans="1:56" ht="16.8" customHeight="1">
      <c r="A9" s="1">
        <v>8</v>
      </c>
      <c r="B9" s="1" t="s">
        <v>42</v>
      </c>
      <c r="C9" s="1" t="s">
        <v>47</v>
      </c>
      <c r="D9" s="1" t="s">
        <v>66</v>
      </c>
      <c r="E9" s="1" t="s">
        <v>66</v>
      </c>
      <c r="F9" s="1" t="s">
        <v>67</v>
      </c>
      <c r="G9" s="1" t="s">
        <v>68</v>
      </c>
      <c r="H9" s="1" t="s">
        <v>4736</v>
      </c>
      <c r="I9" s="18">
        <v>45931</v>
      </c>
      <c r="J9" s="18">
        <v>45931</v>
      </c>
      <c r="K9" s="18" t="s">
        <v>4737</v>
      </c>
      <c r="L9" s="18" t="s">
        <v>4734</v>
      </c>
      <c r="M9" s="2">
        <v>2000000</v>
      </c>
      <c r="N9" s="2">
        <v>2000000</v>
      </c>
      <c r="O9" s="2"/>
      <c r="P9" s="2" t="str">
        <f t="shared" si="0"/>
        <v/>
      </c>
      <c r="Q9" s="2"/>
      <c r="R9" s="2"/>
      <c r="S9" s="48"/>
      <c r="T9" s="2">
        <v>6000000</v>
      </c>
      <c r="U9" s="2">
        <v>0</v>
      </c>
      <c r="V9" s="1" t="s">
        <v>68</v>
      </c>
      <c r="W9" s="6" t="s">
        <v>69</v>
      </c>
      <c r="X9" s="1" t="s">
        <v>70</v>
      </c>
      <c r="Y9" s="3"/>
      <c r="Z9" s="3"/>
      <c r="AA9" s="3"/>
      <c r="AB9" s="3"/>
      <c r="AC9" s="3"/>
      <c r="AD9" s="3"/>
      <c r="AE9" s="3"/>
      <c r="AF9" s="3"/>
      <c r="AG9" s="3"/>
      <c r="AH9" s="3">
        <v>2000000</v>
      </c>
      <c r="AI9" s="3">
        <v>2000000</v>
      </c>
      <c r="AJ9" s="3">
        <v>2000000</v>
      </c>
      <c r="AK9" s="3">
        <v>2000000</v>
      </c>
      <c r="AL9" s="3">
        <v>2000000</v>
      </c>
      <c r="AM9" s="3">
        <v>2000000</v>
      </c>
      <c r="AN9" s="3">
        <v>2000000</v>
      </c>
      <c r="AO9" s="3">
        <v>2000000</v>
      </c>
      <c r="AP9" s="3">
        <v>2000000</v>
      </c>
      <c r="AQ9" s="3"/>
      <c r="AR9" s="3"/>
      <c r="AS9" s="3"/>
      <c r="AT9" s="3"/>
      <c r="AU9" s="3"/>
      <c r="AV9" s="3"/>
      <c r="AW9" s="3">
        <f t="shared" si="1"/>
        <v>6000000</v>
      </c>
      <c r="AX9" s="3">
        <f t="shared" si="2"/>
        <v>12000000</v>
      </c>
      <c r="AY9" s="4">
        <f t="shared" si="3"/>
        <v>9</v>
      </c>
      <c r="AZ9" s="8" t="s">
        <v>5485</v>
      </c>
      <c r="BA9" s="4" t="s">
        <v>5726</v>
      </c>
      <c r="BB9" s="2"/>
      <c r="BC9" s="3"/>
      <c r="BD9" s="3"/>
    </row>
    <row r="10" spans="1:56" ht="16.8" customHeight="1">
      <c r="A10" s="1">
        <v>9</v>
      </c>
      <c r="B10" s="1" t="s">
        <v>42</v>
      </c>
      <c r="C10" s="1" t="s">
        <v>185</v>
      </c>
      <c r="D10" s="1" t="s">
        <v>71</v>
      </c>
      <c r="E10" s="1" t="s">
        <v>71</v>
      </c>
      <c r="F10" s="1" t="s">
        <v>72</v>
      </c>
      <c r="G10" s="1" t="s">
        <v>73</v>
      </c>
      <c r="H10" s="1" t="s">
        <v>4476</v>
      </c>
      <c r="I10" s="18">
        <v>45931</v>
      </c>
      <c r="J10" s="18">
        <v>45931</v>
      </c>
      <c r="K10" s="18" t="s">
        <v>4737</v>
      </c>
      <c r="L10" s="18" t="s">
        <v>4734</v>
      </c>
      <c r="M10" s="2">
        <v>8200000</v>
      </c>
      <c r="N10" s="2">
        <v>8200000</v>
      </c>
      <c r="O10" s="2"/>
      <c r="P10" s="2" t="str">
        <f t="shared" si="0"/>
        <v/>
      </c>
      <c r="Q10" s="2"/>
      <c r="R10" s="2"/>
      <c r="S10" s="48"/>
      <c r="T10" s="2">
        <v>49200000</v>
      </c>
      <c r="U10" s="2">
        <v>0</v>
      </c>
      <c r="V10" s="1" t="s">
        <v>73</v>
      </c>
      <c r="W10" s="6" t="s">
        <v>74</v>
      </c>
      <c r="X10" s="1" t="s">
        <v>75</v>
      </c>
      <c r="Y10" s="3"/>
      <c r="Z10" s="3"/>
      <c r="AA10" s="3"/>
      <c r="AB10" s="3"/>
      <c r="AC10" s="3"/>
      <c r="AD10" s="3"/>
      <c r="AE10" s="3"/>
      <c r="AF10" s="3"/>
      <c r="AG10" s="3"/>
      <c r="AH10" s="3">
        <v>8200000</v>
      </c>
      <c r="AI10" s="3">
        <v>8200000</v>
      </c>
      <c r="AJ10" s="3">
        <v>8200000</v>
      </c>
      <c r="AK10" s="3">
        <v>8200000</v>
      </c>
      <c r="AL10" s="3">
        <v>8200000</v>
      </c>
      <c r="AM10" s="3">
        <v>8200000</v>
      </c>
      <c r="AN10" s="3">
        <v>8200000</v>
      </c>
      <c r="AO10" s="3">
        <v>8200000</v>
      </c>
      <c r="AP10" s="3">
        <v>8200000</v>
      </c>
      <c r="AQ10" s="3"/>
      <c r="AR10" s="3"/>
      <c r="AS10" s="3"/>
      <c r="AT10" s="3"/>
      <c r="AU10" s="3"/>
      <c r="AV10" s="3"/>
      <c r="AW10" s="3">
        <f t="shared" si="1"/>
        <v>24600000</v>
      </c>
      <c r="AX10" s="3">
        <f t="shared" si="2"/>
        <v>49200000</v>
      </c>
      <c r="AY10" s="4">
        <f t="shared" si="3"/>
        <v>9</v>
      </c>
      <c r="AZ10" s="8" t="s">
        <v>5486</v>
      </c>
      <c r="BA10" s="4" t="s">
        <v>5727</v>
      </c>
      <c r="BB10" s="2"/>
      <c r="BC10" s="3"/>
      <c r="BD10" s="3"/>
    </row>
    <row r="11" spans="1:56" ht="16.8" customHeight="1">
      <c r="A11" s="1">
        <v>10</v>
      </c>
      <c r="B11" s="1" t="s">
        <v>42</v>
      </c>
      <c r="C11" s="1" t="s">
        <v>43</v>
      </c>
      <c r="D11" s="1" t="s">
        <v>76</v>
      </c>
      <c r="E11" s="1" t="s">
        <v>76</v>
      </c>
      <c r="F11" s="1" t="s">
        <v>77</v>
      </c>
      <c r="G11" s="1" t="s">
        <v>78</v>
      </c>
      <c r="H11" s="1" t="s">
        <v>4738</v>
      </c>
      <c r="I11" s="18">
        <v>46113</v>
      </c>
      <c r="J11" s="18">
        <v>3</v>
      </c>
      <c r="K11" s="18">
        <v>1200000</v>
      </c>
      <c r="L11" s="18"/>
      <c r="M11" s="2">
        <v>1200000</v>
      </c>
      <c r="N11" s="2">
        <v>1200000</v>
      </c>
      <c r="O11" s="2"/>
      <c r="P11" s="2" t="str">
        <f t="shared" si="0"/>
        <v/>
      </c>
      <c r="Q11" s="2"/>
      <c r="R11" s="2"/>
      <c r="S11" s="48"/>
      <c r="T11" s="2">
        <v>0</v>
      </c>
      <c r="U11" s="2">
        <v>7200000</v>
      </c>
      <c r="V11" s="1"/>
      <c r="W11" s="6"/>
      <c r="X11" s="1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f t="shared" si="1"/>
        <v>0</v>
      </c>
      <c r="AX11" s="3">
        <f t="shared" si="2"/>
        <v>0</v>
      </c>
      <c r="AY11" s="4">
        <f t="shared" si="3"/>
        <v>0</v>
      </c>
      <c r="BA11" s="4" t="s">
        <v>5726</v>
      </c>
      <c r="BB11" s="2"/>
      <c r="BC11" s="3"/>
      <c r="BD11" s="4"/>
    </row>
    <row r="12" spans="1:56" ht="16.8" customHeight="1">
      <c r="A12" s="1">
        <v>11</v>
      </c>
      <c r="B12" s="1" t="s">
        <v>42</v>
      </c>
      <c r="C12" s="1" t="s">
        <v>47</v>
      </c>
      <c r="D12" s="1" t="s">
        <v>79</v>
      </c>
      <c r="E12" s="1" t="s">
        <v>79</v>
      </c>
      <c r="F12" s="1" t="s">
        <v>80</v>
      </c>
      <c r="G12" s="1" t="s">
        <v>81</v>
      </c>
      <c r="H12" s="1" t="s">
        <v>4739</v>
      </c>
      <c r="I12" s="18">
        <v>47118</v>
      </c>
      <c r="J12" s="18">
        <v>10</v>
      </c>
      <c r="K12" s="18">
        <v>1500000</v>
      </c>
      <c r="L12" s="18"/>
      <c r="M12" s="2">
        <v>1500000</v>
      </c>
      <c r="N12" s="2">
        <v>1500000</v>
      </c>
      <c r="O12" s="2"/>
      <c r="P12" s="2" t="str">
        <f t="shared" si="0"/>
        <v/>
      </c>
      <c r="Q12" s="2"/>
      <c r="R12" s="2"/>
      <c r="S12" s="48"/>
      <c r="T12" s="2">
        <v>0</v>
      </c>
      <c r="U12" s="2">
        <v>4500000</v>
      </c>
      <c r="V12" s="1"/>
      <c r="W12" s="6"/>
      <c r="X12" s="1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f t="shared" si="1"/>
        <v>0</v>
      </c>
      <c r="AX12" s="3">
        <f t="shared" si="2"/>
        <v>0</v>
      </c>
      <c r="AY12" s="4">
        <f t="shared" si="3"/>
        <v>0</v>
      </c>
      <c r="BA12" s="4" t="s">
        <v>5726</v>
      </c>
      <c r="BB12" s="2"/>
      <c r="BC12" s="3"/>
      <c r="BD12" s="4"/>
    </row>
    <row r="13" spans="1:56" ht="16.8" customHeight="1">
      <c r="A13" s="1">
        <v>12</v>
      </c>
      <c r="B13" s="1" t="s">
        <v>42</v>
      </c>
      <c r="C13" s="1" t="s">
        <v>47</v>
      </c>
      <c r="D13" s="1" t="s">
        <v>82</v>
      </c>
      <c r="E13" s="1" t="s">
        <v>82</v>
      </c>
      <c r="F13" s="1" t="s">
        <v>83</v>
      </c>
      <c r="G13" s="1" t="s">
        <v>58</v>
      </c>
      <c r="H13" s="1" t="s">
        <v>4732</v>
      </c>
      <c r="I13" s="18">
        <v>45940</v>
      </c>
      <c r="J13" s="18">
        <v>45931</v>
      </c>
      <c r="K13" s="18" t="s">
        <v>4733</v>
      </c>
      <c r="L13" s="18" t="s">
        <v>4734</v>
      </c>
      <c r="M13" s="2">
        <v>7000000</v>
      </c>
      <c r="N13" s="2">
        <v>7000000</v>
      </c>
      <c r="O13" s="2"/>
      <c r="P13" s="2" t="str">
        <f t="shared" si="0"/>
        <v/>
      </c>
      <c r="Q13" s="2"/>
      <c r="R13" s="2"/>
      <c r="S13" s="48"/>
      <c r="T13" s="2">
        <v>27060000</v>
      </c>
      <c r="U13" s="2">
        <v>0</v>
      </c>
      <c r="V13" s="1" t="s">
        <v>58</v>
      </c>
      <c r="W13" s="6" t="s">
        <v>59</v>
      </c>
      <c r="X13" s="1" t="s">
        <v>60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v>5800000</v>
      </c>
      <c r="AL13" s="3">
        <v>5800000</v>
      </c>
      <c r="AM13" s="3">
        <v>5800000</v>
      </c>
      <c r="AN13" s="3"/>
      <c r="AO13" s="3"/>
      <c r="AP13" s="3"/>
      <c r="AQ13" s="3"/>
      <c r="AR13" s="3"/>
      <c r="AS13" s="3"/>
      <c r="AT13" s="3"/>
      <c r="AU13" s="3"/>
      <c r="AV13" s="3"/>
      <c r="AW13" s="3">
        <f t="shared" si="1"/>
        <v>0</v>
      </c>
      <c r="AX13" s="3">
        <f t="shared" si="2"/>
        <v>17400000</v>
      </c>
      <c r="AY13" s="4">
        <f t="shared" si="3"/>
        <v>3</v>
      </c>
      <c r="AZ13" s="8" t="s">
        <v>5483</v>
      </c>
      <c r="BA13" s="4" t="s">
        <v>5727</v>
      </c>
      <c r="BB13" s="2"/>
      <c r="BC13" s="3"/>
      <c r="BD13" s="3"/>
    </row>
    <row r="14" spans="1:56" ht="16.8" customHeight="1">
      <c r="A14" s="1">
        <v>13</v>
      </c>
      <c r="B14" s="1" t="s">
        <v>42</v>
      </c>
      <c r="C14" s="1" t="s">
        <v>43</v>
      </c>
      <c r="D14" s="1" t="s">
        <v>84</v>
      </c>
      <c r="E14" s="1" t="s">
        <v>84</v>
      </c>
      <c r="F14" s="1" t="s">
        <v>85</v>
      </c>
      <c r="G14" s="1" t="s">
        <v>86</v>
      </c>
      <c r="H14" s="1" t="s">
        <v>4477</v>
      </c>
      <c r="I14" s="18">
        <v>45931</v>
      </c>
      <c r="J14" s="18">
        <v>45931</v>
      </c>
      <c r="K14" s="18" t="s">
        <v>4737</v>
      </c>
      <c r="L14" s="18" t="s">
        <v>4734</v>
      </c>
      <c r="M14" s="2">
        <v>1500000</v>
      </c>
      <c r="N14" s="2">
        <v>1500000</v>
      </c>
      <c r="O14" s="2"/>
      <c r="P14" s="2" t="str">
        <f t="shared" si="0"/>
        <v/>
      </c>
      <c r="Q14" s="2"/>
      <c r="R14" s="2"/>
      <c r="S14" s="48"/>
      <c r="T14" s="2">
        <v>4500000</v>
      </c>
      <c r="U14" s="2">
        <v>0</v>
      </c>
      <c r="V14" s="1" t="s">
        <v>87</v>
      </c>
      <c r="W14" s="6" t="s">
        <v>88</v>
      </c>
      <c r="X14" s="1" t="s">
        <v>89</v>
      </c>
      <c r="Y14" s="3"/>
      <c r="Z14" s="3"/>
      <c r="AA14" s="3"/>
      <c r="AB14" s="3"/>
      <c r="AC14" s="3"/>
      <c r="AD14" s="3"/>
      <c r="AE14" s="3"/>
      <c r="AF14" s="3"/>
      <c r="AG14" s="3"/>
      <c r="AH14" s="3">
        <v>1500000</v>
      </c>
      <c r="AI14" s="3">
        <v>1500000</v>
      </c>
      <c r="AJ14" s="3">
        <v>1500000</v>
      </c>
      <c r="AK14" s="3">
        <v>1500000</v>
      </c>
      <c r="AL14" s="3">
        <v>1500000</v>
      </c>
      <c r="AM14" s="3">
        <v>1500000</v>
      </c>
      <c r="AN14" s="3">
        <v>1500000</v>
      </c>
      <c r="AO14" s="3">
        <v>1500000</v>
      </c>
      <c r="AP14" s="3">
        <v>1500000</v>
      </c>
      <c r="AQ14" s="3"/>
      <c r="AR14" s="3"/>
      <c r="AS14" s="3"/>
      <c r="AT14" s="3"/>
      <c r="AU14" s="3"/>
      <c r="AV14" s="3"/>
      <c r="AW14" s="3">
        <f t="shared" si="1"/>
        <v>4500000</v>
      </c>
      <c r="AX14" s="3">
        <f t="shared" si="2"/>
        <v>9000000</v>
      </c>
      <c r="AY14" s="4">
        <f t="shared" si="3"/>
        <v>9</v>
      </c>
      <c r="BA14" s="4" t="s">
        <v>5715</v>
      </c>
      <c r="BB14" s="2"/>
      <c r="BC14" s="3"/>
      <c r="BD14" s="3"/>
    </row>
    <row r="15" spans="1:56" ht="16.8" customHeight="1">
      <c r="A15" s="1">
        <v>14</v>
      </c>
      <c r="B15" s="1" t="s">
        <v>42</v>
      </c>
      <c r="C15" s="1" t="s">
        <v>47</v>
      </c>
      <c r="D15" s="1" t="s">
        <v>90</v>
      </c>
      <c r="E15" s="1" t="s">
        <v>90</v>
      </c>
      <c r="F15" s="1" t="s">
        <v>91</v>
      </c>
      <c r="G15" s="1" t="s">
        <v>92</v>
      </c>
      <c r="H15" s="1" t="s">
        <v>4740</v>
      </c>
      <c r="I15" s="18">
        <v>45931</v>
      </c>
      <c r="J15" s="18">
        <v>45931</v>
      </c>
      <c r="K15" s="18" t="s">
        <v>4741</v>
      </c>
      <c r="L15" s="18" t="s">
        <v>4734</v>
      </c>
      <c r="M15" s="2">
        <v>8200000</v>
      </c>
      <c r="N15" s="2">
        <v>8200000</v>
      </c>
      <c r="O15" s="2"/>
      <c r="P15" s="2" t="str">
        <f t="shared" si="0"/>
        <v/>
      </c>
      <c r="Q15" s="2"/>
      <c r="R15" s="2"/>
      <c r="S15" s="48"/>
      <c r="T15" s="2">
        <v>27060000</v>
      </c>
      <c r="U15" s="2">
        <v>0</v>
      </c>
      <c r="V15" s="1" t="s">
        <v>93</v>
      </c>
      <c r="W15" s="6" t="s">
        <v>94</v>
      </c>
      <c r="X15" s="1" t="s">
        <v>95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8200000</v>
      </c>
      <c r="AL15" s="3">
        <v>8200000</v>
      </c>
      <c r="AM15" s="3">
        <v>8200000</v>
      </c>
      <c r="AN15" s="3">
        <v>8200000</v>
      </c>
      <c r="AO15" s="3">
        <v>8200000</v>
      </c>
      <c r="AP15" s="3">
        <v>8200000</v>
      </c>
      <c r="AQ15" s="3"/>
      <c r="AR15" s="3"/>
      <c r="AS15" s="3"/>
      <c r="AT15" s="3"/>
      <c r="AU15" s="3"/>
      <c r="AV15" s="3"/>
      <c r="AW15" s="3">
        <f t="shared" si="1"/>
        <v>0</v>
      </c>
      <c r="AX15" s="3">
        <f t="shared" si="2"/>
        <v>49200000</v>
      </c>
      <c r="AY15" s="4">
        <f t="shared" si="3"/>
        <v>6</v>
      </c>
      <c r="AZ15" s="8" t="s">
        <v>5484</v>
      </c>
      <c r="BA15" s="4" t="s">
        <v>5727</v>
      </c>
      <c r="BB15" s="2"/>
      <c r="BC15" s="3"/>
      <c r="BD15" s="3"/>
    </row>
    <row r="16" spans="1:56" ht="16.8" customHeight="1">
      <c r="A16" s="1">
        <v>15</v>
      </c>
      <c r="B16" s="1" t="s">
        <v>42</v>
      </c>
      <c r="C16" s="1" t="s">
        <v>43</v>
      </c>
      <c r="D16" s="1" t="s">
        <v>96</v>
      </c>
      <c r="E16" s="1" t="s">
        <v>96</v>
      </c>
      <c r="F16" s="1" t="s">
        <v>97</v>
      </c>
      <c r="G16" s="1" t="s">
        <v>98</v>
      </c>
      <c r="H16" s="1" t="s">
        <v>4478</v>
      </c>
      <c r="I16" s="18">
        <v>45931</v>
      </c>
      <c r="J16" s="18">
        <v>45931</v>
      </c>
      <c r="K16" s="18" t="s">
        <v>4742</v>
      </c>
      <c r="L16" s="18" t="s">
        <v>4734</v>
      </c>
      <c r="M16" s="2">
        <v>2000000</v>
      </c>
      <c r="N16" s="2">
        <v>2000000</v>
      </c>
      <c r="O16" s="2"/>
      <c r="P16" s="2" t="str">
        <f t="shared" si="0"/>
        <v/>
      </c>
      <c r="Q16" s="2"/>
      <c r="R16" s="2"/>
      <c r="S16" s="48"/>
      <c r="T16" s="2">
        <v>6000000</v>
      </c>
      <c r="U16" s="2">
        <v>0</v>
      </c>
      <c r="V16" s="1" t="s">
        <v>99</v>
      </c>
      <c r="W16" s="6" t="s">
        <v>100</v>
      </c>
      <c r="X16" s="1" t="s">
        <v>101</v>
      </c>
      <c r="Y16" s="3"/>
      <c r="Z16" s="3"/>
      <c r="AA16" s="3"/>
      <c r="AB16" s="3"/>
      <c r="AC16" s="3"/>
      <c r="AD16" s="3"/>
      <c r="AE16" s="3"/>
      <c r="AF16" s="3"/>
      <c r="AG16" s="3"/>
      <c r="AH16" s="3">
        <v>2000000</v>
      </c>
      <c r="AI16" s="3">
        <v>2000000</v>
      </c>
      <c r="AJ16" s="3">
        <v>2000000</v>
      </c>
      <c r="AK16" s="3">
        <v>2000000</v>
      </c>
      <c r="AL16" s="3">
        <v>2000000</v>
      </c>
      <c r="AM16" s="3">
        <v>2000000</v>
      </c>
      <c r="AN16" s="3">
        <v>2000000</v>
      </c>
      <c r="AO16" s="3">
        <v>2000000</v>
      </c>
      <c r="AP16" s="3">
        <v>2000000</v>
      </c>
      <c r="AQ16" s="3"/>
      <c r="AR16" s="3"/>
      <c r="AS16" s="3"/>
      <c r="AT16" s="3"/>
      <c r="AU16" s="3"/>
      <c r="AV16" s="3"/>
      <c r="AW16" s="3">
        <f t="shared" si="1"/>
        <v>6000000</v>
      </c>
      <c r="AX16" s="3">
        <f t="shared" si="2"/>
        <v>12000000</v>
      </c>
      <c r="AY16" s="4">
        <f t="shared" si="3"/>
        <v>9</v>
      </c>
      <c r="AZ16" s="8" t="s">
        <v>5662</v>
      </c>
      <c r="BA16" s="4" t="s">
        <v>5715</v>
      </c>
      <c r="BB16" s="2"/>
      <c r="BC16" s="3"/>
      <c r="BD16" s="3"/>
    </row>
    <row r="17" spans="1:56" ht="16.8" customHeight="1">
      <c r="A17" s="1">
        <v>16</v>
      </c>
      <c r="B17" s="1" t="s">
        <v>42</v>
      </c>
      <c r="C17" s="1" t="s">
        <v>43</v>
      </c>
      <c r="D17" s="1" t="s">
        <v>102</v>
      </c>
      <c r="E17" s="1" t="s">
        <v>102</v>
      </c>
      <c r="F17" s="1" t="s">
        <v>103</v>
      </c>
      <c r="G17" s="1" t="s">
        <v>104</v>
      </c>
      <c r="H17" s="1" t="s">
        <v>4743</v>
      </c>
      <c r="I17" s="18">
        <v>45931</v>
      </c>
      <c r="J17" s="18">
        <v>45931</v>
      </c>
      <c r="K17" s="18" t="s">
        <v>4737</v>
      </c>
      <c r="L17" s="18" t="s">
        <v>4734</v>
      </c>
      <c r="M17" s="2">
        <v>2500000</v>
      </c>
      <c r="N17" s="2">
        <v>2500000</v>
      </c>
      <c r="O17" s="2"/>
      <c r="P17" s="2" t="str">
        <f t="shared" si="0"/>
        <v/>
      </c>
      <c r="Q17" s="2"/>
      <c r="R17" s="2"/>
      <c r="S17" s="48"/>
      <c r="T17" s="2">
        <v>7500000</v>
      </c>
      <c r="U17" s="2">
        <v>0</v>
      </c>
      <c r="V17" s="1" t="s">
        <v>104</v>
      </c>
      <c r="W17" s="6" t="s">
        <v>105</v>
      </c>
      <c r="X17" s="1" t="s">
        <v>106</v>
      </c>
      <c r="Y17" s="3"/>
      <c r="Z17" s="3"/>
      <c r="AA17" s="3"/>
      <c r="AB17" s="3"/>
      <c r="AC17" s="3"/>
      <c r="AD17" s="3"/>
      <c r="AE17" s="3"/>
      <c r="AF17" s="3"/>
      <c r="AG17" s="3"/>
      <c r="AH17" s="3">
        <v>2500000</v>
      </c>
      <c r="AI17" s="3">
        <v>2500000</v>
      </c>
      <c r="AJ17" s="3">
        <v>2500000</v>
      </c>
      <c r="AK17" s="3">
        <v>2500000</v>
      </c>
      <c r="AL17" s="3">
        <v>2500000</v>
      </c>
      <c r="AM17" s="3">
        <v>2500000</v>
      </c>
      <c r="AN17" s="3">
        <v>2500000</v>
      </c>
      <c r="AO17" s="3">
        <v>2500000</v>
      </c>
      <c r="AP17" s="3">
        <v>2500000</v>
      </c>
      <c r="AQ17" s="3"/>
      <c r="AR17" s="3"/>
      <c r="AS17" s="3"/>
      <c r="AT17" s="3"/>
      <c r="AU17" s="3"/>
      <c r="AV17" s="3"/>
      <c r="AW17" s="3">
        <f t="shared" si="1"/>
        <v>7500000</v>
      </c>
      <c r="AX17" s="3">
        <f t="shared" si="2"/>
        <v>15000000</v>
      </c>
      <c r="AY17" s="4">
        <f t="shared" si="3"/>
        <v>9</v>
      </c>
      <c r="BA17" s="4" t="s">
        <v>5726</v>
      </c>
      <c r="BB17" s="2"/>
      <c r="BC17" s="3"/>
      <c r="BD17" s="3"/>
    </row>
    <row r="18" spans="1:56" ht="16.8" customHeight="1">
      <c r="A18" s="1">
        <v>17</v>
      </c>
      <c r="B18" s="1" t="s">
        <v>42</v>
      </c>
      <c r="C18" s="1" t="s">
        <v>47</v>
      </c>
      <c r="D18" s="1" t="s">
        <v>107</v>
      </c>
      <c r="E18" s="1" t="s">
        <v>107</v>
      </c>
      <c r="F18" s="1" t="s">
        <v>108</v>
      </c>
      <c r="G18" s="1" t="s">
        <v>109</v>
      </c>
      <c r="H18" s="1" t="s">
        <v>4744</v>
      </c>
      <c r="I18" s="18">
        <v>45931</v>
      </c>
      <c r="J18" s="18">
        <v>45931</v>
      </c>
      <c r="K18" s="18" t="s">
        <v>4745</v>
      </c>
      <c r="L18" s="18" t="s">
        <v>4734</v>
      </c>
      <c r="M18" s="2">
        <v>8200000</v>
      </c>
      <c r="N18" s="2">
        <v>8200000</v>
      </c>
      <c r="O18" s="2"/>
      <c r="P18" s="2" t="str">
        <f t="shared" si="0"/>
        <v/>
      </c>
      <c r="Q18" s="2"/>
      <c r="R18" s="2"/>
      <c r="S18" s="48"/>
      <c r="T18" s="2">
        <v>27060000</v>
      </c>
      <c r="U18" s="2">
        <v>0</v>
      </c>
      <c r="V18" s="1" t="s">
        <v>93</v>
      </c>
      <c r="W18" s="6" t="s">
        <v>94</v>
      </c>
      <c r="X18" s="1" t="s">
        <v>95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8200000</v>
      </c>
      <c r="AL18" s="3">
        <v>8200000</v>
      </c>
      <c r="AM18" s="3">
        <v>8200000</v>
      </c>
      <c r="AN18" s="3">
        <v>8200000</v>
      </c>
      <c r="AO18" s="3">
        <v>8200000</v>
      </c>
      <c r="AP18" s="3">
        <v>8200000</v>
      </c>
      <c r="AQ18" s="3"/>
      <c r="AR18" s="3"/>
      <c r="AS18" s="3"/>
      <c r="AT18" s="3"/>
      <c r="AU18" s="3"/>
      <c r="AV18" s="3"/>
      <c r="AW18" s="3">
        <f t="shared" si="1"/>
        <v>0</v>
      </c>
      <c r="AX18" s="3">
        <f t="shared" si="2"/>
        <v>49200000</v>
      </c>
      <c r="AY18" s="4">
        <f t="shared" si="3"/>
        <v>6</v>
      </c>
      <c r="AZ18" s="8" t="s">
        <v>5484</v>
      </c>
      <c r="BA18" s="4" t="s">
        <v>5727</v>
      </c>
      <c r="BB18" s="2"/>
      <c r="BC18" s="3"/>
      <c r="BD18" s="3"/>
    </row>
    <row r="19" spans="1:56" ht="16.8" customHeight="1">
      <c r="A19" s="1">
        <v>18</v>
      </c>
      <c r="B19" s="1" t="s">
        <v>42</v>
      </c>
      <c r="C19" s="1" t="s">
        <v>47</v>
      </c>
      <c r="D19" s="1" t="s">
        <v>110</v>
      </c>
      <c r="E19" s="1" t="s">
        <v>110</v>
      </c>
      <c r="F19" s="1" t="s">
        <v>111</v>
      </c>
      <c r="G19" s="1" t="s">
        <v>112</v>
      </c>
      <c r="H19" s="1" t="s">
        <v>4746</v>
      </c>
      <c r="I19" s="18">
        <v>45931</v>
      </c>
      <c r="J19" s="18">
        <v>45931</v>
      </c>
      <c r="K19" s="18" t="s">
        <v>4742</v>
      </c>
      <c r="L19" s="18" t="s">
        <v>4734</v>
      </c>
      <c r="M19" s="2">
        <v>2200000</v>
      </c>
      <c r="N19" s="2">
        <v>2200000</v>
      </c>
      <c r="O19" s="2"/>
      <c r="P19" s="2" t="str">
        <f t="shared" si="0"/>
        <v/>
      </c>
      <c r="Q19" s="2"/>
      <c r="R19" s="2"/>
      <c r="S19" s="48"/>
      <c r="T19" s="2">
        <v>6600000</v>
      </c>
      <c r="U19" s="2">
        <v>0</v>
      </c>
      <c r="V19" s="1" t="s">
        <v>113</v>
      </c>
      <c r="W19" s="6" t="s">
        <v>114</v>
      </c>
      <c r="X19" s="1" t="s">
        <v>115</v>
      </c>
      <c r="Y19" s="3"/>
      <c r="Z19" s="3"/>
      <c r="AA19" s="3"/>
      <c r="AB19" s="3"/>
      <c r="AC19" s="3"/>
      <c r="AD19" s="3"/>
      <c r="AE19" s="3"/>
      <c r="AF19" s="3"/>
      <c r="AG19" s="3"/>
      <c r="AH19" s="3">
        <v>2200000</v>
      </c>
      <c r="AI19" s="3">
        <v>2200000</v>
      </c>
      <c r="AJ19" s="3">
        <v>2200000</v>
      </c>
      <c r="AK19" s="3">
        <v>2200000</v>
      </c>
      <c r="AL19" s="3">
        <v>2200000</v>
      </c>
      <c r="AM19" s="3">
        <v>2200000</v>
      </c>
      <c r="AN19" s="3">
        <v>2200000</v>
      </c>
      <c r="AO19" s="3">
        <v>2200000</v>
      </c>
      <c r="AP19" s="3">
        <v>2200000</v>
      </c>
      <c r="AQ19" s="3"/>
      <c r="AR19" s="3"/>
      <c r="AS19" s="3"/>
      <c r="AT19" s="3"/>
      <c r="AU19" s="3"/>
      <c r="AV19" s="3"/>
      <c r="AW19" s="3">
        <f t="shared" si="1"/>
        <v>6600000</v>
      </c>
      <c r="AX19" s="3">
        <f t="shared" si="2"/>
        <v>13200000</v>
      </c>
      <c r="AY19" s="4">
        <f t="shared" si="3"/>
        <v>9</v>
      </c>
      <c r="BA19" s="4" t="s">
        <v>5726</v>
      </c>
      <c r="BB19" s="2"/>
      <c r="BC19" s="3"/>
      <c r="BD19" s="3"/>
    </row>
    <row r="20" spans="1:56" ht="16.8" customHeight="1">
      <c r="A20" s="1">
        <v>19</v>
      </c>
      <c r="B20" s="1" t="s">
        <v>42</v>
      </c>
      <c r="C20" s="1" t="s">
        <v>47</v>
      </c>
      <c r="D20" s="1" t="s">
        <v>116</v>
      </c>
      <c r="E20" s="1" t="s">
        <v>116</v>
      </c>
      <c r="F20" s="1" t="s">
        <v>117</v>
      </c>
      <c r="G20" s="1" t="s">
        <v>118</v>
      </c>
      <c r="H20" s="1" t="s">
        <v>4747</v>
      </c>
      <c r="I20" s="18">
        <v>46023</v>
      </c>
      <c r="J20" s="18">
        <v>46023</v>
      </c>
      <c r="K20" s="18" t="s">
        <v>4748</v>
      </c>
      <c r="L20" s="18" t="s">
        <v>4734</v>
      </c>
      <c r="M20" s="2">
        <v>2000000</v>
      </c>
      <c r="N20" s="2">
        <v>2000000</v>
      </c>
      <c r="O20" s="2"/>
      <c r="P20" s="2" t="str">
        <f t="shared" si="0"/>
        <v/>
      </c>
      <c r="Q20" s="2"/>
      <c r="R20" s="2"/>
      <c r="S20" s="48"/>
      <c r="T20" s="2">
        <v>6000000</v>
      </c>
      <c r="U20" s="2">
        <v>0</v>
      </c>
      <c r="V20" s="1" t="s">
        <v>119</v>
      </c>
      <c r="W20" s="6" t="s">
        <v>120</v>
      </c>
      <c r="X20" s="1" t="s">
        <v>121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2000000</v>
      </c>
      <c r="AI20" s="3">
        <v>2000000</v>
      </c>
      <c r="AJ20" s="3">
        <v>2000000</v>
      </c>
      <c r="AK20" s="3">
        <v>2000000</v>
      </c>
      <c r="AL20" s="3">
        <v>2000000</v>
      </c>
      <c r="AM20" s="3">
        <v>2000000</v>
      </c>
      <c r="AN20" s="3">
        <v>2000000</v>
      </c>
      <c r="AO20" s="3">
        <v>2000000</v>
      </c>
      <c r="AP20" s="3">
        <v>2000000</v>
      </c>
      <c r="AQ20" s="3"/>
      <c r="AR20" s="3"/>
      <c r="AS20" s="3"/>
      <c r="AT20" s="3"/>
      <c r="AU20" s="3"/>
      <c r="AV20" s="3"/>
      <c r="AW20" s="3">
        <f t="shared" si="1"/>
        <v>6000000</v>
      </c>
      <c r="AX20" s="3">
        <f t="shared" si="2"/>
        <v>12000000</v>
      </c>
      <c r="AY20" s="4">
        <f t="shared" si="3"/>
        <v>9</v>
      </c>
      <c r="AZ20" s="8">
        <v>0</v>
      </c>
      <c r="BA20" s="4" t="s">
        <v>5726</v>
      </c>
      <c r="BB20" s="2"/>
      <c r="BC20" s="3"/>
      <c r="BD20" s="3"/>
    </row>
    <row r="21" spans="1:56" s="26" customFormat="1" ht="16.8" customHeight="1">
      <c r="A21" s="20">
        <v>20</v>
      </c>
      <c r="B21" s="20" t="s">
        <v>42</v>
      </c>
      <c r="C21" s="20" t="s">
        <v>43</v>
      </c>
      <c r="D21" s="20" t="s">
        <v>122</v>
      </c>
      <c r="E21" s="20" t="s">
        <v>122</v>
      </c>
      <c r="F21" s="20" t="s">
        <v>123</v>
      </c>
      <c r="G21" s="20" t="s">
        <v>124</v>
      </c>
      <c r="H21" s="20" t="s">
        <v>4749</v>
      </c>
      <c r="I21" s="21">
        <v>45931</v>
      </c>
      <c r="J21" s="21">
        <v>45931</v>
      </c>
      <c r="K21" s="21" t="s">
        <v>4737</v>
      </c>
      <c r="L21" s="21" t="s">
        <v>4734</v>
      </c>
      <c r="M21" s="22">
        <v>2500000</v>
      </c>
      <c r="N21" s="22">
        <v>3000000</v>
      </c>
      <c r="O21" s="22">
        <v>3000000</v>
      </c>
      <c r="P21" s="22">
        <f t="shared" si="0"/>
        <v>500000</v>
      </c>
      <c r="Q21" s="2"/>
      <c r="R21" s="2"/>
      <c r="S21" s="48"/>
      <c r="T21" s="22">
        <v>7500000</v>
      </c>
      <c r="U21" s="22">
        <v>0</v>
      </c>
      <c r="V21" s="20" t="s">
        <v>124</v>
      </c>
      <c r="W21" s="23" t="s">
        <v>125</v>
      </c>
      <c r="X21" s="20" t="s">
        <v>106</v>
      </c>
      <c r="Y21" s="24"/>
      <c r="Z21" s="24"/>
      <c r="AA21" s="24"/>
      <c r="AB21" s="24"/>
      <c r="AC21" s="24"/>
      <c r="AD21" s="24"/>
      <c r="AE21" s="24"/>
      <c r="AF21" s="24"/>
      <c r="AG21" s="24"/>
      <c r="AH21" s="24">
        <v>2500000</v>
      </c>
      <c r="AI21" s="24">
        <v>2500000</v>
      </c>
      <c r="AJ21" s="24">
        <v>2500000</v>
      </c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>
        <f t="shared" si="1"/>
        <v>7500000</v>
      </c>
      <c r="AX21" s="24">
        <f t="shared" si="2"/>
        <v>0</v>
      </c>
      <c r="AY21" s="25">
        <f t="shared" si="3"/>
        <v>3</v>
      </c>
      <c r="AZ21" s="26" t="s">
        <v>5663</v>
      </c>
      <c r="BA21" s="4" t="s">
        <v>5726</v>
      </c>
      <c r="BB21" s="22"/>
      <c r="BC21" s="3"/>
      <c r="BD21" s="25"/>
    </row>
    <row r="22" spans="1:56" ht="16.8" customHeight="1">
      <c r="A22" s="1">
        <v>21</v>
      </c>
      <c r="B22" s="1" t="s">
        <v>42</v>
      </c>
      <c r="C22" s="1" t="s">
        <v>43</v>
      </c>
      <c r="D22" s="1" t="s">
        <v>126</v>
      </c>
      <c r="E22" s="1" t="s">
        <v>126</v>
      </c>
      <c r="F22" s="1" t="s">
        <v>127</v>
      </c>
      <c r="G22" s="1" t="s">
        <v>128</v>
      </c>
      <c r="H22" s="1" t="s">
        <v>4750</v>
      </c>
      <c r="I22" s="18">
        <v>45931</v>
      </c>
      <c r="J22" s="18">
        <v>45931</v>
      </c>
      <c r="K22" s="18" t="s">
        <v>4741</v>
      </c>
      <c r="L22" s="18" t="s">
        <v>4734</v>
      </c>
      <c r="M22" s="2">
        <v>2500000</v>
      </c>
      <c r="N22" s="2">
        <v>2500000</v>
      </c>
      <c r="O22" s="2"/>
      <c r="P22" s="2" t="str">
        <f t="shared" si="0"/>
        <v/>
      </c>
      <c r="Q22" s="2"/>
      <c r="R22" s="2"/>
      <c r="S22" s="48"/>
      <c r="T22" s="2">
        <v>7500000</v>
      </c>
      <c r="U22" s="2">
        <v>0</v>
      </c>
      <c r="V22" s="1" t="s">
        <v>129</v>
      </c>
      <c r="W22" s="6" t="s">
        <v>130</v>
      </c>
      <c r="X22" s="1" t="s">
        <v>131</v>
      </c>
      <c r="Y22" s="3"/>
      <c r="Z22" s="3"/>
      <c r="AA22" s="3"/>
      <c r="AB22" s="3"/>
      <c r="AC22" s="3"/>
      <c r="AD22" s="3"/>
      <c r="AE22" s="3"/>
      <c r="AF22" s="3"/>
      <c r="AG22" s="3"/>
      <c r="AH22" s="3">
        <v>2500000</v>
      </c>
      <c r="AI22" s="3">
        <v>2500000</v>
      </c>
      <c r="AJ22" s="3">
        <v>2500000</v>
      </c>
      <c r="AK22" s="3">
        <v>2500000</v>
      </c>
      <c r="AL22" s="3">
        <v>2500000</v>
      </c>
      <c r="AM22" s="3">
        <v>2500000</v>
      </c>
      <c r="AN22" s="3">
        <v>2500000</v>
      </c>
      <c r="AO22" s="3">
        <v>2500000</v>
      </c>
      <c r="AP22" s="3">
        <v>2500000</v>
      </c>
      <c r="AQ22" s="3"/>
      <c r="AR22" s="3"/>
      <c r="AS22" s="3"/>
      <c r="AT22" s="3"/>
      <c r="AU22" s="3"/>
      <c r="AV22" s="3"/>
      <c r="AW22" s="3">
        <f t="shared" si="1"/>
        <v>7500000</v>
      </c>
      <c r="AX22" s="3">
        <f t="shared" si="2"/>
        <v>15000000</v>
      </c>
      <c r="AY22" s="4">
        <f t="shared" si="3"/>
        <v>9</v>
      </c>
      <c r="BA22" s="4" t="s">
        <v>5727</v>
      </c>
      <c r="BB22" s="2"/>
      <c r="BC22" s="3"/>
      <c r="BD22" s="3"/>
    </row>
    <row r="23" spans="1:56" ht="16.8" customHeight="1">
      <c r="A23" s="1">
        <v>22</v>
      </c>
      <c r="B23" s="1" t="s">
        <v>42</v>
      </c>
      <c r="C23" s="1" t="s">
        <v>185</v>
      </c>
      <c r="D23" s="1" t="s">
        <v>132</v>
      </c>
      <c r="E23" s="1" t="s">
        <v>132</v>
      </c>
      <c r="F23" s="1" t="s">
        <v>133</v>
      </c>
      <c r="G23" s="1" t="s">
        <v>134</v>
      </c>
      <c r="H23" s="1" t="s">
        <v>4751</v>
      </c>
      <c r="I23" s="18">
        <v>48580</v>
      </c>
      <c r="J23" s="18">
        <v>20</v>
      </c>
      <c r="K23" s="18">
        <v>1200000</v>
      </c>
      <c r="L23" s="18"/>
      <c r="M23" s="2">
        <v>1200000</v>
      </c>
      <c r="N23" s="2">
        <v>1200000</v>
      </c>
      <c r="O23" s="2"/>
      <c r="P23" s="2" t="str">
        <f t="shared" si="0"/>
        <v/>
      </c>
      <c r="Q23" s="2"/>
      <c r="R23" s="2"/>
      <c r="S23" s="48"/>
      <c r="T23" s="2">
        <v>3600000</v>
      </c>
      <c r="U23" s="2">
        <v>0</v>
      </c>
      <c r="V23" s="1" t="s">
        <v>135</v>
      </c>
      <c r="W23" s="6" t="s">
        <v>136</v>
      </c>
      <c r="X23" s="1" t="s">
        <v>137</v>
      </c>
      <c r="Y23" s="3"/>
      <c r="Z23" s="3"/>
      <c r="AA23" s="3"/>
      <c r="AB23" s="3"/>
      <c r="AC23" s="3"/>
      <c r="AD23" s="3"/>
      <c r="AE23" s="3"/>
      <c r="AF23" s="3"/>
      <c r="AG23" s="3"/>
      <c r="AH23" s="3">
        <v>1200000</v>
      </c>
      <c r="AI23" s="3">
        <v>1200000</v>
      </c>
      <c r="AJ23" s="3">
        <v>1200000</v>
      </c>
      <c r="AK23" s="3">
        <v>1200000</v>
      </c>
      <c r="AL23" s="3">
        <v>1200000</v>
      </c>
      <c r="AM23" s="3">
        <v>1200000</v>
      </c>
      <c r="AN23" s="3">
        <v>1200000</v>
      </c>
      <c r="AO23" s="3">
        <v>1200000</v>
      </c>
      <c r="AP23" s="3">
        <v>1200000</v>
      </c>
      <c r="AQ23" s="3"/>
      <c r="AR23" s="3"/>
      <c r="AS23" s="3"/>
      <c r="AT23" s="3"/>
      <c r="AU23" s="3"/>
      <c r="AV23" s="3"/>
      <c r="AW23" s="3">
        <f t="shared" si="1"/>
        <v>3600000</v>
      </c>
      <c r="AX23" s="3">
        <f t="shared" si="2"/>
        <v>7200000</v>
      </c>
      <c r="AY23" s="4">
        <f t="shared" si="3"/>
        <v>9</v>
      </c>
      <c r="BA23" s="4" t="s">
        <v>5715</v>
      </c>
      <c r="BB23" s="2"/>
      <c r="BC23" s="3"/>
      <c r="BD23" s="3"/>
    </row>
    <row r="24" spans="1:56" ht="16.8" customHeight="1">
      <c r="A24" s="1">
        <v>23</v>
      </c>
      <c r="B24" s="1" t="s">
        <v>42</v>
      </c>
      <c r="C24" s="1" t="s">
        <v>43</v>
      </c>
      <c r="D24" s="1" t="s">
        <v>138</v>
      </c>
      <c r="E24" s="1" t="s">
        <v>138</v>
      </c>
      <c r="F24" s="1" t="s">
        <v>139</v>
      </c>
      <c r="G24" s="1" t="s">
        <v>140</v>
      </c>
      <c r="H24" s="1" t="s">
        <v>4479</v>
      </c>
      <c r="I24" s="18">
        <v>45931</v>
      </c>
      <c r="J24" s="18">
        <v>45931</v>
      </c>
      <c r="K24" s="18" t="s">
        <v>4752</v>
      </c>
      <c r="L24" s="18" t="s">
        <v>4734</v>
      </c>
      <c r="M24" s="2">
        <v>1000000</v>
      </c>
      <c r="N24" s="2">
        <v>1000000</v>
      </c>
      <c r="O24" s="2"/>
      <c r="P24" s="2" t="str">
        <f t="shared" si="0"/>
        <v/>
      </c>
      <c r="Q24" s="2"/>
      <c r="R24" s="2"/>
      <c r="S24" s="48"/>
      <c r="T24" s="2">
        <v>3000000</v>
      </c>
      <c r="U24" s="2">
        <v>0</v>
      </c>
      <c r="V24" s="1" t="s">
        <v>140</v>
      </c>
      <c r="W24" s="6" t="s">
        <v>141</v>
      </c>
      <c r="X24" s="1" t="s">
        <v>142</v>
      </c>
      <c r="Y24" s="3"/>
      <c r="Z24" s="3"/>
      <c r="AA24" s="3"/>
      <c r="AB24" s="3"/>
      <c r="AC24" s="3"/>
      <c r="AD24" s="3"/>
      <c r="AE24" s="3"/>
      <c r="AF24" s="3"/>
      <c r="AG24" s="3"/>
      <c r="AH24" s="3">
        <v>1000000</v>
      </c>
      <c r="AI24" s="3">
        <v>1000000</v>
      </c>
      <c r="AJ24" s="3">
        <v>1000000</v>
      </c>
      <c r="AK24" s="3">
        <v>1000000</v>
      </c>
      <c r="AL24" s="3">
        <v>1000000</v>
      </c>
      <c r="AM24" s="3">
        <v>1000000</v>
      </c>
      <c r="AN24" s="3">
        <v>1000000</v>
      </c>
      <c r="AO24" s="3">
        <v>1000000</v>
      </c>
      <c r="AP24" s="3">
        <v>1000000</v>
      </c>
      <c r="AQ24" s="3"/>
      <c r="AR24" s="3"/>
      <c r="AS24" s="3"/>
      <c r="AT24" s="3"/>
      <c r="AU24" s="3"/>
      <c r="AV24" s="3"/>
      <c r="AW24" s="3">
        <f t="shared" si="1"/>
        <v>3000000</v>
      </c>
      <c r="AX24" s="3">
        <f t="shared" si="2"/>
        <v>6000000</v>
      </c>
      <c r="AY24" s="4">
        <f t="shared" si="3"/>
        <v>9</v>
      </c>
      <c r="AZ24" s="8">
        <v>0</v>
      </c>
      <c r="BA24" s="4" t="s">
        <v>5715</v>
      </c>
      <c r="BB24" s="2"/>
      <c r="BC24" s="3"/>
      <c r="BD24" s="3"/>
    </row>
    <row r="25" spans="1:56" ht="16.8" customHeight="1">
      <c r="A25" s="1">
        <v>24</v>
      </c>
      <c r="B25" s="1" t="s">
        <v>42</v>
      </c>
      <c r="C25" s="1" t="s">
        <v>43</v>
      </c>
      <c r="D25" s="1" t="s">
        <v>143</v>
      </c>
      <c r="E25" s="1" t="s">
        <v>143</v>
      </c>
      <c r="F25" s="1" t="s">
        <v>144</v>
      </c>
      <c r="G25" s="1" t="s">
        <v>145</v>
      </c>
      <c r="H25" s="1" t="s">
        <v>4480</v>
      </c>
      <c r="I25" s="18">
        <v>45931</v>
      </c>
      <c r="J25" s="18">
        <v>45931</v>
      </c>
      <c r="K25" s="18" t="s">
        <v>4733</v>
      </c>
      <c r="L25" s="18" t="s">
        <v>4734</v>
      </c>
      <c r="M25" s="2">
        <v>1000000</v>
      </c>
      <c r="N25" s="2">
        <v>1000000</v>
      </c>
      <c r="O25" s="2"/>
      <c r="P25" s="2" t="str">
        <f t="shared" si="0"/>
        <v/>
      </c>
      <c r="Q25" s="2"/>
      <c r="R25" s="2"/>
      <c r="S25" s="48"/>
      <c r="T25" s="2">
        <v>3000000</v>
      </c>
      <c r="U25" s="2">
        <v>0</v>
      </c>
      <c r="V25" s="1" t="s">
        <v>146</v>
      </c>
      <c r="W25" s="6" t="s">
        <v>147</v>
      </c>
      <c r="X25" s="1" t="s">
        <v>148</v>
      </c>
      <c r="Y25" s="3"/>
      <c r="Z25" s="3"/>
      <c r="AA25" s="3"/>
      <c r="AB25" s="3"/>
      <c r="AC25" s="3"/>
      <c r="AD25" s="3"/>
      <c r="AE25" s="3"/>
      <c r="AF25" s="3"/>
      <c r="AG25" s="3"/>
      <c r="AH25" s="3">
        <v>1000000</v>
      </c>
      <c r="AI25" s="3">
        <v>1000000</v>
      </c>
      <c r="AJ25" s="3">
        <v>1000000</v>
      </c>
      <c r="AK25" s="3">
        <v>1000000</v>
      </c>
      <c r="AL25" s="3">
        <v>1000000</v>
      </c>
      <c r="AM25" s="3">
        <v>1000000</v>
      </c>
      <c r="AN25" s="3">
        <v>1000000</v>
      </c>
      <c r="AO25" s="3">
        <v>1000000</v>
      </c>
      <c r="AP25" s="3">
        <v>1000000</v>
      </c>
      <c r="AQ25" s="3"/>
      <c r="AR25" s="3"/>
      <c r="AS25" s="3"/>
      <c r="AT25" s="3"/>
      <c r="AU25" s="3"/>
      <c r="AV25" s="3"/>
      <c r="AW25" s="3">
        <f t="shared" si="1"/>
        <v>3000000</v>
      </c>
      <c r="AX25" s="3">
        <f t="shared" si="2"/>
        <v>6000000</v>
      </c>
      <c r="AY25" s="4">
        <f t="shared" si="3"/>
        <v>9</v>
      </c>
      <c r="AZ25" s="8">
        <v>0</v>
      </c>
      <c r="BA25" s="4" t="s">
        <v>5715</v>
      </c>
      <c r="BB25" s="2"/>
      <c r="BC25" s="3"/>
      <c r="BD25" s="3"/>
    </row>
    <row r="26" spans="1:56" ht="16.8" customHeight="1">
      <c r="A26" s="1">
        <v>25</v>
      </c>
      <c r="B26" s="1" t="s">
        <v>42</v>
      </c>
      <c r="C26" s="1" t="s">
        <v>47</v>
      </c>
      <c r="D26" s="1" t="s">
        <v>149</v>
      </c>
      <c r="E26" s="1" t="s">
        <v>149</v>
      </c>
      <c r="F26" s="1" t="s">
        <v>150</v>
      </c>
      <c r="G26" s="1" t="s">
        <v>151</v>
      </c>
      <c r="H26" s="1" t="s">
        <v>4481</v>
      </c>
      <c r="I26" s="18">
        <v>45931</v>
      </c>
      <c r="J26" s="18">
        <v>45931</v>
      </c>
      <c r="K26" s="18" t="s">
        <v>4753</v>
      </c>
      <c r="L26" s="18" t="s">
        <v>4734</v>
      </c>
      <c r="M26" s="2">
        <v>3000000</v>
      </c>
      <c r="N26" s="2">
        <v>3000000</v>
      </c>
      <c r="O26" s="2"/>
      <c r="P26" s="2" t="str">
        <f t="shared" si="0"/>
        <v/>
      </c>
      <c r="Q26" s="2"/>
      <c r="R26" s="2"/>
      <c r="S26" s="48"/>
      <c r="T26" s="2">
        <v>9000000</v>
      </c>
      <c r="U26" s="2">
        <v>0</v>
      </c>
      <c r="V26" s="1" t="s">
        <v>152</v>
      </c>
      <c r="W26" s="6" t="s">
        <v>153</v>
      </c>
      <c r="X26" s="1" t="s">
        <v>154</v>
      </c>
      <c r="Y26" s="3"/>
      <c r="Z26" s="3"/>
      <c r="AA26" s="3"/>
      <c r="AB26" s="3"/>
      <c r="AC26" s="3"/>
      <c r="AD26" s="3"/>
      <c r="AE26" s="3"/>
      <c r="AF26" s="3"/>
      <c r="AG26" s="3"/>
      <c r="AH26" s="3">
        <v>3000000</v>
      </c>
      <c r="AI26" s="3">
        <v>3000000</v>
      </c>
      <c r="AJ26" s="3">
        <v>3000000</v>
      </c>
      <c r="AK26" s="3">
        <v>3000000</v>
      </c>
      <c r="AL26" s="3">
        <v>3000000</v>
      </c>
      <c r="AM26" s="3">
        <v>3000000</v>
      </c>
      <c r="AN26" s="3">
        <v>3000000</v>
      </c>
      <c r="AO26" s="3">
        <v>3000000</v>
      </c>
      <c r="AP26" s="3">
        <v>3000000</v>
      </c>
      <c r="AQ26" s="3"/>
      <c r="AR26" s="3"/>
      <c r="AS26" s="3"/>
      <c r="AT26" s="3"/>
      <c r="AU26" s="3"/>
      <c r="AV26" s="3"/>
      <c r="AW26" s="3">
        <f t="shared" si="1"/>
        <v>9000000</v>
      </c>
      <c r="AX26" s="3">
        <f t="shared" si="2"/>
        <v>18000000</v>
      </c>
      <c r="AY26" s="4">
        <f t="shared" si="3"/>
        <v>9</v>
      </c>
      <c r="AZ26" s="8" t="s">
        <v>5487</v>
      </c>
      <c r="BA26" s="4" t="s">
        <v>5726</v>
      </c>
      <c r="BB26" s="2"/>
      <c r="BC26" s="3"/>
      <c r="BD26" s="3"/>
    </row>
    <row r="27" spans="1:56" ht="16.8" customHeight="1">
      <c r="A27" s="1">
        <v>26</v>
      </c>
      <c r="B27" s="1" t="s">
        <v>42</v>
      </c>
      <c r="C27" s="1" t="s">
        <v>47</v>
      </c>
      <c r="D27" s="1" t="s">
        <v>155</v>
      </c>
      <c r="E27" s="1" t="s">
        <v>155</v>
      </c>
      <c r="F27" s="1" t="s">
        <v>156</v>
      </c>
      <c r="G27" s="1" t="s">
        <v>157</v>
      </c>
      <c r="H27" s="1" t="s">
        <v>4754</v>
      </c>
      <c r="I27" s="18">
        <v>45931</v>
      </c>
      <c r="J27" s="18">
        <v>45931</v>
      </c>
      <c r="K27" s="18" t="s">
        <v>4755</v>
      </c>
      <c r="L27" s="18" t="s">
        <v>4734</v>
      </c>
      <c r="M27" s="2">
        <v>8200000</v>
      </c>
      <c r="N27" s="2">
        <v>8200000</v>
      </c>
      <c r="O27" s="2"/>
      <c r="P27" s="2" t="str">
        <f t="shared" si="0"/>
        <v/>
      </c>
      <c r="Q27" s="2"/>
      <c r="R27" s="2"/>
      <c r="S27" s="48"/>
      <c r="T27" s="2">
        <v>27885000</v>
      </c>
      <c r="U27" s="2">
        <v>0</v>
      </c>
      <c r="V27" s="1" t="s">
        <v>157</v>
      </c>
      <c r="W27" s="6" t="s">
        <v>158</v>
      </c>
      <c r="X27" s="1" t="s">
        <v>159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8200000</v>
      </c>
      <c r="AL27" s="3">
        <v>8200000</v>
      </c>
      <c r="AM27" s="3">
        <v>8200000</v>
      </c>
      <c r="AN27" s="3">
        <v>8200000</v>
      </c>
      <c r="AO27" s="3">
        <v>8200000</v>
      </c>
      <c r="AP27" s="3">
        <v>8200000</v>
      </c>
      <c r="AQ27" s="3"/>
      <c r="AR27" s="3"/>
      <c r="AS27" s="3"/>
      <c r="AT27" s="3"/>
      <c r="AU27" s="3"/>
      <c r="AV27" s="3"/>
      <c r="AW27" s="3">
        <f t="shared" si="1"/>
        <v>0</v>
      </c>
      <c r="AX27" s="3">
        <f t="shared" si="2"/>
        <v>49200000</v>
      </c>
      <c r="AY27" s="4">
        <f t="shared" si="3"/>
        <v>6</v>
      </c>
      <c r="AZ27" s="8" t="s">
        <v>5488</v>
      </c>
      <c r="BA27" s="4" t="s">
        <v>5727</v>
      </c>
      <c r="BB27" s="2"/>
      <c r="BC27" s="3"/>
      <c r="BD27" s="3"/>
    </row>
    <row r="28" spans="1:56" ht="16.8" customHeight="1">
      <c r="A28" s="1">
        <v>27</v>
      </c>
      <c r="B28" s="1" t="s">
        <v>42</v>
      </c>
      <c r="C28" s="1" t="s">
        <v>47</v>
      </c>
      <c r="D28" s="1" t="s">
        <v>160</v>
      </c>
      <c r="E28" s="1" t="s">
        <v>160</v>
      </c>
      <c r="F28" s="1" t="s">
        <v>161</v>
      </c>
      <c r="G28" s="1" t="s">
        <v>162</v>
      </c>
      <c r="H28" s="1" t="s">
        <v>4756</v>
      </c>
      <c r="I28" s="18">
        <v>46752</v>
      </c>
      <c r="J28" s="18">
        <v>15</v>
      </c>
      <c r="K28" s="18">
        <v>1500000</v>
      </c>
      <c r="L28" s="18"/>
      <c r="M28" s="2">
        <v>1500000</v>
      </c>
      <c r="N28" s="2">
        <v>1500000</v>
      </c>
      <c r="O28" s="2"/>
      <c r="P28" s="2" t="str">
        <f t="shared" si="0"/>
        <v/>
      </c>
      <c r="Q28" s="2"/>
      <c r="R28" s="2"/>
      <c r="S28" s="48"/>
      <c r="T28" s="2">
        <v>4500000</v>
      </c>
      <c r="U28" s="2">
        <v>0</v>
      </c>
      <c r="V28" s="1" t="s">
        <v>162</v>
      </c>
      <c r="W28" s="6" t="s">
        <v>163</v>
      </c>
      <c r="X28" s="1" t="s">
        <v>164</v>
      </c>
      <c r="Y28" s="3"/>
      <c r="Z28" s="3"/>
      <c r="AA28" s="3"/>
      <c r="AB28" s="3"/>
      <c r="AC28" s="3"/>
      <c r="AD28" s="3"/>
      <c r="AE28" s="3"/>
      <c r="AF28" s="3"/>
      <c r="AG28" s="3"/>
      <c r="AH28" s="3">
        <v>1500000</v>
      </c>
      <c r="AI28" s="3">
        <v>1500000</v>
      </c>
      <c r="AJ28" s="3">
        <v>1500000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f t="shared" si="1"/>
        <v>4500000</v>
      </c>
      <c r="AX28" s="3">
        <f t="shared" si="2"/>
        <v>0</v>
      </c>
      <c r="AY28" s="4">
        <f t="shared" si="3"/>
        <v>3</v>
      </c>
      <c r="BA28" s="4" t="s">
        <v>5726</v>
      </c>
      <c r="BB28" s="2"/>
      <c r="BC28" s="3"/>
      <c r="BD28" s="4"/>
    </row>
    <row r="29" spans="1:56" ht="16.8" customHeight="1">
      <c r="A29" s="1">
        <v>28</v>
      </c>
      <c r="B29" s="1" t="s">
        <v>42</v>
      </c>
      <c r="C29" s="1" t="s">
        <v>47</v>
      </c>
      <c r="D29" s="1" t="s">
        <v>165</v>
      </c>
      <c r="E29" s="1" t="s">
        <v>165</v>
      </c>
      <c r="F29" s="1" t="s">
        <v>166</v>
      </c>
      <c r="G29" s="1" t="s">
        <v>167</v>
      </c>
      <c r="H29" s="1" t="s">
        <v>4757</v>
      </c>
      <c r="I29" s="18">
        <v>45931</v>
      </c>
      <c r="J29" s="18">
        <v>45931</v>
      </c>
      <c r="K29" s="18" t="s">
        <v>4742</v>
      </c>
      <c r="L29" s="18" t="s">
        <v>4734</v>
      </c>
      <c r="M29" s="2">
        <v>1600000</v>
      </c>
      <c r="N29" s="2">
        <v>1600000</v>
      </c>
      <c r="O29" s="2"/>
      <c r="P29" s="2" t="str">
        <f t="shared" si="0"/>
        <v/>
      </c>
      <c r="Q29" s="2"/>
      <c r="R29" s="2"/>
      <c r="S29" s="48"/>
      <c r="T29" s="2">
        <v>4800000</v>
      </c>
      <c r="U29" s="2">
        <v>0</v>
      </c>
      <c r="V29" s="1" t="s">
        <v>168</v>
      </c>
      <c r="W29" s="6" t="s">
        <v>169</v>
      </c>
      <c r="X29" s="1" t="s">
        <v>170</v>
      </c>
      <c r="Y29" s="3"/>
      <c r="Z29" s="3"/>
      <c r="AA29" s="3"/>
      <c r="AB29" s="3"/>
      <c r="AC29" s="3"/>
      <c r="AD29" s="3"/>
      <c r="AE29" s="3"/>
      <c r="AF29" s="3"/>
      <c r="AG29" s="3"/>
      <c r="AH29" s="3">
        <v>1600000</v>
      </c>
      <c r="AI29" s="3">
        <v>1600000</v>
      </c>
      <c r="AJ29" s="3">
        <v>1600000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f t="shared" si="1"/>
        <v>4800000</v>
      </c>
      <c r="AX29" s="3">
        <f t="shared" si="2"/>
        <v>0</v>
      </c>
      <c r="AY29" s="4">
        <f t="shared" si="3"/>
        <v>3</v>
      </c>
      <c r="AZ29" s="8" t="s">
        <v>5489</v>
      </c>
      <c r="BA29" s="4" t="s">
        <v>5726</v>
      </c>
      <c r="BB29" s="2"/>
      <c r="BC29" s="3"/>
      <c r="BD29" s="4"/>
    </row>
    <row r="30" spans="1:56" ht="16.8" customHeight="1">
      <c r="A30" s="1">
        <v>29</v>
      </c>
      <c r="B30" s="1" t="s">
        <v>42</v>
      </c>
      <c r="C30" s="1" t="s">
        <v>47</v>
      </c>
      <c r="D30" s="1" t="s">
        <v>171</v>
      </c>
      <c r="E30" s="1" t="s">
        <v>171</v>
      </c>
      <c r="F30" s="1" t="s">
        <v>172</v>
      </c>
      <c r="G30" s="1" t="s">
        <v>173</v>
      </c>
      <c r="H30" s="1" t="s">
        <v>4758</v>
      </c>
      <c r="I30" s="18">
        <v>45931</v>
      </c>
      <c r="J30" s="18">
        <v>45931</v>
      </c>
      <c r="K30" s="18" t="s">
        <v>4742</v>
      </c>
      <c r="L30" s="18" t="s">
        <v>4734</v>
      </c>
      <c r="M30" s="2">
        <v>1800000</v>
      </c>
      <c r="N30" s="2">
        <v>1800000</v>
      </c>
      <c r="O30" s="2"/>
      <c r="P30" s="2" t="str">
        <f t="shared" si="0"/>
        <v/>
      </c>
      <c r="Q30" s="2"/>
      <c r="R30" s="2"/>
      <c r="S30" s="48"/>
      <c r="T30" s="2">
        <v>5400000</v>
      </c>
      <c r="U30" s="2">
        <v>0</v>
      </c>
      <c r="V30" s="1" t="s">
        <v>168</v>
      </c>
      <c r="W30" s="6" t="s">
        <v>169</v>
      </c>
      <c r="X30" s="1" t="s">
        <v>170</v>
      </c>
      <c r="Y30" s="3"/>
      <c r="Z30" s="3"/>
      <c r="AA30" s="3"/>
      <c r="AB30" s="3"/>
      <c r="AC30" s="3"/>
      <c r="AD30" s="3"/>
      <c r="AE30" s="3"/>
      <c r="AF30" s="3"/>
      <c r="AG30" s="3"/>
      <c r="AH30" s="3">
        <v>1800000</v>
      </c>
      <c r="AI30" s="3">
        <v>1800000</v>
      </c>
      <c r="AJ30" s="3">
        <v>1800000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f t="shared" si="1"/>
        <v>5400000</v>
      </c>
      <c r="AX30" s="3">
        <f t="shared" si="2"/>
        <v>0</v>
      </c>
      <c r="AY30" s="4">
        <f t="shared" si="3"/>
        <v>3</v>
      </c>
      <c r="AZ30" s="8" t="s">
        <v>5490</v>
      </c>
      <c r="BA30" s="4" t="s">
        <v>5726</v>
      </c>
      <c r="BB30" s="2"/>
      <c r="BC30" s="3"/>
      <c r="BD30" s="4"/>
    </row>
    <row r="31" spans="1:56" ht="16.8" customHeight="1">
      <c r="A31" s="1">
        <v>30</v>
      </c>
      <c r="B31" s="1" t="s">
        <v>42</v>
      </c>
      <c r="C31" s="1" t="s">
        <v>47</v>
      </c>
      <c r="D31" s="1" t="s">
        <v>174</v>
      </c>
      <c r="E31" s="1" t="s">
        <v>174</v>
      </c>
      <c r="F31" s="1" t="s">
        <v>175</v>
      </c>
      <c r="G31" s="1" t="s">
        <v>176</v>
      </c>
      <c r="H31" s="1" t="s">
        <v>4759</v>
      </c>
      <c r="I31" s="18">
        <v>45931</v>
      </c>
      <c r="J31" s="18">
        <v>45931</v>
      </c>
      <c r="K31" s="18" t="s">
        <v>4742</v>
      </c>
      <c r="L31" s="18" t="s">
        <v>4734</v>
      </c>
      <c r="M31" s="2">
        <v>1800000</v>
      </c>
      <c r="N31" s="2">
        <v>1800000</v>
      </c>
      <c r="O31" s="2"/>
      <c r="P31" s="2" t="str">
        <f t="shared" si="0"/>
        <v/>
      </c>
      <c r="Q31" s="2"/>
      <c r="R31" s="2"/>
      <c r="S31" s="48"/>
      <c r="T31" s="2">
        <v>5400000</v>
      </c>
      <c r="U31" s="2">
        <v>0</v>
      </c>
      <c r="V31" s="1" t="s">
        <v>168</v>
      </c>
      <c r="W31" s="6" t="s">
        <v>169</v>
      </c>
      <c r="X31" s="1" t="s">
        <v>170</v>
      </c>
      <c r="Y31" s="3"/>
      <c r="Z31" s="3"/>
      <c r="AA31" s="3"/>
      <c r="AB31" s="3"/>
      <c r="AC31" s="3"/>
      <c r="AD31" s="3"/>
      <c r="AE31" s="3"/>
      <c r="AF31" s="3"/>
      <c r="AG31" s="3"/>
      <c r="AH31" s="3">
        <v>1800000</v>
      </c>
      <c r="AI31" s="3">
        <v>1800000</v>
      </c>
      <c r="AJ31" s="3">
        <v>1800000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f t="shared" si="1"/>
        <v>5400000</v>
      </c>
      <c r="AX31" s="3">
        <f t="shared" si="2"/>
        <v>0</v>
      </c>
      <c r="AY31" s="4">
        <f t="shared" si="3"/>
        <v>3</v>
      </c>
      <c r="AZ31" s="8" t="s">
        <v>5491</v>
      </c>
      <c r="BA31" s="4" t="s">
        <v>5726</v>
      </c>
      <c r="BB31" s="2"/>
      <c r="BC31" s="3"/>
      <c r="BD31" s="4"/>
    </row>
    <row r="32" spans="1:56" ht="16.8" customHeight="1">
      <c r="A32" s="1">
        <v>31</v>
      </c>
      <c r="B32" s="1" t="s">
        <v>42</v>
      </c>
      <c r="C32" s="1" t="s">
        <v>47</v>
      </c>
      <c r="D32" s="1" t="s">
        <v>177</v>
      </c>
      <c r="E32" s="1" t="s">
        <v>177</v>
      </c>
      <c r="F32" s="1" t="s">
        <v>178</v>
      </c>
      <c r="G32" s="1" t="s">
        <v>179</v>
      </c>
      <c r="H32" s="1" t="s">
        <v>4482</v>
      </c>
      <c r="I32" s="18">
        <v>45931</v>
      </c>
      <c r="J32" s="18">
        <v>45931</v>
      </c>
      <c r="K32" s="18" t="s">
        <v>4753</v>
      </c>
      <c r="L32" s="18" t="s">
        <v>4734</v>
      </c>
      <c r="M32" s="2">
        <v>2000000</v>
      </c>
      <c r="N32" s="2">
        <v>2000000</v>
      </c>
      <c r="O32" s="2"/>
      <c r="P32" s="2" t="str">
        <f t="shared" si="0"/>
        <v/>
      </c>
      <c r="Q32" s="2"/>
      <c r="R32" s="2"/>
      <c r="S32" s="48"/>
      <c r="T32" s="2">
        <v>6000000</v>
      </c>
      <c r="U32" s="2">
        <v>0</v>
      </c>
      <c r="V32" s="1" t="s">
        <v>180</v>
      </c>
      <c r="W32" s="6" t="s">
        <v>181</v>
      </c>
      <c r="X32" s="1" t="s">
        <v>106</v>
      </c>
      <c r="Y32" s="3"/>
      <c r="Z32" s="3"/>
      <c r="AA32" s="3"/>
      <c r="AB32" s="3"/>
      <c r="AC32" s="3"/>
      <c r="AD32" s="3"/>
      <c r="AE32" s="3"/>
      <c r="AF32" s="3"/>
      <c r="AG32" s="3"/>
      <c r="AH32" s="3">
        <v>2000000</v>
      </c>
      <c r="AI32" s="3">
        <v>2000000</v>
      </c>
      <c r="AJ32" s="3">
        <v>2000000</v>
      </c>
      <c r="AK32" s="3">
        <v>2000000</v>
      </c>
      <c r="AL32" s="3">
        <v>2000000</v>
      </c>
      <c r="AM32" s="3">
        <v>2000000</v>
      </c>
      <c r="AN32" s="3">
        <v>2000000</v>
      </c>
      <c r="AO32" s="3">
        <v>2000000</v>
      </c>
      <c r="AP32" s="3">
        <v>2000000</v>
      </c>
      <c r="AQ32" s="3"/>
      <c r="AR32" s="3"/>
      <c r="AS32" s="3"/>
      <c r="AT32" s="3"/>
      <c r="AU32" s="3"/>
      <c r="AV32" s="3"/>
      <c r="AW32" s="3">
        <f t="shared" si="1"/>
        <v>6000000</v>
      </c>
      <c r="AX32" s="3">
        <f t="shared" si="2"/>
        <v>12000000</v>
      </c>
      <c r="AY32" s="4">
        <f t="shared" si="3"/>
        <v>9</v>
      </c>
      <c r="AZ32" s="8">
        <v>0</v>
      </c>
      <c r="BA32" s="4" t="s">
        <v>5726</v>
      </c>
      <c r="BB32" s="2"/>
      <c r="BC32" s="3"/>
      <c r="BD32" s="3"/>
    </row>
    <row r="33" spans="1:56" ht="16.8" customHeight="1">
      <c r="A33" s="1">
        <v>32</v>
      </c>
      <c r="B33" s="1" t="s">
        <v>42</v>
      </c>
      <c r="C33" s="1" t="s">
        <v>47</v>
      </c>
      <c r="D33" s="1" t="s">
        <v>182</v>
      </c>
      <c r="E33" s="1" t="s">
        <v>182</v>
      </c>
      <c r="F33" s="1" t="s">
        <v>183</v>
      </c>
      <c r="G33" s="1" t="s">
        <v>184</v>
      </c>
      <c r="H33" s="1" t="s">
        <v>4760</v>
      </c>
      <c r="I33" s="18">
        <v>46752</v>
      </c>
      <c r="J33" s="18">
        <v>15</v>
      </c>
      <c r="K33" s="18">
        <v>1000000</v>
      </c>
      <c r="L33" s="18"/>
      <c r="M33" s="2">
        <v>1000000</v>
      </c>
      <c r="N33" s="2">
        <v>1000000</v>
      </c>
      <c r="O33" s="2"/>
      <c r="P33" s="2" t="str">
        <f t="shared" si="0"/>
        <v/>
      </c>
      <c r="Q33" s="2"/>
      <c r="R33" s="2"/>
      <c r="S33" s="48"/>
      <c r="T33" s="2">
        <v>0</v>
      </c>
      <c r="U33" s="2">
        <v>3000000</v>
      </c>
      <c r="V33" s="1"/>
      <c r="W33" s="6"/>
      <c r="X33" s="1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f t="shared" si="1"/>
        <v>0</v>
      </c>
      <c r="AX33" s="3">
        <f t="shared" si="2"/>
        <v>0</v>
      </c>
      <c r="AY33" s="4">
        <f t="shared" si="3"/>
        <v>0</v>
      </c>
      <c r="BA33" s="4" t="s">
        <v>5726</v>
      </c>
      <c r="BB33" s="2"/>
      <c r="BC33" s="3"/>
      <c r="BD33" s="4"/>
    </row>
    <row r="34" spans="1:56" ht="16.8" customHeight="1">
      <c r="A34" s="1">
        <v>33</v>
      </c>
      <c r="B34" s="1" t="s">
        <v>42</v>
      </c>
      <c r="C34" s="1" t="s">
        <v>185</v>
      </c>
      <c r="D34" s="1" t="s">
        <v>186</v>
      </c>
      <c r="E34" s="1" t="s">
        <v>186</v>
      </c>
      <c r="F34" s="1" t="s">
        <v>187</v>
      </c>
      <c r="G34" s="1" t="s">
        <v>188</v>
      </c>
      <c r="H34" s="1" t="s">
        <v>4483</v>
      </c>
      <c r="I34" s="18">
        <v>45931</v>
      </c>
      <c r="J34" s="18">
        <v>45931</v>
      </c>
      <c r="K34" s="18" t="s">
        <v>4742</v>
      </c>
      <c r="L34" s="18"/>
      <c r="M34" s="2">
        <v>2500000</v>
      </c>
      <c r="N34" s="2">
        <v>3000000</v>
      </c>
      <c r="O34" s="2">
        <v>3000000</v>
      </c>
      <c r="P34" s="2">
        <f t="shared" si="0"/>
        <v>500000</v>
      </c>
      <c r="Q34" s="2"/>
      <c r="R34" s="2"/>
      <c r="S34" s="48"/>
      <c r="T34" s="2">
        <v>7500000</v>
      </c>
      <c r="U34" s="2">
        <v>0</v>
      </c>
      <c r="V34" s="1" t="s">
        <v>189</v>
      </c>
      <c r="W34" s="6" t="s">
        <v>190</v>
      </c>
      <c r="X34" s="1" t="s">
        <v>191</v>
      </c>
      <c r="Y34" s="3"/>
      <c r="Z34" s="3"/>
      <c r="AA34" s="3"/>
      <c r="AB34" s="3"/>
      <c r="AC34" s="3"/>
      <c r="AD34" s="3"/>
      <c r="AE34" s="3"/>
      <c r="AF34" s="3"/>
      <c r="AG34" s="3"/>
      <c r="AH34" s="3">
        <v>2500000</v>
      </c>
      <c r="AI34" s="3">
        <v>2500000</v>
      </c>
      <c r="AJ34" s="3">
        <v>2500000</v>
      </c>
      <c r="AK34" s="3">
        <v>2500000</v>
      </c>
      <c r="AL34" s="3">
        <v>2500000</v>
      </c>
      <c r="AM34" s="3">
        <v>2500000</v>
      </c>
      <c r="AN34" s="3">
        <v>2500000</v>
      </c>
      <c r="AO34" s="3">
        <v>2500000</v>
      </c>
      <c r="AP34" s="3">
        <v>2500000</v>
      </c>
      <c r="AQ34" s="3"/>
      <c r="AR34" s="3"/>
      <c r="AS34" s="3"/>
      <c r="AT34" s="3"/>
      <c r="AU34" s="3"/>
      <c r="AV34" s="3"/>
      <c r="AW34" s="3">
        <f t="shared" si="1"/>
        <v>7500000</v>
      </c>
      <c r="AX34" s="3">
        <f t="shared" si="2"/>
        <v>15000000</v>
      </c>
      <c r="AY34" s="4">
        <f t="shared" si="3"/>
        <v>9</v>
      </c>
      <c r="BA34" s="4" t="s">
        <v>5715</v>
      </c>
      <c r="BB34" s="2"/>
      <c r="BC34" s="3"/>
      <c r="BD34" s="3"/>
    </row>
    <row r="35" spans="1:56" ht="16.8" customHeight="1">
      <c r="A35" s="1">
        <v>34</v>
      </c>
      <c r="B35" s="1" t="s">
        <v>42</v>
      </c>
      <c r="C35" s="1" t="s">
        <v>47</v>
      </c>
      <c r="D35" s="1" t="s">
        <v>192</v>
      </c>
      <c r="E35" s="1" t="s">
        <v>192</v>
      </c>
      <c r="F35" s="1" t="s">
        <v>193</v>
      </c>
      <c r="G35" s="1" t="s">
        <v>58</v>
      </c>
      <c r="H35" s="1" t="s">
        <v>4732</v>
      </c>
      <c r="I35" s="18">
        <v>45940</v>
      </c>
      <c r="J35" s="18">
        <v>45931</v>
      </c>
      <c r="K35" s="18" t="s">
        <v>4733</v>
      </c>
      <c r="L35" s="18" t="s">
        <v>4734</v>
      </c>
      <c r="M35" s="2">
        <v>8200000</v>
      </c>
      <c r="N35" s="2">
        <v>8200000</v>
      </c>
      <c r="O35" s="2"/>
      <c r="P35" s="2" t="str">
        <f t="shared" si="0"/>
        <v/>
      </c>
      <c r="Q35" s="2"/>
      <c r="R35" s="2"/>
      <c r="S35" s="48"/>
      <c r="T35" s="2">
        <v>27060000</v>
      </c>
      <c r="U35" s="2">
        <v>0</v>
      </c>
      <c r="V35" s="1" t="s">
        <v>58</v>
      </c>
      <c r="W35" s="6" t="s">
        <v>59</v>
      </c>
      <c r="X35" s="1" t="s">
        <v>60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v>8200000</v>
      </c>
      <c r="AL35" s="3">
        <v>8200000</v>
      </c>
      <c r="AM35" s="3">
        <v>8200000</v>
      </c>
      <c r="AN35" s="3">
        <v>8200000</v>
      </c>
      <c r="AO35" s="3">
        <v>8200000</v>
      </c>
      <c r="AP35" s="3">
        <v>8200000</v>
      </c>
      <c r="AQ35" s="3"/>
      <c r="AR35" s="3"/>
      <c r="AS35" s="3"/>
      <c r="AT35" s="3"/>
      <c r="AU35" s="3"/>
      <c r="AV35" s="3"/>
      <c r="AW35" s="3">
        <f t="shared" si="1"/>
        <v>0</v>
      </c>
      <c r="AX35" s="3">
        <f t="shared" si="2"/>
        <v>49200000</v>
      </c>
      <c r="AY35" s="4">
        <f t="shared" si="3"/>
        <v>6</v>
      </c>
      <c r="AZ35" s="8" t="s">
        <v>5483</v>
      </c>
      <c r="BA35" s="4" t="s">
        <v>5727</v>
      </c>
      <c r="BB35" s="2"/>
      <c r="BC35" s="3"/>
      <c r="BD35" s="3"/>
    </row>
    <row r="36" spans="1:56" ht="16.8" customHeight="1">
      <c r="A36" s="1">
        <v>35</v>
      </c>
      <c r="B36" s="1" t="s">
        <v>42</v>
      </c>
      <c r="C36" s="1" t="s">
        <v>47</v>
      </c>
      <c r="D36" s="1" t="s">
        <v>194</v>
      </c>
      <c r="E36" s="1" t="s">
        <v>194</v>
      </c>
      <c r="F36" s="1" t="s">
        <v>195</v>
      </c>
      <c r="G36" s="1" t="s">
        <v>196</v>
      </c>
      <c r="H36" s="1" t="s">
        <v>4761</v>
      </c>
      <c r="I36" s="18">
        <v>46387</v>
      </c>
      <c r="J36" s="18">
        <v>10</v>
      </c>
      <c r="K36" s="18">
        <v>1200000</v>
      </c>
      <c r="L36" s="18"/>
      <c r="M36" s="2">
        <v>1200000</v>
      </c>
      <c r="N36" s="2">
        <v>1200000</v>
      </c>
      <c r="O36" s="2"/>
      <c r="P36" s="2" t="str">
        <f t="shared" si="0"/>
        <v/>
      </c>
      <c r="Q36" s="2"/>
      <c r="R36" s="2"/>
      <c r="S36" s="48"/>
      <c r="T36" s="2">
        <v>0</v>
      </c>
      <c r="U36" s="2">
        <v>3600000</v>
      </c>
      <c r="V36" s="1"/>
      <c r="W36" s="6"/>
      <c r="X36" s="1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f t="shared" si="1"/>
        <v>0</v>
      </c>
      <c r="AX36" s="3">
        <f t="shared" si="2"/>
        <v>0</v>
      </c>
      <c r="AY36" s="4">
        <f t="shared" si="3"/>
        <v>0</v>
      </c>
      <c r="BA36" s="4" t="s">
        <v>5726</v>
      </c>
      <c r="BB36" s="2"/>
      <c r="BC36" s="3"/>
      <c r="BD36" s="4"/>
    </row>
    <row r="37" spans="1:56" ht="16.8" customHeight="1">
      <c r="A37" s="1">
        <v>36</v>
      </c>
      <c r="B37" s="1" t="s">
        <v>42</v>
      </c>
      <c r="C37" s="1" t="s">
        <v>47</v>
      </c>
      <c r="D37" s="1" t="s">
        <v>197</v>
      </c>
      <c r="E37" s="1" t="s">
        <v>197</v>
      </c>
      <c r="F37" s="1" t="s">
        <v>198</v>
      </c>
      <c r="G37" s="1" t="s">
        <v>63</v>
      </c>
      <c r="H37" s="1" t="s">
        <v>4735</v>
      </c>
      <c r="I37" s="18">
        <v>45945</v>
      </c>
      <c r="J37" s="18">
        <v>45931</v>
      </c>
      <c r="K37" s="18" t="s">
        <v>4733</v>
      </c>
      <c r="L37" s="18" t="s">
        <v>4734</v>
      </c>
      <c r="M37" s="2">
        <v>5436364</v>
      </c>
      <c r="N37" s="2">
        <v>5436364</v>
      </c>
      <c r="O37" s="2"/>
      <c r="P37" s="2" t="str">
        <f t="shared" si="0"/>
        <v/>
      </c>
      <c r="Q37" s="2"/>
      <c r="R37" s="2"/>
      <c r="S37" s="48"/>
      <c r="T37" s="2">
        <v>17940001</v>
      </c>
      <c r="U37" s="2">
        <v>0</v>
      </c>
      <c r="V37" s="1" t="s">
        <v>63</v>
      </c>
      <c r="W37" s="6" t="s">
        <v>64</v>
      </c>
      <c r="X37" s="1" t="s">
        <v>65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v>5436364</v>
      </c>
      <c r="AL37" s="3">
        <v>5436364</v>
      </c>
      <c r="AM37" s="3">
        <v>5436364</v>
      </c>
      <c r="AN37" s="3">
        <v>5436364</v>
      </c>
      <c r="AO37" s="3">
        <v>5436364</v>
      </c>
      <c r="AP37" s="3">
        <v>5436364</v>
      </c>
      <c r="AQ37" s="3"/>
      <c r="AR37" s="3"/>
      <c r="AS37" s="3"/>
      <c r="AT37" s="3"/>
      <c r="AU37" s="3"/>
      <c r="AV37" s="3"/>
      <c r="AW37" s="3">
        <f t="shared" si="1"/>
        <v>0</v>
      </c>
      <c r="AX37" s="3">
        <f t="shared" si="2"/>
        <v>32618184</v>
      </c>
      <c r="AY37" s="4">
        <f t="shared" si="3"/>
        <v>6</v>
      </c>
      <c r="AZ37" s="8" t="s">
        <v>5484</v>
      </c>
      <c r="BA37" s="4" t="s">
        <v>5727</v>
      </c>
      <c r="BB37" s="2"/>
      <c r="BC37" s="3"/>
      <c r="BD37" s="3"/>
    </row>
    <row r="38" spans="1:56" ht="16.8" customHeight="1">
      <c r="A38" s="1">
        <v>37</v>
      </c>
      <c r="B38" s="1" t="s">
        <v>42</v>
      </c>
      <c r="C38" s="1" t="s">
        <v>47</v>
      </c>
      <c r="D38" s="1" t="s">
        <v>199</v>
      </c>
      <c r="E38" s="1" t="s">
        <v>199</v>
      </c>
      <c r="F38" s="1" t="s">
        <v>200</v>
      </c>
      <c r="G38" s="1" t="s">
        <v>201</v>
      </c>
      <c r="H38" s="1" t="s">
        <v>4762</v>
      </c>
      <c r="I38" s="18">
        <v>46560</v>
      </c>
      <c r="J38" s="18">
        <v>10</v>
      </c>
      <c r="K38" s="18">
        <v>1200000</v>
      </c>
      <c r="L38" s="18"/>
      <c r="M38" s="2">
        <v>1200000</v>
      </c>
      <c r="N38" s="2">
        <v>1200000</v>
      </c>
      <c r="O38" s="2"/>
      <c r="P38" s="2" t="str">
        <f t="shared" si="0"/>
        <v/>
      </c>
      <c r="Q38" s="2"/>
      <c r="R38" s="2"/>
      <c r="S38" s="48"/>
      <c r="T38" s="2">
        <v>0</v>
      </c>
      <c r="U38" s="2">
        <v>3600000</v>
      </c>
      <c r="V38" s="1"/>
      <c r="W38" s="6"/>
      <c r="X38" s="1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f t="shared" si="1"/>
        <v>0</v>
      </c>
      <c r="AX38" s="3">
        <f t="shared" si="2"/>
        <v>0</v>
      </c>
      <c r="AY38" s="4">
        <f t="shared" si="3"/>
        <v>0</v>
      </c>
      <c r="BA38" s="4" t="s">
        <v>5726</v>
      </c>
      <c r="BB38" s="2"/>
      <c r="BC38" s="3"/>
      <c r="BD38" s="4"/>
    </row>
    <row r="39" spans="1:56" ht="16.8" customHeight="1">
      <c r="A39" s="1">
        <v>38</v>
      </c>
      <c r="B39" s="1" t="s">
        <v>42</v>
      </c>
      <c r="C39" s="1" t="s">
        <v>47</v>
      </c>
      <c r="D39" s="1" t="s">
        <v>202</v>
      </c>
      <c r="E39" s="1" t="s">
        <v>202</v>
      </c>
      <c r="F39" s="1" t="s">
        <v>203</v>
      </c>
      <c r="G39" s="1" t="s">
        <v>204</v>
      </c>
      <c r="H39" s="1" t="s">
        <v>4763</v>
      </c>
      <c r="I39" s="18">
        <v>46901</v>
      </c>
      <c r="J39" s="18">
        <v>10</v>
      </c>
      <c r="K39" s="18">
        <v>1200000</v>
      </c>
      <c r="L39" s="18"/>
      <c r="M39" s="2">
        <v>1200000</v>
      </c>
      <c r="N39" s="2">
        <v>1200000</v>
      </c>
      <c r="O39" s="2"/>
      <c r="P39" s="2" t="str">
        <f t="shared" si="0"/>
        <v/>
      </c>
      <c r="Q39" s="2"/>
      <c r="R39" s="2"/>
      <c r="S39" s="48"/>
      <c r="T39" s="2">
        <v>0</v>
      </c>
      <c r="U39" s="2">
        <v>3600000</v>
      </c>
      <c r="V39" s="1"/>
      <c r="W39" s="6"/>
      <c r="X39" s="1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f t="shared" si="1"/>
        <v>0</v>
      </c>
      <c r="AX39" s="3">
        <f t="shared" si="2"/>
        <v>0</v>
      </c>
      <c r="AY39" s="4">
        <f t="shared" si="3"/>
        <v>0</v>
      </c>
      <c r="BA39" s="4" t="s">
        <v>5726</v>
      </c>
      <c r="BB39" s="2"/>
      <c r="BC39" s="3"/>
      <c r="BD39" s="4"/>
    </row>
    <row r="40" spans="1:56" ht="16.8" customHeight="1">
      <c r="A40" s="1">
        <v>39</v>
      </c>
      <c r="B40" s="1" t="s">
        <v>42</v>
      </c>
      <c r="C40" s="1" t="s">
        <v>47</v>
      </c>
      <c r="D40" s="1" t="s">
        <v>205</v>
      </c>
      <c r="E40" s="1" t="s">
        <v>205</v>
      </c>
      <c r="F40" s="1" t="s">
        <v>206</v>
      </c>
      <c r="G40" s="1" t="s">
        <v>207</v>
      </c>
      <c r="H40" s="1" t="s">
        <v>4764</v>
      </c>
      <c r="I40" s="18">
        <v>45931</v>
      </c>
      <c r="J40" s="18">
        <v>45931</v>
      </c>
      <c r="K40" s="18" t="s">
        <v>4752</v>
      </c>
      <c r="L40" s="18" t="s">
        <v>4734</v>
      </c>
      <c r="M40" s="2">
        <v>7600000</v>
      </c>
      <c r="N40" s="2">
        <v>7600000</v>
      </c>
      <c r="O40" s="2"/>
      <c r="P40" s="2" t="str">
        <f t="shared" si="0"/>
        <v/>
      </c>
      <c r="Q40" s="2"/>
      <c r="R40" s="2"/>
      <c r="S40" s="48"/>
      <c r="T40" s="2">
        <v>25080000</v>
      </c>
      <c r="U40" s="2">
        <v>0</v>
      </c>
      <c r="V40" s="1" t="s">
        <v>208</v>
      </c>
      <c r="W40" s="6" t="s">
        <v>209</v>
      </c>
      <c r="X40" s="1" t="s">
        <v>210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v>7600000</v>
      </c>
      <c r="AL40" s="3">
        <v>7600000</v>
      </c>
      <c r="AM40" s="3">
        <v>7600000</v>
      </c>
      <c r="AN40" s="3">
        <v>7600000</v>
      </c>
      <c r="AO40" s="3">
        <v>7600000</v>
      </c>
      <c r="AP40" s="3">
        <v>7600000</v>
      </c>
      <c r="AQ40" s="3"/>
      <c r="AR40" s="3"/>
      <c r="AS40" s="3"/>
      <c r="AT40" s="3"/>
      <c r="AU40" s="3"/>
      <c r="AV40" s="3"/>
      <c r="AW40" s="3">
        <f t="shared" si="1"/>
        <v>0</v>
      </c>
      <c r="AX40" s="3">
        <f t="shared" si="2"/>
        <v>45600000</v>
      </c>
      <c r="AY40" s="4">
        <f t="shared" si="3"/>
        <v>6</v>
      </c>
      <c r="AZ40" s="8" t="s">
        <v>5484</v>
      </c>
      <c r="BA40" s="4" t="s">
        <v>5727</v>
      </c>
      <c r="BB40" s="2"/>
      <c r="BC40" s="3"/>
      <c r="BD40" s="3"/>
    </row>
    <row r="41" spans="1:56" ht="16.8" customHeight="1">
      <c r="A41" s="1">
        <v>40</v>
      </c>
      <c r="B41" s="1" t="s">
        <v>42</v>
      </c>
      <c r="C41" s="1" t="s">
        <v>185</v>
      </c>
      <c r="D41" s="1" t="s">
        <v>211</v>
      </c>
      <c r="E41" s="1" t="s">
        <v>211</v>
      </c>
      <c r="F41" s="1" t="s">
        <v>212</v>
      </c>
      <c r="G41" s="1" t="s">
        <v>58</v>
      </c>
      <c r="H41" s="1" t="s">
        <v>4732</v>
      </c>
      <c r="I41" s="18">
        <v>45940</v>
      </c>
      <c r="J41" s="18">
        <v>45931</v>
      </c>
      <c r="K41" s="18" t="s">
        <v>4733</v>
      </c>
      <c r="L41" s="18" t="s">
        <v>4734</v>
      </c>
      <c r="M41" s="2">
        <v>8200000</v>
      </c>
      <c r="N41" s="2">
        <v>8200000</v>
      </c>
      <c r="O41" s="2"/>
      <c r="P41" s="2" t="str">
        <f t="shared" si="0"/>
        <v/>
      </c>
      <c r="Q41" s="2"/>
      <c r="R41" s="2"/>
      <c r="S41" s="48"/>
      <c r="T41" s="2">
        <v>27060000</v>
      </c>
      <c r="U41" s="2">
        <v>0</v>
      </c>
      <c r="V41" s="1" t="s">
        <v>58</v>
      </c>
      <c r="W41" s="6" t="s">
        <v>59</v>
      </c>
      <c r="X41" s="1" t="s">
        <v>60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v>8200000</v>
      </c>
      <c r="AL41" s="3">
        <v>8200000</v>
      </c>
      <c r="AM41" s="3">
        <v>8200000</v>
      </c>
      <c r="AN41" s="3">
        <v>8200000</v>
      </c>
      <c r="AO41" s="3">
        <v>8200000</v>
      </c>
      <c r="AP41" s="3">
        <v>8200000</v>
      </c>
      <c r="AQ41" s="3"/>
      <c r="AR41" s="3"/>
      <c r="AS41" s="3"/>
      <c r="AT41" s="3"/>
      <c r="AU41" s="3"/>
      <c r="AV41" s="3"/>
      <c r="AW41" s="3">
        <f t="shared" si="1"/>
        <v>0</v>
      </c>
      <c r="AX41" s="3">
        <f t="shared" si="2"/>
        <v>49200000</v>
      </c>
      <c r="AY41" s="4">
        <f t="shared" si="3"/>
        <v>6</v>
      </c>
      <c r="AZ41" s="8" t="s">
        <v>5483</v>
      </c>
      <c r="BA41" s="4" t="s">
        <v>5727</v>
      </c>
      <c r="BB41" s="2"/>
      <c r="BC41" s="3"/>
      <c r="BD41" s="3"/>
    </row>
    <row r="42" spans="1:56" ht="16.8" customHeight="1">
      <c r="A42" s="1">
        <v>41</v>
      </c>
      <c r="B42" s="1" t="s">
        <v>42</v>
      </c>
      <c r="C42" s="1" t="s">
        <v>47</v>
      </c>
      <c r="D42" s="1" t="s">
        <v>213</v>
      </c>
      <c r="E42" s="1" t="s">
        <v>213</v>
      </c>
      <c r="F42" s="1" t="s">
        <v>214</v>
      </c>
      <c r="G42" s="1" t="s">
        <v>215</v>
      </c>
      <c r="H42" s="1" t="s">
        <v>4765</v>
      </c>
      <c r="I42" s="18">
        <v>46752</v>
      </c>
      <c r="J42" s="18">
        <v>10</v>
      </c>
      <c r="K42" s="18">
        <v>2500000</v>
      </c>
      <c r="L42" s="18"/>
      <c r="M42" s="2">
        <v>2500000</v>
      </c>
      <c r="N42" s="2">
        <v>2500000</v>
      </c>
      <c r="O42" s="2"/>
      <c r="P42" s="2" t="str">
        <f t="shared" si="0"/>
        <v/>
      </c>
      <c r="Q42" s="2"/>
      <c r="R42" s="2"/>
      <c r="S42" s="48"/>
      <c r="T42" s="2">
        <v>7500000</v>
      </c>
      <c r="U42" s="2">
        <v>0</v>
      </c>
      <c r="V42" s="1" t="s">
        <v>216</v>
      </c>
      <c r="W42" s="6" t="s">
        <v>217</v>
      </c>
      <c r="X42" s="1" t="s">
        <v>218</v>
      </c>
      <c r="Y42" s="3"/>
      <c r="Z42" s="3"/>
      <c r="AA42" s="3"/>
      <c r="AB42" s="3"/>
      <c r="AC42" s="3"/>
      <c r="AD42" s="3"/>
      <c r="AE42" s="3"/>
      <c r="AF42" s="3"/>
      <c r="AG42" s="3"/>
      <c r="AH42" s="3">
        <v>2500000</v>
      </c>
      <c r="AI42" s="3">
        <v>2500000</v>
      </c>
      <c r="AJ42" s="3">
        <v>2500000</v>
      </c>
      <c r="AK42" s="3">
        <v>2500000</v>
      </c>
      <c r="AL42" s="3">
        <v>2500000</v>
      </c>
      <c r="AM42" s="3">
        <v>2500000</v>
      </c>
      <c r="AN42" s="3">
        <v>2500000</v>
      </c>
      <c r="AO42" s="3">
        <v>2500000</v>
      </c>
      <c r="AP42" s="3">
        <v>2500000</v>
      </c>
      <c r="AQ42" s="3"/>
      <c r="AR42" s="3"/>
      <c r="AS42" s="3"/>
      <c r="AT42" s="3"/>
      <c r="AU42" s="3"/>
      <c r="AV42" s="3"/>
      <c r="AW42" s="3">
        <f t="shared" si="1"/>
        <v>7500000</v>
      </c>
      <c r="AX42" s="3">
        <f t="shared" si="2"/>
        <v>15000000</v>
      </c>
      <c r="AY42" s="4">
        <f t="shared" si="3"/>
        <v>9</v>
      </c>
      <c r="BA42" s="4" t="s">
        <v>5715</v>
      </c>
      <c r="BB42" s="2"/>
      <c r="BC42" s="3"/>
      <c r="BD42" s="3"/>
    </row>
    <row r="43" spans="1:56" ht="16.8" customHeight="1">
      <c r="A43" s="1">
        <v>42</v>
      </c>
      <c r="B43" s="1" t="s">
        <v>42</v>
      </c>
      <c r="C43" s="1" t="s">
        <v>47</v>
      </c>
      <c r="D43" s="1" t="s">
        <v>219</v>
      </c>
      <c r="E43" s="1" t="s">
        <v>219</v>
      </c>
      <c r="F43" s="1" t="s">
        <v>220</v>
      </c>
      <c r="G43" s="1" t="s">
        <v>221</v>
      </c>
      <c r="H43" s="1" t="s">
        <v>4484</v>
      </c>
      <c r="I43" s="18">
        <v>45931</v>
      </c>
      <c r="J43" s="18">
        <v>45931</v>
      </c>
      <c r="K43" s="18" t="s">
        <v>4753</v>
      </c>
      <c r="L43" s="18" t="s">
        <v>4734</v>
      </c>
      <c r="M43" s="2">
        <v>1500000</v>
      </c>
      <c r="N43" s="2">
        <v>1500000</v>
      </c>
      <c r="O43" s="2"/>
      <c r="P43" s="2" t="str">
        <f t="shared" si="0"/>
        <v/>
      </c>
      <c r="Q43" s="2"/>
      <c r="R43" s="2"/>
      <c r="S43" s="48"/>
      <c r="T43" s="2">
        <v>4500000</v>
      </c>
      <c r="U43" s="2">
        <v>0</v>
      </c>
      <c r="V43" s="1" t="s">
        <v>222</v>
      </c>
      <c r="W43" s="6" t="s">
        <v>223</v>
      </c>
      <c r="X43" s="1" t="s">
        <v>224</v>
      </c>
      <c r="Y43" s="3"/>
      <c r="Z43" s="3"/>
      <c r="AA43" s="3"/>
      <c r="AB43" s="3"/>
      <c r="AC43" s="3"/>
      <c r="AD43" s="3"/>
      <c r="AE43" s="3"/>
      <c r="AF43" s="3"/>
      <c r="AG43" s="3"/>
      <c r="AH43" s="3">
        <v>1500000</v>
      </c>
      <c r="AI43" s="3">
        <v>1500000</v>
      </c>
      <c r="AJ43" s="3">
        <v>1500000</v>
      </c>
      <c r="AK43" s="3">
        <v>1500000</v>
      </c>
      <c r="AL43" s="3">
        <v>1500000</v>
      </c>
      <c r="AM43" s="3">
        <v>1500000</v>
      </c>
      <c r="AN43" s="3">
        <v>1500000</v>
      </c>
      <c r="AO43" s="3">
        <v>1500000</v>
      </c>
      <c r="AP43" s="3">
        <v>1500000</v>
      </c>
      <c r="AQ43" s="3"/>
      <c r="AR43" s="3"/>
      <c r="AS43" s="3"/>
      <c r="AT43" s="3"/>
      <c r="AU43" s="3"/>
      <c r="AV43" s="3"/>
      <c r="AW43" s="3">
        <f t="shared" si="1"/>
        <v>4500000</v>
      </c>
      <c r="AX43" s="3">
        <f t="shared" si="2"/>
        <v>9000000</v>
      </c>
      <c r="AY43" s="4">
        <f t="shared" si="3"/>
        <v>9</v>
      </c>
      <c r="BA43" s="4" t="s">
        <v>5726</v>
      </c>
      <c r="BB43" s="2"/>
      <c r="BC43" s="3"/>
      <c r="BD43" s="3"/>
    </row>
    <row r="44" spans="1:56" ht="16.8" customHeight="1">
      <c r="A44" s="1">
        <v>43</v>
      </c>
      <c r="B44" s="1" t="s">
        <v>42</v>
      </c>
      <c r="C44" s="1" t="s">
        <v>47</v>
      </c>
      <c r="D44" s="1" t="s">
        <v>225</v>
      </c>
      <c r="E44" s="1" t="s">
        <v>225</v>
      </c>
      <c r="F44" s="1" t="s">
        <v>226</v>
      </c>
      <c r="G44" s="1" t="s">
        <v>227</v>
      </c>
      <c r="H44" s="1" t="s">
        <v>4485</v>
      </c>
      <c r="I44" s="18">
        <v>45931</v>
      </c>
      <c r="J44" s="18">
        <v>45931</v>
      </c>
      <c r="K44" s="18" t="s">
        <v>4766</v>
      </c>
      <c r="L44" s="18" t="s">
        <v>4734</v>
      </c>
      <c r="M44" s="2">
        <v>1500000</v>
      </c>
      <c r="N44" s="2">
        <v>1500000</v>
      </c>
      <c r="O44" s="2"/>
      <c r="P44" s="2" t="str">
        <f t="shared" si="0"/>
        <v/>
      </c>
      <c r="Q44" s="2"/>
      <c r="R44" s="2"/>
      <c r="S44" s="48"/>
      <c r="T44" s="2">
        <v>4500000</v>
      </c>
      <c r="U44" s="2">
        <v>0</v>
      </c>
      <c r="V44" s="1" t="s">
        <v>228</v>
      </c>
      <c r="W44" s="6" t="s">
        <v>229</v>
      </c>
      <c r="X44" s="1" t="s">
        <v>230</v>
      </c>
      <c r="Y44" s="3"/>
      <c r="Z44" s="3"/>
      <c r="AA44" s="3"/>
      <c r="AB44" s="3"/>
      <c r="AC44" s="3"/>
      <c r="AD44" s="3"/>
      <c r="AE44" s="3"/>
      <c r="AF44" s="3"/>
      <c r="AG44" s="3"/>
      <c r="AH44" s="3">
        <v>1500000</v>
      </c>
      <c r="AI44" s="3">
        <v>1500000</v>
      </c>
      <c r="AJ44" s="3">
        <v>1500000</v>
      </c>
      <c r="AK44" s="3">
        <v>1500000</v>
      </c>
      <c r="AL44" s="3">
        <v>1500000</v>
      </c>
      <c r="AM44" s="3">
        <v>1500000</v>
      </c>
      <c r="AN44" s="3">
        <v>1500000</v>
      </c>
      <c r="AO44" s="3">
        <v>1500000</v>
      </c>
      <c r="AP44" s="3">
        <v>1500000</v>
      </c>
      <c r="AQ44" s="3"/>
      <c r="AR44" s="3"/>
      <c r="AS44" s="3"/>
      <c r="AT44" s="3"/>
      <c r="AU44" s="3"/>
      <c r="AV44" s="3"/>
      <c r="AW44" s="3">
        <f t="shared" si="1"/>
        <v>4500000</v>
      </c>
      <c r="AX44" s="3">
        <f t="shared" si="2"/>
        <v>9000000</v>
      </c>
      <c r="AY44" s="4">
        <f t="shared" si="3"/>
        <v>9</v>
      </c>
      <c r="BA44" s="4" t="s">
        <v>5726</v>
      </c>
      <c r="BB44" s="2"/>
      <c r="BC44" s="3"/>
      <c r="BD44" s="3"/>
    </row>
    <row r="45" spans="1:56" ht="16.8" customHeight="1">
      <c r="A45" s="1">
        <v>44</v>
      </c>
      <c r="B45" s="1" t="s">
        <v>42</v>
      </c>
      <c r="C45" s="1" t="s">
        <v>47</v>
      </c>
      <c r="D45" s="1" t="s">
        <v>231</v>
      </c>
      <c r="E45" s="1" t="s">
        <v>231</v>
      </c>
      <c r="F45" s="1" t="s">
        <v>232</v>
      </c>
      <c r="G45" s="1" t="s">
        <v>233</v>
      </c>
      <c r="H45" s="1" t="s">
        <v>4767</v>
      </c>
      <c r="I45" s="18">
        <v>45931</v>
      </c>
      <c r="J45" s="18">
        <v>45931</v>
      </c>
      <c r="K45" s="18" t="s">
        <v>4768</v>
      </c>
      <c r="L45" s="18" t="s">
        <v>4734</v>
      </c>
      <c r="M45" s="2">
        <v>2000000</v>
      </c>
      <c r="N45" s="2">
        <v>2000000</v>
      </c>
      <c r="O45" s="2"/>
      <c r="P45" s="2" t="str">
        <f t="shared" si="0"/>
        <v/>
      </c>
      <c r="Q45" s="2"/>
      <c r="R45" s="2"/>
      <c r="S45" s="48"/>
      <c r="T45" s="2">
        <v>0</v>
      </c>
      <c r="U45" s="2">
        <v>0</v>
      </c>
      <c r="V45" s="1" t="s">
        <v>233</v>
      </c>
      <c r="W45" s="6" t="s">
        <v>234</v>
      </c>
      <c r="X45" s="1" t="s">
        <v>224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v>2000000</v>
      </c>
      <c r="AL45" s="3">
        <v>2000000</v>
      </c>
      <c r="AM45" s="3">
        <v>2000000</v>
      </c>
      <c r="AN45" s="3">
        <v>2000000</v>
      </c>
      <c r="AO45" s="3">
        <v>2000000</v>
      </c>
      <c r="AP45" s="3">
        <v>2000000</v>
      </c>
      <c r="AQ45" s="3"/>
      <c r="AR45" s="3"/>
      <c r="AS45" s="3"/>
      <c r="AT45" s="3"/>
      <c r="AU45" s="3"/>
      <c r="AV45" s="3"/>
      <c r="AW45" s="3">
        <f t="shared" si="1"/>
        <v>0</v>
      </c>
      <c r="AX45" s="3">
        <f t="shared" si="2"/>
        <v>12000000</v>
      </c>
      <c r="AY45" s="4">
        <f t="shared" si="3"/>
        <v>6</v>
      </c>
      <c r="AZ45" s="8" t="s">
        <v>5664</v>
      </c>
      <c r="BA45" s="4" t="s">
        <v>5726</v>
      </c>
      <c r="BB45" s="2"/>
      <c r="BC45" s="3"/>
      <c r="BD45" s="3"/>
    </row>
    <row r="46" spans="1:56" ht="16.8" customHeight="1">
      <c r="A46" s="1">
        <v>45</v>
      </c>
      <c r="B46" s="1" t="s">
        <v>42</v>
      </c>
      <c r="C46" s="1" t="s">
        <v>47</v>
      </c>
      <c r="D46" s="1" t="s">
        <v>235</v>
      </c>
      <c r="E46" s="1" t="s">
        <v>235</v>
      </c>
      <c r="F46" s="1" t="s">
        <v>236</v>
      </c>
      <c r="G46" s="1" t="s">
        <v>237</v>
      </c>
      <c r="H46" s="1" t="s">
        <v>4486</v>
      </c>
      <c r="I46" s="18">
        <v>45931</v>
      </c>
      <c r="J46" s="18">
        <v>45931</v>
      </c>
      <c r="K46" s="18" t="s">
        <v>4737</v>
      </c>
      <c r="L46" s="18" t="s">
        <v>4734</v>
      </c>
      <c r="M46" s="2">
        <v>1500000</v>
      </c>
      <c r="N46" s="2">
        <v>1500000</v>
      </c>
      <c r="O46" s="2"/>
      <c r="P46" s="2" t="str">
        <f t="shared" si="0"/>
        <v/>
      </c>
      <c r="Q46" s="2"/>
      <c r="R46" s="2"/>
      <c r="S46" s="48"/>
      <c r="T46" s="2">
        <v>4500000</v>
      </c>
      <c r="U46" s="2">
        <v>0</v>
      </c>
      <c r="V46" s="1" t="s">
        <v>238</v>
      </c>
      <c r="W46" s="6" t="s">
        <v>239</v>
      </c>
      <c r="X46" s="1" t="s">
        <v>218</v>
      </c>
      <c r="Y46" s="3"/>
      <c r="Z46" s="3"/>
      <c r="AA46" s="3"/>
      <c r="AB46" s="3"/>
      <c r="AC46" s="3"/>
      <c r="AD46" s="3"/>
      <c r="AE46" s="3"/>
      <c r="AF46" s="3"/>
      <c r="AG46" s="3"/>
      <c r="AH46" s="3">
        <v>1500000</v>
      </c>
      <c r="AI46" s="3">
        <v>1500000</v>
      </c>
      <c r="AJ46" s="3">
        <v>1500000</v>
      </c>
      <c r="AK46" s="3">
        <v>1500000</v>
      </c>
      <c r="AL46" s="3">
        <v>1500000</v>
      </c>
      <c r="AM46" s="3">
        <v>1500000</v>
      </c>
      <c r="AN46" s="3">
        <v>1500000</v>
      </c>
      <c r="AO46" s="3">
        <v>1500000</v>
      </c>
      <c r="AP46" s="3">
        <v>1500000</v>
      </c>
      <c r="AQ46" s="3"/>
      <c r="AR46" s="3"/>
      <c r="AS46" s="3"/>
      <c r="AT46" s="3"/>
      <c r="AU46" s="3"/>
      <c r="AV46" s="3"/>
      <c r="AW46" s="3">
        <f t="shared" si="1"/>
        <v>4500000</v>
      </c>
      <c r="AX46" s="3">
        <f t="shared" si="2"/>
        <v>9000000</v>
      </c>
      <c r="AY46" s="4">
        <f t="shared" si="3"/>
        <v>9</v>
      </c>
      <c r="AZ46" s="8" t="s">
        <v>5664</v>
      </c>
      <c r="BA46" s="4" t="s">
        <v>5715</v>
      </c>
      <c r="BB46" s="2"/>
      <c r="BC46" s="3"/>
      <c r="BD46" s="3"/>
    </row>
    <row r="47" spans="1:56" ht="16.8" customHeight="1">
      <c r="A47" s="1">
        <v>46</v>
      </c>
      <c r="B47" s="1" t="s">
        <v>42</v>
      </c>
      <c r="C47" s="1" t="s">
        <v>43</v>
      </c>
      <c r="D47" s="1" t="s">
        <v>240</v>
      </c>
      <c r="E47" s="1" t="s">
        <v>240</v>
      </c>
      <c r="F47" s="1" t="s">
        <v>241</v>
      </c>
      <c r="G47" s="1" t="s">
        <v>242</v>
      </c>
      <c r="H47" s="1" t="s">
        <v>4487</v>
      </c>
      <c r="I47" s="18">
        <v>45931</v>
      </c>
      <c r="J47" s="18">
        <v>45931</v>
      </c>
      <c r="K47" s="18" t="s">
        <v>4752</v>
      </c>
      <c r="L47" s="18" t="s">
        <v>4734</v>
      </c>
      <c r="M47" s="2">
        <v>1000000</v>
      </c>
      <c r="N47" s="2">
        <v>1000000</v>
      </c>
      <c r="O47" s="2"/>
      <c r="P47" s="2" t="str">
        <f t="shared" si="0"/>
        <v/>
      </c>
      <c r="Q47" s="2"/>
      <c r="R47" s="2"/>
      <c r="S47" s="48"/>
      <c r="T47" s="2">
        <v>3000000</v>
      </c>
      <c r="U47" s="2">
        <v>0</v>
      </c>
      <c r="V47" s="1" t="s">
        <v>146</v>
      </c>
      <c r="W47" s="6" t="s">
        <v>147</v>
      </c>
      <c r="X47" s="1" t="s">
        <v>148</v>
      </c>
      <c r="Y47" s="3"/>
      <c r="Z47" s="3"/>
      <c r="AA47" s="3"/>
      <c r="AB47" s="3"/>
      <c r="AC47" s="3"/>
      <c r="AD47" s="3"/>
      <c r="AE47" s="3"/>
      <c r="AF47" s="3"/>
      <c r="AG47" s="3"/>
      <c r="AH47" s="3">
        <v>1000000</v>
      </c>
      <c r="AI47" s="3">
        <v>1000000</v>
      </c>
      <c r="AJ47" s="3">
        <v>1000000</v>
      </c>
      <c r="AK47" s="3">
        <v>1000000</v>
      </c>
      <c r="AL47" s="3">
        <v>1000000</v>
      </c>
      <c r="AM47" s="3">
        <v>1000000</v>
      </c>
      <c r="AN47" s="3">
        <v>1000000</v>
      </c>
      <c r="AO47" s="3">
        <v>1000000</v>
      </c>
      <c r="AP47" s="3">
        <v>1000000</v>
      </c>
      <c r="AQ47" s="3"/>
      <c r="AR47" s="3"/>
      <c r="AS47" s="3"/>
      <c r="AT47" s="3"/>
      <c r="AU47" s="3"/>
      <c r="AV47" s="3"/>
      <c r="AW47" s="3">
        <f t="shared" si="1"/>
        <v>3000000</v>
      </c>
      <c r="AX47" s="3">
        <f t="shared" si="2"/>
        <v>6000000</v>
      </c>
      <c r="AY47" s="4">
        <f t="shared" si="3"/>
        <v>9</v>
      </c>
      <c r="AZ47" s="8">
        <v>0</v>
      </c>
      <c r="BA47" s="4" t="s">
        <v>5715</v>
      </c>
      <c r="BB47" s="2"/>
      <c r="BC47" s="3"/>
      <c r="BD47" s="3"/>
    </row>
    <row r="48" spans="1:56" ht="16.8" customHeight="1">
      <c r="A48" s="1">
        <v>47</v>
      </c>
      <c r="B48" s="1" t="s">
        <v>42</v>
      </c>
      <c r="C48" s="1" t="s">
        <v>43</v>
      </c>
      <c r="D48" s="1" t="s">
        <v>243</v>
      </c>
      <c r="E48" s="1" t="s">
        <v>243</v>
      </c>
      <c r="F48" s="1" t="s">
        <v>244</v>
      </c>
      <c r="G48" s="1" t="s">
        <v>245</v>
      </c>
      <c r="H48" s="1" t="s">
        <v>4488</v>
      </c>
      <c r="I48" s="18">
        <v>45931</v>
      </c>
      <c r="J48" s="18">
        <v>45931</v>
      </c>
      <c r="K48" s="18" t="s">
        <v>4733</v>
      </c>
      <c r="L48" s="18" t="s">
        <v>4734</v>
      </c>
      <c r="M48" s="2">
        <v>1000000</v>
      </c>
      <c r="N48" s="2">
        <v>1000000</v>
      </c>
      <c r="O48" s="2"/>
      <c r="P48" s="2" t="str">
        <f t="shared" si="0"/>
        <v/>
      </c>
      <c r="Q48" s="2"/>
      <c r="R48" s="2"/>
      <c r="S48" s="48"/>
      <c r="T48" s="2">
        <v>3000000</v>
      </c>
      <c r="U48" s="2">
        <v>0</v>
      </c>
      <c r="V48" s="1" t="s">
        <v>146</v>
      </c>
      <c r="W48" s="6" t="s">
        <v>147</v>
      </c>
      <c r="X48" s="1" t="s">
        <v>148</v>
      </c>
      <c r="Y48" s="3"/>
      <c r="Z48" s="3"/>
      <c r="AA48" s="3"/>
      <c r="AB48" s="3"/>
      <c r="AC48" s="3"/>
      <c r="AD48" s="3"/>
      <c r="AE48" s="3"/>
      <c r="AF48" s="3"/>
      <c r="AG48" s="3"/>
      <c r="AH48" s="3">
        <v>1000000</v>
      </c>
      <c r="AI48" s="3">
        <v>1000000</v>
      </c>
      <c r="AJ48" s="3">
        <v>1000000</v>
      </c>
      <c r="AK48" s="3">
        <v>1000000</v>
      </c>
      <c r="AL48" s="3">
        <v>1000000</v>
      </c>
      <c r="AM48" s="3">
        <v>1000000</v>
      </c>
      <c r="AN48" s="3">
        <v>1000000</v>
      </c>
      <c r="AO48" s="3">
        <v>1000000</v>
      </c>
      <c r="AP48" s="3">
        <v>1000000</v>
      </c>
      <c r="AQ48" s="3"/>
      <c r="AR48" s="3"/>
      <c r="AS48" s="3"/>
      <c r="AT48" s="3"/>
      <c r="AU48" s="3"/>
      <c r="AV48" s="3"/>
      <c r="AW48" s="3">
        <f t="shared" si="1"/>
        <v>3000000</v>
      </c>
      <c r="AX48" s="3">
        <f t="shared" si="2"/>
        <v>6000000</v>
      </c>
      <c r="AY48" s="4">
        <f t="shared" si="3"/>
        <v>9</v>
      </c>
      <c r="AZ48" s="8" t="s">
        <v>5492</v>
      </c>
      <c r="BA48" s="4" t="s">
        <v>5715</v>
      </c>
      <c r="BB48" s="2"/>
      <c r="BC48" s="3"/>
      <c r="BD48" s="3"/>
    </row>
    <row r="49" spans="1:56" ht="16.8" customHeight="1">
      <c r="A49" s="1">
        <v>48</v>
      </c>
      <c r="B49" s="1" t="s">
        <v>42</v>
      </c>
      <c r="C49" s="1" t="s">
        <v>43</v>
      </c>
      <c r="D49" s="1" t="s">
        <v>246</v>
      </c>
      <c r="E49" s="1" t="s">
        <v>246</v>
      </c>
      <c r="F49" s="1" t="s">
        <v>247</v>
      </c>
      <c r="G49" s="1" t="s">
        <v>248</v>
      </c>
      <c r="H49" s="1" t="s">
        <v>4769</v>
      </c>
      <c r="I49" s="18">
        <v>45945</v>
      </c>
      <c r="J49" s="18">
        <v>45931</v>
      </c>
      <c r="K49" s="18" t="s">
        <v>4770</v>
      </c>
      <c r="L49" s="18" t="s">
        <v>4734</v>
      </c>
      <c r="M49" s="2">
        <v>6163636</v>
      </c>
      <c r="N49" s="2">
        <v>6163636</v>
      </c>
      <c r="O49" s="2"/>
      <c r="P49" s="2" t="str">
        <f t="shared" si="0"/>
        <v/>
      </c>
      <c r="Q49" s="2"/>
      <c r="R49" s="2"/>
      <c r="S49" s="48"/>
      <c r="T49" s="2">
        <v>20339999</v>
      </c>
      <c r="U49" s="2">
        <v>0</v>
      </c>
      <c r="V49" s="1" t="s">
        <v>249</v>
      </c>
      <c r="W49" s="6" t="s">
        <v>250</v>
      </c>
      <c r="X49" s="1" t="s">
        <v>251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v>6163636</v>
      </c>
      <c r="AL49" s="3">
        <v>6163636</v>
      </c>
      <c r="AM49" s="3">
        <v>6163636</v>
      </c>
      <c r="AN49" s="3">
        <v>6163636</v>
      </c>
      <c r="AO49" s="3">
        <v>6163636</v>
      </c>
      <c r="AP49" s="3">
        <v>6163636</v>
      </c>
      <c r="AQ49" s="3"/>
      <c r="AR49" s="3"/>
      <c r="AS49" s="3"/>
      <c r="AT49" s="3"/>
      <c r="AU49" s="3"/>
      <c r="AV49" s="3"/>
      <c r="AW49" s="3">
        <f t="shared" si="1"/>
        <v>0</v>
      </c>
      <c r="AX49" s="3">
        <f t="shared" si="2"/>
        <v>36981816</v>
      </c>
      <c r="AY49" s="4">
        <f t="shared" si="3"/>
        <v>6</v>
      </c>
      <c r="AZ49" s="8" t="s">
        <v>5493</v>
      </c>
      <c r="BA49" s="4" t="s">
        <v>5727</v>
      </c>
      <c r="BB49" s="2"/>
      <c r="BC49" s="3"/>
      <c r="BD49" s="3"/>
    </row>
    <row r="50" spans="1:56" ht="16.8" customHeight="1">
      <c r="A50" s="1">
        <v>49</v>
      </c>
      <c r="B50" s="1" t="s">
        <v>42</v>
      </c>
      <c r="C50" s="1" t="s">
        <v>43</v>
      </c>
      <c r="D50" s="1" t="s">
        <v>252</v>
      </c>
      <c r="E50" s="1" t="s">
        <v>252</v>
      </c>
      <c r="F50" s="1" t="s">
        <v>253</v>
      </c>
      <c r="G50" s="1" t="s">
        <v>254</v>
      </c>
      <c r="H50" s="1" t="s">
        <v>4771</v>
      </c>
      <c r="I50" s="18">
        <v>46113</v>
      </c>
      <c r="J50" s="18">
        <v>46113</v>
      </c>
      <c r="K50" s="18" t="s">
        <v>4772</v>
      </c>
      <c r="L50" s="18" t="s">
        <v>4734</v>
      </c>
      <c r="M50" s="2">
        <v>2000000</v>
      </c>
      <c r="N50" s="2">
        <v>2000000</v>
      </c>
      <c r="O50" s="2"/>
      <c r="P50" s="2" t="str">
        <f t="shared" si="0"/>
        <v/>
      </c>
      <c r="Q50" s="2"/>
      <c r="R50" s="2"/>
      <c r="S50" s="48"/>
      <c r="T50" s="2">
        <v>6000000</v>
      </c>
      <c r="U50" s="2">
        <v>0</v>
      </c>
      <c r="V50" s="1" t="s">
        <v>254</v>
      </c>
      <c r="W50" s="6" t="s">
        <v>255</v>
      </c>
      <c r="X50" s="1" t="s">
        <v>89</v>
      </c>
      <c r="Y50" s="3"/>
      <c r="Z50" s="3"/>
      <c r="AA50" s="3"/>
      <c r="AB50" s="3"/>
      <c r="AC50" s="3"/>
      <c r="AD50" s="3"/>
      <c r="AE50" s="3"/>
      <c r="AF50" s="3"/>
      <c r="AG50" s="3"/>
      <c r="AH50" s="3">
        <v>2000000</v>
      </c>
      <c r="AI50" s="3">
        <v>2000000</v>
      </c>
      <c r="AJ50" s="3">
        <v>2000000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f t="shared" si="1"/>
        <v>6000000</v>
      </c>
      <c r="AX50" s="3">
        <f t="shared" si="2"/>
        <v>0</v>
      </c>
      <c r="AY50" s="4">
        <f t="shared" si="3"/>
        <v>3</v>
      </c>
      <c r="AZ50" s="8" t="s">
        <v>5665</v>
      </c>
      <c r="BA50" s="4" t="s">
        <v>5726</v>
      </c>
      <c r="BB50" s="2"/>
      <c r="BC50" s="3"/>
      <c r="BD50" s="4"/>
    </row>
    <row r="51" spans="1:56" ht="16.8" customHeight="1">
      <c r="A51" s="1">
        <v>50</v>
      </c>
      <c r="B51" s="1" t="s">
        <v>42</v>
      </c>
      <c r="C51" s="1" t="s">
        <v>43</v>
      </c>
      <c r="D51" s="1" t="s">
        <v>256</v>
      </c>
      <c r="E51" s="1" t="s">
        <v>256</v>
      </c>
      <c r="F51" s="1" t="s">
        <v>257</v>
      </c>
      <c r="G51" s="1" t="s">
        <v>258</v>
      </c>
      <c r="H51" s="1" t="s">
        <v>4489</v>
      </c>
      <c r="I51" s="18">
        <v>45931</v>
      </c>
      <c r="J51" s="18">
        <v>45931</v>
      </c>
      <c r="K51" s="18" t="s">
        <v>4742</v>
      </c>
      <c r="L51" s="18" t="s">
        <v>4734</v>
      </c>
      <c r="M51" s="2">
        <v>1500000</v>
      </c>
      <c r="N51" s="2">
        <v>1500000</v>
      </c>
      <c r="O51" s="2"/>
      <c r="P51" s="2" t="str">
        <f t="shared" si="0"/>
        <v/>
      </c>
      <c r="Q51" s="2"/>
      <c r="R51" s="2"/>
      <c r="S51" s="48"/>
      <c r="T51" s="2">
        <v>4500000</v>
      </c>
      <c r="U51" s="2">
        <v>0</v>
      </c>
      <c r="V51" s="1" t="s">
        <v>259</v>
      </c>
      <c r="W51" s="6" t="s">
        <v>260</v>
      </c>
      <c r="X51" s="1" t="s">
        <v>261</v>
      </c>
      <c r="Y51" s="3"/>
      <c r="Z51" s="3"/>
      <c r="AA51" s="3"/>
      <c r="AB51" s="3"/>
      <c r="AC51" s="3"/>
      <c r="AD51" s="3"/>
      <c r="AE51" s="3"/>
      <c r="AF51" s="3"/>
      <c r="AG51" s="3"/>
      <c r="AH51" s="3">
        <v>1500000</v>
      </c>
      <c r="AI51" s="3">
        <v>1500000</v>
      </c>
      <c r="AJ51" s="3">
        <v>1500000</v>
      </c>
      <c r="AK51" s="3">
        <v>1500000</v>
      </c>
      <c r="AL51" s="3">
        <v>1500000</v>
      </c>
      <c r="AM51" s="3">
        <v>1500000</v>
      </c>
      <c r="AN51" s="3">
        <v>1500000</v>
      </c>
      <c r="AO51" s="3">
        <v>1500000</v>
      </c>
      <c r="AP51" s="3">
        <v>1500000</v>
      </c>
      <c r="AQ51" s="3"/>
      <c r="AR51" s="3"/>
      <c r="AS51" s="3"/>
      <c r="AT51" s="3"/>
      <c r="AU51" s="3"/>
      <c r="AV51" s="3"/>
      <c r="AW51" s="3">
        <f t="shared" si="1"/>
        <v>4500000</v>
      </c>
      <c r="AX51" s="3">
        <f t="shared" si="2"/>
        <v>9000000</v>
      </c>
      <c r="AY51" s="4">
        <f t="shared" si="3"/>
        <v>9</v>
      </c>
      <c r="AZ51" s="8" t="s">
        <v>5666</v>
      </c>
      <c r="BA51" s="4" t="s">
        <v>5715</v>
      </c>
      <c r="BB51" s="2"/>
      <c r="BC51" s="3"/>
      <c r="BD51" s="3"/>
    </row>
    <row r="52" spans="1:56" ht="16.8" customHeight="1">
      <c r="A52" s="1">
        <v>51</v>
      </c>
      <c r="B52" s="1" t="s">
        <v>42</v>
      </c>
      <c r="C52" s="1" t="s">
        <v>185</v>
      </c>
      <c r="D52" s="1" t="s">
        <v>262</v>
      </c>
      <c r="E52" s="1" t="s">
        <v>262</v>
      </c>
      <c r="F52" s="1" t="s">
        <v>263</v>
      </c>
      <c r="G52" s="1" t="s">
        <v>63</v>
      </c>
      <c r="H52" s="1" t="s">
        <v>4735</v>
      </c>
      <c r="I52" s="18">
        <v>45945</v>
      </c>
      <c r="J52" s="18">
        <v>45931</v>
      </c>
      <c r="K52" s="18" t="s">
        <v>4733</v>
      </c>
      <c r="L52" s="18" t="s">
        <v>4734</v>
      </c>
      <c r="M52" s="2">
        <v>5436364</v>
      </c>
      <c r="N52" s="2">
        <v>5436364</v>
      </c>
      <c r="O52" s="2"/>
      <c r="P52" s="2" t="str">
        <f t="shared" si="0"/>
        <v/>
      </c>
      <c r="Q52" s="2"/>
      <c r="R52" s="2"/>
      <c r="S52" s="48"/>
      <c r="T52" s="2">
        <v>17940001</v>
      </c>
      <c r="U52" s="2">
        <v>0</v>
      </c>
      <c r="V52" s="1" t="s">
        <v>63</v>
      </c>
      <c r="W52" s="6" t="s">
        <v>64</v>
      </c>
      <c r="X52" s="1" t="s">
        <v>65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v>5436364</v>
      </c>
      <c r="AL52" s="3">
        <v>5436364</v>
      </c>
      <c r="AM52" s="3">
        <v>5436364</v>
      </c>
      <c r="AN52" s="3">
        <v>5436364</v>
      </c>
      <c r="AO52" s="3">
        <v>5436364</v>
      </c>
      <c r="AP52" s="3">
        <v>5436364</v>
      </c>
      <c r="AQ52" s="3"/>
      <c r="AR52" s="3"/>
      <c r="AS52" s="3"/>
      <c r="AT52" s="3"/>
      <c r="AU52" s="3"/>
      <c r="AV52" s="3"/>
      <c r="AW52" s="3">
        <f t="shared" si="1"/>
        <v>0</v>
      </c>
      <c r="AX52" s="3">
        <f t="shared" si="2"/>
        <v>32618184</v>
      </c>
      <c r="AY52" s="4">
        <f t="shared" si="3"/>
        <v>6</v>
      </c>
      <c r="AZ52" s="8" t="s">
        <v>5484</v>
      </c>
      <c r="BA52" s="4" t="s">
        <v>5727</v>
      </c>
      <c r="BB52" s="2"/>
      <c r="BC52" s="3"/>
      <c r="BD52" s="3"/>
    </row>
    <row r="53" spans="1:56" ht="16.8" customHeight="1">
      <c r="A53" s="1">
        <v>52</v>
      </c>
      <c r="B53" s="1" t="s">
        <v>42</v>
      </c>
      <c r="C53" s="1" t="s">
        <v>43</v>
      </c>
      <c r="D53" s="1" t="s">
        <v>264</v>
      </c>
      <c r="E53" s="1" t="s">
        <v>264</v>
      </c>
      <c r="F53" s="1" t="s">
        <v>265</v>
      </c>
      <c r="G53" s="1" t="s">
        <v>266</v>
      </c>
      <c r="H53" s="1" t="s">
        <v>4773</v>
      </c>
      <c r="I53" s="18">
        <v>44901</v>
      </c>
      <c r="J53" s="18">
        <v>44927</v>
      </c>
      <c r="K53" s="18" t="s">
        <v>4774</v>
      </c>
      <c r="L53" s="18" t="s">
        <v>4734</v>
      </c>
      <c r="M53" s="2">
        <v>4090909</v>
      </c>
      <c r="N53" s="2">
        <v>4090909</v>
      </c>
      <c r="O53" s="2"/>
      <c r="P53" s="2" t="str">
        <f t="shared" si="0"/>
        <v/>
      </c>
      <c r="Q53" s="2"/>
      <c r="R53" s="2"/>
      <c r="S53" s="48"/>
      <c r="T53" s="2">
        <v>13500000</v>
      </c>
      <c r="U53" s="2">
        <v>0</v>
      </c>
      <c r="V53" s="1"/>
      <c r="W53" s="6"/>
      <c r="X53" s="1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f t="shared" si="1"/>
        <v>0</v>
      </c>
      <c r="AX53" s="3">
        <f t="shared" si="2"/>
        <v>0</v>
      </c>
      <c r="AY53" s="4">
        <f t="shared" si="3"/>
        <v>0</v>
      </c>
      <c r="AZ53" s="8" t="s">
        <v>5484</v>
      </c>
      <c r="BA53" s="4" t="s">
        <v>5726</v>
      </c>
      <c r="BB53" s="2"/>
      <c r="BC53" s="3"/>
      <c r="BD53" s="4"/>
    </row>
    <row r="54" spans="1:56" ht="16.8" customHeight="1">
      <c r="A54" s="1">
        <v>53</v>
      </c>
      <c r="B54" s="1" t="s">
        <v>42</v>
      </c>
      <c r="C54" s="1" t="s">
        <v>43</v>
      </c>
      <c r="D54" s="1" t="s">
        <v>267</v>
      </c>
      <c r="E54" s="1" t="s">
        <v>267</v>
      </c>
      <c r="F54" s="1" t="s">
        <v>268</v>
      </c>
      <c r="G54" s="1" t="s">
        <v>269</v>
      </c>
      <c r="H54" s="1" t="s">
        <v>4775</v>
      </c>
      <c r="I54" s="18">
        <v>47788</v>
      </c>
      <c r="J54" s="18">
        <v>15</v>
      </c>
      <c r="K54" s="18">
        <v>1200000</v>
      </c>
      <c r="L54" s="18"/>
      <c r="M54" s="2">
        <v>1200000</v>
      </c>
      <c r="N54" s="2">
        <v>1200000</v>
      </c>
      <c r="O54" s="2"/>
      <c r="P54" s="2" t="str">
        <f t="shared" si="0"/>
        <v/>
      </c>
      <c r="Q54" s="2"/>
      <c r="R54" s="2"/>
      <c r="S54" s="48"/>
      <c r="T54" s="2">
        <v>0</v>
      </c>
      <c r="U54" s="2">
        <v>3600000</v>
      </c>
      <c r="V54" s="1"/>
      <c r="W54" s="6"/>
      <c r="X54" s="1"/>
      <c r="Y54" s="3"/>
      <c r="Z54" s="3"/>
      <c r="AA54" s="3"/>
      <c r="AB54" s="3"/>
      <c r="AC54" s="3"/>
      <c r="AD54" s="3"/>
      <c r="AE54" s="3"/>
      <c r="AF54" s="3"/>
      <c r="AG54" s="3"/>
      <c r="AH54" s="3">
        <v>1200000</v>
      </c>
      <c r="AI54" s="3">
        <v>1200000</v>
      </c>
      <c r="AJ54" s="3">
        <v>1200000</v>
      </c>
      <c r="AK54" s="3">
        <v>1200000</v>
      </c>
      <c r="AL54" s="3">
        <v>1200000</v>
      </c>
      <c r="AM54" s="3">
        <v>1200000</v>
      </c>
      <c r="AN54" s="3">
        <v>1200000</v>
      </c>
      <c r="AO54" s="3">
        <v>1200000</v>
      </c>
      <c r="AP54" s="3">
        <v>1200000</v>
      </c>
      <c r="AQ54" s="3"/>
      <c r="AR54" s="3"/>
      <c r="AS54" s="3"/>
      <c r="AT54" s="3"/>
      <c r="AU54" s="3"/>
      <c r="AV54" s="3"/>
      <c r="AW54" s="3">
        <f t="shared" si="1"/>
        <v>3600000</v>
      </c>
      <c r="AX54" s="3">
        <f t="shared" si="2"/>
        <v>7200000</v>
      </c>
      <c r="AY54" s="4">
        <f t="shared" si="3"/>
        <v>9</v>
      </c>
      <c r="BA54" s="4" t="s">
        <v>5728</v>
      </c>
      <c r="BB54" s="2"/>
      <c r="BC54" s="3"/>
      <c r="BD54" s="3"/>
    </row>
    <row r="55" spans="1:56" ht="16.8" customHeight="1">
      <c r="A55" s="1">
        <v>54</v>
      </c>
      <c r="B55" s="1" t="s">
        <v>42</v>
      </c>
      <c r="C55" s="1" t="s">
        <v>43</v>
      </c>
      <c r="D55" s="1" t="s">
        <v>270</v>
      </c>
      <c r="E55" s="1" t="s">
        <v>270</v>
      </c>
      <c r="F55" s="1" t="s">
        <v>271</v>
      </c>
      <c r="G55" s="1" t="s">
        <v>272</v>
      </c>
      <c r="H55" s="1" t="s">
        <v>4490</v>
      </c>
      <c r="I55" s="18">
        <v>45931</v>
      </c>
      <c r="J55" s="18">
        <v>45931</v>
      </c>
      <c r="K55" s="18" t="s">
        <v>4742</v>
      </c>
      <c r="L55" s="18" t="s">
        <v>4734</v>
      </c>
      <c r="M55" s="2">
        <v>1400000</v>
      </c>
      <c r="N55" s="2">
        <v>1400000</v>
      </c>
      <c r="O55" s="2"/>
      <c r="P55" s="2" t="str">
        <f t="shared" si="0"/>
        <v/>
      </c>
      <c r="Q55" s="2"/>
      <c r="R55" s="2"/>
      <c r="S55" s="48"/>
      <c r="T55" s="2">
        <v>4200000</v>
      </c>
      <c r="U55" s="2">
        <v>0</v>
      </c>
      <c r="V55" s="1" t="s">
        <v>272</v>
      </c>
      <c r="W55" s="6" t="s">
        <v>273</v>
      </c>
      <c r="X55" s="1" t="s">
        <v>274</v>
      </c>
      <c r="Y55" s="3"/>
      <c r="Z55" s="3"/>
      <c r="AA55" s="3"/>
      <c r="AB55" s="3"/>
      <c r="AC55" s="3"/>
      <c r="AD55" s="3"/>
      <c r="AE55" s="3"/>
      <c r="AF55" s="3"/>
      <c r="AG55" s="3"/>
      <c r="AH55" s="3">
        <v>1400000</v>
      </c>
      <c r="AI55" s="3">
        <v>1400000</v>
      </c>
      <c r="AJ55" s="3">
        <v>1400000</v>
      </c>
      <c r="AK55" s="3">
        <v>1400000</v>
      </c>
      <c r="AL55" s="3">
        <v>1400000</v>
      </c>
      <c r="AM55" s="3">
        <v>1400000</v>
      </c>
      <c r="AN55" s="3">
        <v>1400000</v>
      </c>
      <c r="AO55" s="3">
        <v>1400000</v>
      </c>
      <c r="AP55" s="3">
        <v>1400000</v>
      </c>
      <c r="AQ55" s="3"/>
      <c r="AR55" s="3"/>
      <c r="AS55" s="3"/>
      <c r="AT55" s="3"/>
      <c r="AU55" s="3"/>
      <c r="AV55" s="3"/>
      <c r="AW55" s="3">
        <f t="shared" si="1"/>
        <v>4200000</v>
      </c>
      <c r="AX55" s="3">
        <f t="shared" si="2"/>
        <v>8400000</v>
      </c>
      <c r="AY55" s="4">
        <f t="shared" si="3"/>
        <v>9</v>
      </c>
      <c r="BA55" s="4" t="s">
        <v>5715</v>
      </c>
      <c r="BB55" s="2"/>
      <c r="BC55" s="3"/>
      <c r="BD55" s="3"/>
    </row>
    <row r="56" spans="1:56" ht="16.8" customHeight="1">
      <c r="A56" s="1">
        <v>55</v>
      </c>
      <c r="B56" s="1" t="s">
        <v>42</v>
      </c>
      <c r="C56" s="1" t="s">
        <v>43</v>
      </c>
      <c r="D56" s="1" t="s">
        <v>275</v>
      </c>
      <c r="E56" s="1" t="s">
        <v>275</v>
      </c>
      <c r="F56" s="1" t="s">
        <v>276</v>
      </c>
      <c r="G56" s="1" t="s">
        <v>277</v>
      </c>
      <c r="H56" s="1" t="s">
        <v>4776</v>
      </c>
      <c r="I56" s="18">
        <v>46113</v>
      </c>
      <c r="J56" s="18">
        <v>46113</v>
      </c>
      <c r="K56" s="18" t="s">
        <v>4772</v>
      </c>
      <c r="L56" s="18" t="s">
        <v>4734</v>
      </c>
      <c r="M56" s="2">
        <v>1800000</v>
      </c>
      <c r="N56" s="2">
        <v>2500000</v>
      </c>
      <c r="O56" s="2">
        <v>2500000</v>
      </c>
      <c r="P56" s="2">
        <f t="shared" si="0"/>
        <v>700000</v>
      </c>
      <c r="Q56" s="2"/>
      <c r="R56" s="2"/>
      <c r="S56" s="48"/>
      <c r="T56" s="2">
        <v>5400000</v>
      </c>
      <c r="U56" s="2">
        <v>0</v>
      </c>
      <c r="V56" s="1" t="s">
        <v>278</v>
      </c>
      <c r="W56" s="6" t="s">
        <v>279</v>
      </c>
      <c r="X56" s="1" t="s">
        <v>89</v>
      </c>
      <c r="Y56" s="3"/>
      <c r="Z56" s="3"/>
      <c r="AA56" s="3"/>
      <c r="AB56" s="3"/>
      <c r="AC56" s="3"/>
      <c r="AD56" s="3"/>
      <c r="AE56" s="3"/>
      <c r="AF56" s="3"/>
      <c r="AG56" s="3"/>
      <c r="AH56" s="3">
        <v>1800000</v>
      </c>
      <c r="AI56" s="3">
        <v>1800000</v>
      </c>
      <c r="AJ56" s="3">
        <v>1800000</v>
      </c>
      <c r="AK56" s="3">
        <v>1800000</v>
      </c>
      <c r="AL56" s="3">
        <v>1800000</v>
      </c>
      <c r="AM56" s="3">
        <v>1800000</v>
      </c>
      <c r="AN56" s="3">
        <v>2500000</v>
      </c>
      <c r="AO56" s="3">
        <v>2500000</v>
      </c>
      <c r="AP56" s="3">
        <v>2500000</v>
      </c>
      <c r="AQ56" s="3"/>
      <c r="AR56" s="3"/>
      <c r="AS56" s="3"/>
      <c r="AT56" s="3"/>
      <c r="AU56" s="3"/>
      <c r="AV56" s="3"/>
      <c r="AW56" s="3">
        <f t="shared" si="1"/>
        <v>5400000</v>
      </c>
      <c r="AX56" s="3">
        <f t="shared" si="2"/>
        <v>12900000</v>
      </c>
      <c r="AY56" s="4">
        <f t="shared" si="3"/>
        <v>9</v>
      </c>
      <c r="AZ56" s="8" t="s">
        <v>5667</v>
      </c>
      <c r="BA56" s="4" t="s">
        <v>5727</v>
      </c>
      <c r="BB56" s="2"/>
      <c r="BC56" s="3"/>
      <c r="BD56" s="3"/>
    </row>
    <row r="57" spans="1:56" ht="16.8" customHeight="1">
      <c r="A57" s="1">
        <v>56</v>
      </c>
      <c r="B57" s="1" t="s">
        <v>42</v>
      </c>
      <c r="C57" s="1" t="s">
        <v>185</v>
      </c>
      <c r="D57" s="1" t="s">
        <v>280</v>
      </c>
      <c r="E57" s="1" t="s">
        <v>280</v>
      </c>
      <c r="F57" s="1" t="s">
        <v>281</v>
      </c>
      <c r="G57" s="1" t="s">
        <v>282</v>
      </c>
      <c r="H57" s="1" t="s">
        <v>4491</v>
      </c>
      <c r="I57" s="18">
        <v>45931</v>
      </c>
      <c r="J57" s="18">
        <v>45931</v>
      </c>
      <c r="K57" s="18" t="s">
        <v>4777</v>
      </c>
      <c r="L57" s="18" t="s">
        <v>4734</v>
      </c>
      <c r="M57" s="2">
        <v>3000000</v>
      </c>
      <c r="N57" s="2">
        <v>3000000</v>
      </c>
      <c r="O57" s="2"/>
      <c r="P57" s="2" t="str">
        <f t="shared" si="0"/>
        <v/>
      </c>
      <c r="Q57" s="2"/>
      <c r="R57" s="2"/>
      <c r="S57" s="48"/>
      <c r="T57" s="2">
        <v>9000000</v>
      </c>
      <c r="U57" s="2">
        <v>0</v>
      </c>
      <c r="V57" s="1" t="s">
        <v>282</v>
      </c>
      <c r="W57" s="6" t="s">
        <v>283</v>
      </c>
      <c r="X57" s="1" t="s">
        <v>70</v>
      </c>
      <c r="Y57" s="3"/>
      <c r="Z57" s="3"/>
      <c r="AA57" s="3"/>
      <c r="AB57" s="3"/>
      <c r="AC57" s="3"/>
      <c r="AD57" s="3"/>
      <c r="AE57" s="3"/>
      <c r="AF57" s="3"/>
      <c r="AG57" s="3"/>
      <c r="AH57" s="3">
        <v>3000000</v>
      </c>
      <c r="AI57" s="3">
        <v>3000000</v>
      </c>
      <c r="AJ57" s="3">
        <v>3000000</v>
      </c>
      <c r="AK57" s="3">
        <v>3000000</v>
      </c>
      <c r="AL57" s="3">
        <v>3000000</v>
      </c>
      <c r="AM57" s="3">
        <v>3000000</v>
      </c>
      <c r="AN57" s="3">
        <v>3000000</v>
      </c>
      <c r="AO57" s="3">
        <v>3000000</v>
      </c>
      <c r="AP57" s="3">
        <v>3000000</v>
      </c>
      <c r="AQ57" s="3"/>
      <c r="AR57" s="3"/>
      <c r="AS57" s="3"/>
      <c r="AT57" s="3"/>
      <c r="AU57" s="3"/>
      <c r="AV57" s="3"/>
      <c r="AW57" s="3">
        <f t="shared" si="1"/>
        <v>9000000</v>
      </c>
      <c r="AX57" s="3">
        <f t="shared" si="2"/>
        <v>18000000</v>
      </c>
      <c r="AY57" s="4">
        <f t="shared" si="3"/>
        <v>9</v>
      </c>
      <c r="AZ57" s="8">
        <v>0</v>
      </c>
      <c r="BA57" s="4" t="s">
        <v>5726</v>
      </c>
      <c r="BB57" s="2"/>
      <c r="BC57" s="3"/>
      <c r="BD57" s="3"/>
    </row>
    <row r="58" spans="1:56" ht="16.8" customHeight="1">
      <c r="A58" s="1">
        <v>57</v>
      </c>
      <c r="B58" s="1" t="s">
        <v>42</v>
      </c>
      <c r="C58" s="1" t="s">
        <v>185</v>
      </c>
      <c r="D58" s="1" t="s">
        <v>284</v>
      </c>
      <c r="E58" s="1" t="s">
        <v>284</v>
      </c>
      <c r="F58" s="1" t="s">
        <v>285</v>
      </c>
      <c r="G58" s="1" t="s">
        <v>286</v>
      </c>
      <c r="H58" s="1" t="s">
        <v>4778</v>
      </c>
      <c r="I58" s="18">
        <v>48580</v>
      </c>
      <c r="J58" s="18">
        <v>20</v>
      </c>
      <c r="K58" s="18">
        <v>2000000</v>
      </c>
      <c r="L58" s="18"/>
      <c r="M58" s="2">
        <v>2000000</v>
      </c>
      <c r="N58" s="2">
        <v>2000000</v>
      </c>
      <c r="O58" s="2"/>
      <c r="P58" s="2" t="str">
        <f t="shared" si="0"/>
        <v/>
      </c>
      <c r="Q58" s="2"/>
      <c r="R58" s="2"/>
      <c r="S58" s="48"/>
      <c r="T58" s="2">
        <v>6000000</v>
      </c>
      <c r="U58" s="2">
        <v>0</v>
      </c>
      <c r="V58" s="1" t="s">
        <v>286</v>
      </c>
      <c r="W58" s="6" t="s">
        <v>287</v>
      </c>
      <c r="X58" s="1" t="s">
        <v>106</v>
      </c>
      <c r="Y58" s="3"/>
      <c r="Z58" s="3"/>
      <c r="AA58" s="3"/>
      <c r="AB58" s="3"/>
      <c r="AC58" s="3"/>
      <c r="AD58" s="3"/>
      <c r="AE58" s="3"/>
      <c r="AF58" s="3"/>
      <c r="AG58" s="3"/>
      <c r="AH58" s="3">
        <v>2000000</v>
      </c>
      <c r="AI58" s="3">
        <v>2000000</v>
      </c>
      <c r="AJ58" s="3">
        <v>2000000</v>
      </c>
      <c r="AK58" s="3">
        <v>2000000</v>
      </c>
      <c r="AL58" s="3">
        <v>2000000</v>
      </c>
      <c r="AM58" s="3">
        <v>2000000</v>
      </c>
      <c r="AN58" s="3">
        <v>2000000</v>
      </c>
      <c r="AO58" s="3">
        <v>2000000</v>
      </c>
      <c r="AP58" s="3">
        <v>2000000</v>
      </c>
      <c r="AQ58" s="3"/>
      <c r="AR58" s="3"/>
      <c r="AS58" s="3"/>
      <c r="AT58" s="3"/>
      <c r="AU58" s="3"/>
      <c r="AV58" s="3"/>
      <c r="AW58" s="3">
        <f t="shared" si="1"/>
        <v>6000000</v>
      </c>
      <c r="AX58" s="3">
        <f t="shared" si="2"/>
        <v>12000000</v>
      </c>
      <c r="AY58" s="4">
        <f t="shared" si="3"/>
        <v>9</v>
      </c>
      <c r="BA58" s="4" t="s">
        <v>5715</v>
      </c>
      <c r="BB58" s="2"/>
      <c r="BC58" s="3"/>
      <c r="BD58" s="3"/>
    </row>
    <row r="59" spans="1:56" ht="16.8" customHeight="1">
      <c r="A59" s="1">
        <v>58</v>
      </c>
      <c r="B59" s="1" t="s">
        <v>42</v>
      </c>
      <c r="C59" s="1" t="s">
        <v>185</v>
      </c>
      <c r="D59" s="1" t="s">
        <v>288</v>
      </c>
      <c r="E59" s="1" t="s">
        <v>288</v>
      </c>
      <c r="F59" s="1" t="s">
        <v>289</v>
      </c>
      <c r="G59" s="1" t="s">
        <v>58</v>
      </c>
      <c r="H59" s="1" t="s">
        <v>4732</v>
      </c>
      <c r="I59" s="18">
        <v>45940</v>
      </c>
      <c r="J59" s="18">
        <v>45931</v>
      </c>
      <c r="K59" s="18" t="s">
        <v>4733</v>
      </c>
      <c r="L59" s="18" t="s">
        <v>4734</v>
      </c>
      <c r="M59" s="2">
        <v>8200000</v>
      </c>
      <c r="N59" s="2">
        <v>8200000</v>
      </c>
      <c r="O59" s="2"/>
      <c r="P59" s="2" t="str">
        <f t="shared" si="0"/>
        <v/>
      </c>
      <c r="Q59" s="2"/>
      <c r="R59" s="2"/>
      <c r="S59" s="48"/>
      <c r="T59" s="2">
        <v>27060000</v>
      </c>
      <c r="U59" s="2">
        <v>0</v>
      </c>
      <c r="V59" s="1" t="s">
        <v>58</v>
      </c>
      <c r="W59" s="6" t="s">
        <v>59</v>
      </c>
      <c r="X59" s="1" t="s">
        <v>60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v>8200000</v>
      </c>
      <c r="AL59" s="3">
        <v>8200000</v>
      </c>
      <c r="AM59" s="3">
        <v>8200000</v>
      </c>
      <c r="AN59" s="3">
        <v>8200000</v>
      </c>
      <c r="AO59" s="3">
        <v>8200000</v>
      </c>
      <c r="AP59" s="3">
        <v>8200000</v>
      </c>
      <c r="AQ59" s="3"/>
      <c r="AR59" s="3"/>
      <c r="AS59" s="3"/>
      <c r="AT59" s="3"/>
      <c r="AU59" s="3"/>
      <c r="AV59" s="3"/>
      <c r="AW59" s="3">
        <f t="shared" si="1"/>
        <v>0</v>
      </c>
      <c r="AX59" s="3">
        <f t="shared" si="2"/>
        <v>49200000</v>
      </c>
      <c r="AY59" s="4">
        <f t="shared" si="3"/>
        <v>6</v>
      </c>
      <c r="AZ59" s="8" t="s">
        <v>5483</v>
      </c>
      <c r="BA59" s="4" t="s">
        <v>5727</v>
      </c>
      <c r="BB59" s="2"/>
      <c r="BC59" s="3"/>
      <c r="BD59" s="3"/>
    </row>
    <row r="60" spans="1:56" ht="16.8" customHeight="1">
      <c r="A60" s="1">
        <v>59</v>
      </c>
      <c r="B60" s="1" t="s">
        <v>42</v>
      </c>
      <c r="C60" s="1" t="s">
        <v>185</v>
      </c>
      <c r="D60" s="1" t="s">
        <v>290</v>
      </c>
      <c r="E60" s="1" t="s">
        <v>290</v>
      </c>
      <c r="F60" s="1" t="s">
        <v>291</v>
      </c>
      <c r="G60" s="1" t="s">
        <v>248</v>
      </c>
      <c r="H60" s="1" t="s">
        <v>4769</v>
      </c>
      <c r="I60" s="18">
        <v>45945</v>
      </c>
      <c r="J60" s="18">
        <v>45931</v>
      </c>
      <c r="K60" s="18" t="s">
        <v>4770</v>
      </c>
      <c r="L60" s="18" t="s">
        <v>4734</v>
      </c>
      <c r="M60" s="2">
        <v>6163636</v>
      </c>
      <c r="N60" s="2">
        <v>6163636</v>
      </c>
      <c r="O60" s="2"/>
      <c r="P60" s="2" t="str">
        <f t="shared" si="0"/>
        <v/>
      </c>
      <c r="Q60" s="2"/>
      <c r="R60" s="2"/>
      <c r="S60" s="48"/>
      <c r="T60" s="2">
        <v>20339999</v>
      </c>
      <c r="U60" s="2">
        <v>0</v>
      </c>
      <c r="V60" s="1" t="s">
        <v>249</v>
      </c>
      <c r="W60" s="6" t="s">
        <v>250</v>
      </c>
      <c r="X60" s="1" t="s">
        <v>251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v>6163636</v>
      </c>
      <c r="AL60" s="3">
        <v>6163636</v>
      </c>
      <c r="AM60" s="3">
        <v>6163636</v>
      </c>
      <c r="AN60" s="3">
        <v>6163636</v>
      </c>
      <c r="AO60" s="3">
        <v>6163636</v>
      </c>
      <c r="AP60" s="3">
        <v>6163636</v>
      </c>
      <c r="AQ60" s="3"/>
      <c r="AR60" s="3"/>
      <c r="AS60" s="3"/>
      <c r="AT60" s="3"/>
      <c r="AU60" s="3"/>
      <c r="AV60" s="3"/>
      <c r="AW60" s="3">
        <f t="shared" si="1"/>
        <v>0</v>
      </c>
      <c r="AX60" s="3">
        <f t="shared" si="2"/>
        <v>36981816</v>
      </c>
      <c r="AY60" s="4">
        <f t="shared" si="3"/>
        <v>6</v>
      </c>
      <c r="AZ60" s="8" t="s">
        <v>5493</v>
      </c>
      <c r="BA60" s="4" t="s">
        <v>5727</v>
      </c>
      <c r="BB60" s="2"/>
      <c r="BC60" s="3"/>
      <c r="BD60" s="3"/>
    </row>
    <row r="61" spans="1:56" ht="16.8" customHeight="1">
      <c r="A61" s="1">
        <v>60</v>
      </c>
      <c r="B61" s="1" t="s">
        <v>42</v>
      </c>
      <c r="C61" s="1" t="s">
        <v>185</v>
      </c>
      <c r="D61" s="1" t="s">
        <v>292</v>
      </c>
      <c r="E61" s="1" t="s">
        <v>292</v>
      </c>
      <c r="F61" s="1" t="s">
        <v>293</v>
      </c>
      <c r="G61" s="1" t="s">
        <v>294</v>
      </c>
      <c r="H61" s="1" t="s">
        <v>4492</v>
      </c>
      <c r="I61" s="18">
        <v>45931</v>
      </c>
      <c r="J61" s="18">
        <v>45931</v>
      </c>
      <c r="K61" s="18" t="s">
        <v>4742</v>
      </c>
      <c r="L61" s="18" t="s">
        <v>4734</v>
      </c>
      <c r="M61" s="2">
        <v>1500000</v>
      </c>
      <c r="N61" s="2">
        <v>1500000</v>
      </c>
      <c r="O61" s="2"/>
      <c r="P61" s="2" t="str">
        <f t="shared" si="0"/>
        <v/>
      </c>
      <c r="Q61" s="2"/>
      <c r="R61" s="2"/>
      <c r="S61" s="48"/>
      <c r="T61" s="2">
        <v>4500000</v>
      </c>
      <c r="U61" s="2">
        <v>0</v>
      </c>
      <c r="V61" s="1" t="s">
        <v>294</v>
      </c>
      <c r="W61" s="6" t="s">
        <v>295</v>
      </c>
      <c r="X61" s="1" t="s">
        <v>296</v>
      </c>
      <c r="Y61" s="3"/>
      <c r="Z61" s="3"/>
      <c r="AA61" s="3"/>
      <c r="AB61" s="3"/>
      <c r="AC61" s="3"/>
      <c r="AD61" s="3"/>
      <c r="AE61" s="3"/>
      <c r="AF61" s="3"/>
      <c r="AG61" s="3"/>
      <c r="AH61" s="3">
        <v>1500000</v>
      </c>
      <c r="AI61" s="3">
        <v>1500000</v>
      </c>
      <c r="AJ61" s="3">
        <v>1500000</v>
      </c>
      <c r="AK61" s="3">
        <v>1500000</v>
      </c>
      <c r="AL61" s="3">
        <v>1500000</v>
      </c>
      <c r="AM61" s="3">
        <v>1500000</v>
      </c>
      <c r="AN61" s="3">
        <v>1500000</v>
      </c>
      <c r="AO61" s="3">
        <v>1500000</v>
      </c>
      <c r="AP61" s="3">
        <v>1500000</v>
      </c>
      <c r="AQ61" s="3"/>
      <c r="AR61" s="3"/>
      <c r="AS61" s="3"/>
      <c r="AT61" s="3"/>
      <c r="AU61" s="3"/>
      <c r="AV61" s="3"/>
      <c r="AW61" s="3">
        <f t="shared" si="1"/>
        <v>4500000</v>
      </c>
      <c r="AX61" s="3">
        <f t="shared" si="2"/>
        <v>9000000</v>
      </c>
      <c r="AY61" s="4">
        <f t="shared" si="3"/>
        <v>9</v>
      </c>
      <c r="AZ61" s="8" t="s">
        <v>5494</v>
      </c>
      <c r="BA61" s="4" t="s">
        <v>5715</v>
      </c>
      <c r="BB61" s="2"/>
      <c r="BC61" s="3"/>
      <c r="BD61" s="3"/>
    </row>
    <row r="62" spans="1:56" ht="16.8" customHeight="1">
      <c r="A62" s="1">
        <v>61</v>
      </c>
      <c r="B62" s="1" t="s">
        <v>42</v>
      </c>
      <c r="C62" s="1" t="s">
        <v>185</v>
      </c>
      <c r="D62" s="1" t="s">
        <v>297</v>
      </c>
      <c r="E62" s="1" t="s">
        <v>297</v>
      </c>
      <c r="F62" s="1" t="s">
        <v>298</v>
      </c>
      <c r="G62" s="1" t="s">
        <v>248</v>
      </c>
      <c r="H62" s="1" t="s">
        <v>4769</v>
      </c>
      <c r="I62" s="18">
        <v>45945</v>
      </c>
      <c r="J62" s="18">
        <v>45931</v>
      </c>
      <c r="K62" s="18" t="s">
        <v>4770</v>
      </c>
      <c r="L62" s="18" t="s">
        <v>4734</v>
      </c>
      <c r="M62" s="2">
        <v>6163636</v>
      </c>
      <c r="N62" s="2">
        <v>6163636</v>
      </c>
      <c r="O62" s="2"/>
      <c r="P62" s="2" t="str">
        <f t="shared" si="0"/>
        <v/>
      </c>
      <c r="Q62" s="2"/>
      <c r="R62" s="2"/>
      <c r="S62" s="48"/>
      <c r="T62" s="2">
        <v>20339999</v>
      </c>
      <c r="U62" s="2">
        <v>0</v>
      </c>
      <c r="V62" s="1" t="s">
        <v>249</v>
      </c>
      <c r="W62" s="6" t="s">
        <v>250</v>
      </c>
      <c r="X62" s="1" t="s">
        <v>251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v>6163636</v>
      </c>
      <c r="AL62" s="3">
        <v>6163636</v>
      </c>
      <c r="AM62" s="3">
        <v>6163636</v>
      </c>
      <c r="AN62" s="3">
        <v>6163636</v>
      </c>
      <c r="AO62" s="3">
        <v>6163636</v>
      </c>
      <c r="AP62" s="3">
        <v>6163636</v>
      </c>
      <c r="AQ62" s="3"/>
      <c r="AR62" s="3"/>
      <c r="AS62" s="3"/>
      <c r="AT62" s="3"/>
      <c r="AU62" s="3"/>
      <c r="AV62" s="3"/>
      <c r="AW62" s="3">
        <f t="shared" si="1"/>
        <v>0</v>
      </c>
      <c r="AX62" s="3">
        <f t="shared" si="2"/>
        <v>36981816</v>
      </c>
      <c r="AY62" s="4">
        <f t="shared" si="3"/>
        <v>6</v>
      </c>
      <c r="AZ62" s="8" t="s">
        <v>5493</v>
      </c>
      <c r="BA62" s="4" t="s">
        <v>5727</v>
      </c>
      <c r="BB62" s="2"/>
      <c r="BC62" s="3"/>
      <c r="BD62" s="3"/>
    </row>
    <row r="63" spans="1:56" ht="16.8" customHeight="1">
      <c r="A63" s="1">
        <v>62</v>
      </c>
      <c r="B63" s="1" t="s">
        <v>42</v>
      </c>
      <c r="C63" s="1" t="s">
        <v>185</v>
      </c>
      <c r="D63" s="1" t="s">
        <v>299</v>
      </c>
      <c r="E63" s="1" t="s">
        <v>299</v>
      </c>
      <c r="F63" s="1" t="s">
        <v>300</v>
      </c>
      <c r="G63" s="1" t="s">
        <v>301</v>
      </c>
      <c r="H63" s="1" t="s">
        <v>4779</v>
      </c>
      <c r="I63" s="18">
        <v>47118</v>
      </c>
      <c r="J63" s="18">
        <v>10</v>
      </c>
      <c r="K63" s="18">
        <v>600000</v>
      </c>
      <c r="L63" s="18"/>
      <c r="M63" s="2">
        <v>600000</v>
      </c>
      <c r="N63" s="2">
        <v>600000</v>
      </c>
      <c r="O63" s="2"/>
      <c r="P63" s="2" t="str">
        <f t="shared" si="0"/>
        <v/>
      </c>
      <c r="Q63" s="2"/>
      <c r="R63" s="2"/>
      <c r="S63" s="48"/>
      <c r="T63" s="2">
        <v>1800000</v>
      </c>
      <c r="U63" s="2">
        <v>0</v>
      </c>
      <c r="V63" s="1" t="s">
        <v>301</v>
      </c>
      <c r="W63" s="6" t="s">
        <v>302</v>
      </c>
      <c r="X63" s="1" t="s">
        <v>164</v>
      </c>
      <c r="Y63" s="3"/>
      <c r="Z63" s="3"/>
      <c r="AA63" s="3"/>
      <c r="AB63" s="3"/>
      <c r="AC63" s="3"/>
      <c r="AD63" s="3"/>
      <c r="AE63" s="3"/>
      <c r="AF63" s="3"/>
      <c r="AG63" s="3"/>
      <c r="AH63" s="3">
        <v>600000</v>
      </c>
      <c r="AI63" s="3">
        <v>600000</v>
      </c>
      <c r="AJ63" s="3">
        <v>600000</v>
      </c>
      <c r="AK63" s="3">
        <v>600000</v>
      </c>
      <c r="AL63" s="3">
        <v>600000</v>
      </c>
      <c r="AM63" s="3">
        <v>600000</v>
      </c>
      <c r="AN63" s="3">
        <v>600000</v>
      </c>
      <c r="AO63" s="3">
        <v>600000</v>
      </c>
      <c r="AP63" s="3">
        <v>600000</v>
      </c>
      <c r="AQ63" s="3"/>
      <c r="AR63" s="3"/>
      <c r="AS63" s="3"/>
      <c r="AT63" s="3"/>
      <c r="AU63" s="3"/>
      <c r="AV63" s="3"/>
      <c r="AW63" s="3">
        <f t="shared" si="1"/>
        <v>1800000</v>
      </c>
      <c r="AX63" s="3">
        <f t="shared" si="2"/>
        <v>3600000</v>
      </c>
      <c r="AY63" s="4">
        <f t="shared" si="3"/>
        <v>9</v>
      </c>
      <c r="BA63" s="4" t="s">
        <v>5715</v>
      </c>
      <c r="BB63" s="2"/>
      <c r="BC63" s="3"/>
      <c r="BD63" s="3"/>
    </row>
    <row r="64" spans="1:56" ht="16.8" customHeight="1">
      <c r="A64" s="1">
        <v>63</v>
      </c>
      <c r="B64" s="1" t="s">
        <v>42</v>
      </c>
      <c r="C64" s="1" t="s">
        <v>185</v>
      </c>
      <c r="D64" s="1" t="s">
        <v>303</v>
      </c>
      <c r="E64" s="1" t="s">
        <v>303</v>
      </c>
      <c r="F64" s="1" t="s">
        <v>304</v>
      </c>
      <c r="G64" s="1" t="s">
        <v>305</v>
      </c>
      <c r="H64" s="1" t="s">
        <v>4780</v>
      </c>
      <c r="I64" s="18">
        <v>48580</v>
      </c>
      <c r="J64" s="18">
        <v>20</v>
      </c>
      <c r="K64" s="18">
        <v>1200000</v>
      </c>
      <c r="L64" s="18"/>
      <c r="M64" s="2">
        <v>1200000</v>
      </c>
      <c r="N64" s="2">
        <v>1200000</v>
      </c>
      <c r="O64" s="2"/>
      <c r="P64" s="2" t="str">
        <f t="shared" si="0"/>
        <v/>
      </c>
      <c r="Q64" s="2"/>
      <c r="R64" s="2"/>
      <c r="S64" s="48"/>
      <c r="T64" s="2">
        <v>3600000</v>
      </c>
      <c r="U64" s="2">
        <v>0</v>
      </c>
      <c r="V64" s="1" t="s">
        <v>306</v>
      </c>
      <c r="W64" s="6"/>
      <c r="X64" s="1"/>
      <c r="Y64" s="3"/>
      <c r="Z64" s="3"/>
      <c r="AA64" s="3"/>
      <c r="AB64" s="3"/>
      <c r="AC64" s="3"/>
      <c r="AD64" s="3"/>
      <c r="AE64" s="3"/>
      <c r="AF64" s="3"/>
      <c r="AG64" s="3"/>
      <c r="AH64" s="3">
        <v>1200000</v>
      </c>
      <c r="AI64" s="3">
        <v>1200000</v>
      </c>
      <c r="AJ64" s="3">
        <v>1200000</v>
      </c>
      <c r="AK64" s="3">
        <v>1200000</v>
      </c>
      <c r="AL64" s="3">
        <v>1200000</v>
      </c>
      <c r="AM64" s="3">
        <v>1200000</v>
      </c>
      <c r="AN64" s="3">
        <v>1200000</v>
      </c>
      <c r="AO64" s="3">
        <v>1200000</v>
      </c>
      <c r="AP64" s="3">
        <v>1200000</v>
      </c>
      <c r="AQ64" s="3"/>
      <c r="AR64" s="3"/>
      <c r="AS64" s="3"/>
      <c r="AT64" s="3"/>
      <c r="AU64" s="3"/>
      <c r="AV64" s="3"/>
      <c r="AW64" s="3">
        <f t="shared" si="1"/>
        <v>3600000</v>
      </c>
      <c r="AX64" s="3">
        <f t="shared" si="2"/>
        <v>7200000</v>
      </c>
      <c r="AY64" s="4">
        <f t="shared" si="3"/>
        <v>9</v>
      </c>
      <c r="BA64" s="4" t="s">
        <v>5715</v>
      </c>
      <c r="BB64" s="2"/>
      <c r="BC64" s="3"/>
      <c r="BD64" s="3"/>
    </row>
    <row r="65" spans="1:56" ht="16.8" customHeight="1">
      <c r="A65" s="1">
        <v>64</v>
      </c>
      <c r="B65" s="1" t="s">
        <v>42</v>
      </c>
      <c r="C65" s="1" t="s">
        <v>185</v>
      </c>
      <c r="D65" s="1" t="s">
        <v>307</v>
      </c>
      <c r="E65" s="1" t="s">
        <v>307</v>
      </c>
      <c r="F65" s="1" t="s">
        <v>308</v>
      </c>
      <c r="G65" s="1" t="s">
        <v>309</v>
      </c>
      <c r="H65" s="1" t="s">
        <v>4781</v>
      </c>
      <c r="I65" s="18">
        <v>48580</v>
      </c>
      <c r="J65" s="18">
        <v>20</v>
      </c>
      <c r="K65" s="18">
        <v>1200000</v>
      </c>
      <c r="L65" s="18"/>
      <c r="M65" s="2">
        <v>1200000</v>
      </c>
      <c r="N65" s="2">
        <v>1200000</v>
      </c>
      <c r="O65" s="2"/>
      <c r="P65" s="2" t="str">
        <f t="shared" si="0"/>
        <v/>
      </c>
      <c r="Q65" s="2"/>
      <c r="R65" s="2"/>
      <c r="S65" s="48"/>
      <c r="T65" s="2">
        <v>3600000</v>
      </c>
      <c r="U65" s="2">
        <v>0</v>
      </c>
      <c r="V65" s="1" t="s">
        <v>309</v>
      </c>
      <c r="W65" s="6"/>
      <c r="X65" s="1"/>
      <c r="Y65" s="3"/>
      <c r="Z65" s="3"/>
      <c r="AA65" s="3"/>
      <c r="AB65" s="3"/>
      <c r="AC65" s="3"/>
      <c r="AD65" s="3"/>
      <c r="AE65" s="3"/>
      <c r="AF65" s="3"/>
      <c r="AG65" s="3"/>
      <c r="AH65" s="3">
        <v>1200000</v>
      </c>
      <c r="AI65" s="3">
        <v>1200000</v>
      </c>
      <c r="AJ65" s="3">
        <v>1200000</v>
      </c>
      <c r="AK65" s="3">
        <v>1200000</v>
      </c>
      <c r="AL65" s="3">
        <v>1200000</v>
      </c>
      <c r="AM65" s="3">
        <v>1200000</v>
      </c>
      <c r="AN65" s="3">
        <v>1200000</v>
      </c>
      <c r="AO65" s="3">
        <v>1200000</v>
      </c>
      <c r="AP65" s="3">
        <v>1200000</v>
      </c>
      <c r="AQ65" s="3"/>
      <c r="AR65" s="3"/>
      <c r="AS65" s="3"/>
      <c r="AT65" s="3"/>
      <c r="AU65" s="3"/>
      <c r="AV65" s="3"/>
      <c r="AW65" s="3">
        <f t="shared" si="1"/>
        <v>3600000</v>
      </c>
      <c r="AX65" s="3">
        <f t="shared" si="2"/>
        <v>7200000</v>
      </c>
      <c r="AY65" s="4">
        <f t="shared" si="3"/>
        <v>9</v>
      </c>
      <c r="BA65" s="4" t="s">
        <v>5715</v>
      </c>
      <c r="BB65" s="2"/>
      <c r="BC65" s="3"/>
      <c r="BD65" s="3"/>
    </row>
    <row r="66" spans="1:56" ht="16.8" customHeight="1">
      <c r="A66" s="1">
        <v>65</v>
      </c>
      <c r="B66" s="1" t="s">
        <v>42</v>
      </c>
      <c r="C66" s="1" t="s">
        <v>185</v>
      </c>
      <c r="D66" s="1" t="s">
        <v>310</v>
      </c>
      <c r="E66" s="1" t="s">
        <v>310</v>
      </c>
      <c r="F66" s="1" t="s">
        <v>311</v>
      </c>
      <c r="G66" s="1" t="s">
        <v>312</v>
      </c>
      <c r="H66" s="1" t="s">
        <v>4782</v>
      </c>
      <c r="I66" s="18">
        <v>45931</v>
      </c>
      <c r="J66" s="18">
        <v>45931</v>
      </c>
      <c r="K66" s="18" t="s">
        <v>4783</v>
      </c>
      <c r="L66" s="18" t="s">
        <v>4734</v>
      </c>
      <c r="M66" s="2">
        <v>6500000</v>
      </c>
      <c r="N66" s="2">
        <v>6500000</v>
      </c>
      <c r="O66" s="2"/>
      <c r="P66" s="2" t="str">
        <f t="shared" ref="P66:P129" si="4">IF(OR(M66="",N66="",M66=N66),"",N66-M66)</f>
        <v/>
      </c>
      <c r="Q66" s="2"/>
      <c r="R66" s="2"/>
      <c r="S66" s="48"/>
      <c r="T66" s="2">
        <v>21450000</v>
      </c>
      <c r="U66" s="2">
        <v>0</v>
      </c>
      <c r="V66" s="1" t="s">
        <v>312</v>
      </c>
      <c r="W66" s="6" t="s">
        <v>313</v>
      </c>
      <c r="X66" s="1" t="s">
        <v>314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v>6500000</v>
      </c>
      <c r="AL66" s="3">
        <v>6500000</v>
      </c>
      <c r="AM66" s="3">
        <v>6500000</v>
      </c>
      <c r="AN66" s="3">
        <v>6500000</v>
      </c>
      <c r="AO66" s="3">
        <v>6500000</v>
      </c>
      <c r="AP66" s="3">
        <v>6500000</v>
      </c>
      <c r="AQ66" s="3"/>
      <c r="AR66" s="3"/>
      <c r="AS66" s="3"/>
      <c r="AT66" s="3"/>
      <c r="AU66" s="3"/>
      <c r="AV66" s="3"/>
      <c r="AW66" s="3">
        <f t="shared" ref="AW66:AW129" si="5">SUM(Y66:AJ66)</f>
        <v>0</v>
      </c>
      <c r="AX66" s="3">
        <f t="shared" ref="AX66:AX129" si="6">SUM(AK66:AV66)</f>
        <v>39000000</v>
      </c>
      <c r="AY66" s="4">
        <f t="shared" ref="AY66:AY129" si="7">COUNT(Y66:AV66)</f>
        <v>6</v>
      </c>
      <c r="AZ66" s="8" t="s">
        <v>5484</v>
      </c>
      <c r="BA66" s="4" t="s">
        <v>5727</v>
      </c>
      <c r="BB66" s="2"/>
      <c r="BC66" s="3"/>
      <c r="BD66" s="3"/>
    </row>
    <row r="67" spans="1:56" ht="16.8" customHeight="1">
      <c r="A67" s="1">
        <v>66</v>
      </c>
      <c r="B67" s="1" t="s">
        <v>42</v>
      </c>
      <c r="C67" s="1" t="s">
        <v>185</v>
      </c>
      <c r="D67" s="1" t="s">
        <v>315</v>
      </c>
      <c r="E67" s="1" t="s">
        <v>315</v>
      </c>
      <c r="F67" s="1" t="s">
        <v>316</v>
      </c>
      <c r="G67" s="1" t="s">
        <v>317</v>
      </c>
      <c r="H67" s="1" t="s">
        <v>4784</v>
      </c>
      <c r="I67" s="18">
        <v>47665</v>
      </c>
      <c r="J67" s="18">
        <v>10</v>
      </c>
      <c r="K67" s="18">
        <v>2000000</v>
      </c>
      <c r="L67" s="18"/>
      <c r="M67" s="2">
        <v>2000000</v>
      </c>
      <c r="N67" s="2">
        <v>2000000</v>
      </c>
      <c r="O67" s="2"/>
      <c r="P67" s="2" t="str">
        <f t="shared" si="4"/>
        <v/>
      </c>
      <c r="Q67" s="2"/>
      <c r="R67" s="2"/>
      <c r="S67" s="48"/>
      <c r="T67" s="2">
        <v>6000000</v>
      </c>
      <c r="U67" s="2">
        <v>0</v>
      </c>
      <c r="V67" s="1" t="s">
        <v>317</v>
      </c>
      <c r="W67" s="6" t="s">
        <v>318</v>
      </c>
      <c r="X67" s="1" t="s">
        <v>319</v>
      </c>
      <c r="Y67" s="3"/>
      <c r="Z67" s="3"/>
      <c r="AA67" s="3"/>
      <c r="AB67" s="3"/>
      <c r="AC67" s="3"/>
      <c r="AD67" s="3"/>
      <c r="AE67" s="3"/>
      <c r="AF67" s="3"/>
      <c r="AG67" s="3"/>
      <c r="AH67" s="3">
        <v>2000000</v>
      </c>
      <c r="AI67" s="3">
        <v>2000000</v>
      </c>
      <c r="AJ67" s="3">
        <v>2000000</v>
      </c>
      <c r="AK67" s="3">
        <v>2000000</v>
      </c>
      <c r="AL67" s="3">
        <v>2000000</v>
      </c>
      <c r="AM67" s="3">
        <v>2000000</v>
      </c>
      <c r="AN67" s="3">
        <v>2000000</v>
      </c>
      <c r="AO67" s="3">
        <v>2000000</v>
      </c>
      <c r="AP67" s="3">
        <v>2000000</v>
      </c>
      <c r="AQ67" s="3"/>
      <c r="AR67" s="3"/>
      <c r="AS67" s="3"/>
      <c r="AT67" s="3"/>
      <c r="AU67" s="3"/>
      <c r="AV67" s="3"/>
      <c r="AW67" s="3">
        <f t="shared" si="5"/>
        <v>6000000</v>
      </c>
      <c r="AX67" s="3">
        <f t="shared" si="6"/>
        <v>12000000</v>
      </c>
      <c r="AY67" s="4">
        <f t="shared" si="7"/>
        <v>9</v>
      </c>
      <c r="BA67" s="4" t="s">
        <v>5715</v>
      </c>
      <c r="BB67" s="2"/>
      <c r="BC67" s="3"/>
      <c r="BD67" s="3"/>
    </row>
    <row r="68" spans="1:56" s="26" customFormat="1" ht="16.8" customHeight="1">
      <c r="A68" s="20">
        <v>67</v>
      </c>
      <c r="B68" s="20" t="s">
        <v>42</v>
      </c>
      <c r="C68" s="1" t="s">
        <v>185</v>
      </c>
      <c r="D68" s="20" t="s">
        <v>320</v>
      </c>
      <c r="E68" s="20" t="s">
        <v>320</v>
      </c>
      <c r="F68" s="20" t="s">
        <v>321</v>
      </c>
      <c r="G68" s="20" t="s">
        <v>322</v>
      </c>
      <c r="H68" s="20" t="s">
        <v>4493</v>
      </c>
      <c r="I68" s="21">
        <v>45931</v>
      </c>
      <c r="J68" s="21">
        <v>45931</v>
      </c>
      <c r="K68" s="21" t="s">
        <v>4785</v>
      </c>
      <c r="L68" s="21" t="s">
        <v>4734</v>
      </c>
      <c r="M68" s="22">
        <v>1500000</v>
      </c>
      <c r="N68" s="22">
        <v>2500000</v>
      </c>
      <c r="O68" s="22">
        <v>2500000</v>
      </c>
      <c r="P68" s="22">
        <f t="shared" si="4"/>
        <v>1000000</v>
      </c>
      <c r="Q68" s="2"/>
      <c r="R68" s="2"/>
      <c r="S68" s="48"/>
      <c r="T68" s="22">
        <v>4500000</v>
      </c>
      <c r="U68" s="22">
        <v>0</v>
      </c>
      <c r="V68" s="20" t="s">
        <v>322</v>
      </c>
      <c r="W68" s="23" t="s">
        <v>323</v>
      </c>
      <c r="X68" s="20" t="s">
        <v>324</v>
      </c>
      <c r="Y68" s="24"/>
      <c r="Z68" s="24"/>
      <c r="AA68" s="24"/>
      <c r="AB68" s="24"/>
      <c r="AC68" s="24"/>
      <c r="AD68" s="24"/>
      <c r="AE68" s="24"/>
      <c r="AF68" s="24"/>
      <c r="AG68" s="24"/>
      <c r="AH68" s="24">
        <v>1500000</v>
      </c>
      <c r="AI68" s="24">
        <v>1500000</v>
      </c>
      <c r="AJ68" s="24">
        <v>1500000</v>
      </c>
      <c r="AK68" s="24">
        <v>1500000</v>
      </c>
      <c r="AL68" s="24">
        <v>1500000</v>
      </c>
      <c r="AM68" s="24">
        <v>1500000</v>
      </c>
      <c r="AN68" s="24">
        <v>1500000</v>
      </c>
      <c r="AO68" s="24">
        <v>1500000</v>
      </c>
      <c r="AP68" s="24">
        <v>1500000</v>
      </c>
      <c r="AQ68" s="24"/>
      <c r="AR68" s="24"/>
      <c r="AS68" s="24"/>
      <c r="AT68" s="24"/>
      <c r="AU68" s="24"/>
      <c r="AV68" s="24"/>
      <c r="AW68" s="24">
        <f t="shared" si="5"/>
        <v>4500000</v>
      </c>
      <c r="AX68" s="24">
        <f t="shared" si="6"/>
        <v>9000000</v>
      </c>
      <c r="AY68" s="25">
        <f t="shared" si="7"/>
        <v>9</v>
      </c>
      <c r="AZ68" s="26" t="s">
        <v>5495</v>
      </c>
      <c r="BA68" s="4" t="s">
        <v>5726</v>
      </c>
      <c r="BB68" s="22"/>
      <c r="BC68" s="3"/>
      <c r="BD68" s="24"/>
    </row>
    <row r="69" spans="1:56" ht="16.8" customHeight="1">
      <c r="A69" s="1">
        <v>68</v>
      </c>
      <c r="B69" s="1" t="s">
        <v>42</v>
      </c>
      <c r="C69" s="1" t="s">
        <v>47</v>
      </c>
      <c r="D69" s="1" t="s">
        <v>325</v>
      </c>
      <c r="E69" s="1" t="s">
        <v>325</v>
      </c>
      <c r="F69" s="1" t="s">
        <v>326</v>
      </c>
      <c r="G69" s="1" t="s">
        <v>327</v>
      </c>
      <c r="H69" s="1" t="s">
        <v>4786</v>
      </c>
      <c r="I69" s="18">
        <v>45931</v>
      </c>
      <c r="J69" s="18">
        <v>45931</v>
      </c>
      <c r="K69" s="18" t="s">
        <v>4787</v>
      </c>
      <c r="L69" s="18" t="s">
        <v>4734</v>
      </c>
      <c r="M69" s="2">
        <v>1200000</v>
      </c>
      <c r="N69" s="2">
        <v>1200000</v>
      </c>
      <c r="O69" s="2"/>
      <c r="P69" s="2" t="str">
        <f t="shared" si="4"/>
        <v/>
      </c>
      <c r="Q69" s="2"/>
      <c r="R69" s="2"/>
      <c r="S69" s="48"/>
      <c r="T69" s="2">
        <v>3600000</v>
      </c>
      <c r="U69" s="2">
        <v>0</v>
      </c>
      <c r="V69" s="1" t="s">
        <v>328</v>
      </c>
      <c r="W69" s="6" t="s">
        <v>329</v>
      </c>
      <c r="X69" s="1" t="s">
        <v>106</v>
      </c>
      <c r="Y69" s="3"/>
      <c r="Z69" s="3"/>
      <c r="AA69" s="3"/>
      <c r="AB69" s="3"/>
      <c r="AC69" s="3"/>
      <c r="AD69" s="3"/>
      <c r="AE69" s="3"/>
      <c r="AF69" s="3"/>
      <c r="AG69" s="3"/>
      <c r="AH69" s="3">
        <v>1200000</v>
      </c>
      <c r="AI69" s="3">
        <v>1200000</v>
      </c>
      <c r="AJ69" s="3">
        <v>1200000</v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f t="shared" si="5"/>
        <v>3600000</v>
      </c>
      <c r="AX69" s="3">
        <f t="shared" si="6"/>
        <v>0</v>
      </c>
      <c r="AY69" s="4">
        <f t="shared" si="7"/>
        <v>3</v>
      </c>
      <c r="AZ69" s="8" t="s">
        <v>5664</v>
      </c>
      <c r="BA69" s="4" t="s">
        <v>5726</v>
      </c>
      <c r="BB69" s="2"/>
      <c r="BC69" s="3"/>
      <c r="BD69" s="4"/>
    </row>
    <row r="70" spans="1:56" ht="16.8" customHeight="1">
      <c r="A70" s="1">
        <v>69</v>
      </c>
      <c r="B70" s="1" t="s">
        <v>42</v>
      </c>
      <c r="C70" s="1" t="s">
        <v>47</v>
      </c>
      <c r="D70" s="1" t="s">
        <v>330</v>
      </c>
      <c r="E70" s="1" t="s">
        <v>330</v>
      </c>
      <c r="F70" s="1" t="s">
        <v>331</v>
      </c>
      <c r="G70" s="1" t="s">
        <v>332</v>
      </c>
      <c r="H70" s="1" t="s">
        <v>1021</v>
      </c>
      <c r="I70" s="18">
        <v>45931</v>
      </c>
      <c r="J70" s="18">
        <v>45931</v>
      </c>
      <c r="K70" s="18" t="s">
        <v>4787</v>
      </c>
      <c r="L70" s="18" t="s">
        <v>4734</v>
      </c>
      <c r="M70" s="2">
        <v>1200000</v>
      </c>
      <c r="N70" s="2">
        <v>1200000</v>
      </c>
      <c r="O70" s="2"/>
      <c r="P70" s="2" t="str">
        <f t="shared" si="4"/>
        <v/>
      </c>
      <c r="Q70" s="2"/>
      <c r="R70" s="2"/>
      <c r="S70" s="48"/>
      <c r="T70" s="2">
        <v>3600000</v>
      </c>
      <c r="U70" s="2">
        <v>0</v>
      </c>
      <c r="V70" s="1" t="s">
        <v>328</v>
      </c>
      <c r="W70" s="6" t="s">
        <v>329</v>
      </c>
      <c r="X70" s="1" t="s">
        <v>333</v>
      </c>
      <c r="Y70" s="3"/>
      <c r="Z70" s="3"/>
      <c r="AA70" s="3"/>
      <c r="AB70" s="3"/>
      <c r="AC70" s="3"/>
      <c r="AD70" s="3"/>
      <c r="AE70" s="3"/>
      <c r="AF70" s="3"/>
      <c r="AG70" s="3"/>
      <c r="AH70" s="3">
        <v>1200000</v>
      </c>
      <c r="AI70" s="3">
        <v>1200000</v>
      </c>
      <c r="AJ70" s="3">
        <v>1200000</v>
      </c>
      <c r="AK70" s="3">
        <v>1200000</v>
      </c>
      <c r="AL70" s="3">
        <v>1200000</v>
      </c>
      <c r="AM70" s="3">
        <v>1200000</v>
      </c>
      <c r="AN70" s="3">
        <v>1200000</v>
      </c>
      <c r="AO70" s="3">
        <v>1200000</v>
      </c>
      <c r="AP70" s="3">
        <v>1200000</v>
      </c>
      <c r="AQ70" s="3"/>
      <c r="AR70" s="3"/>
      <c r="AS70" s="3"/>
      <c r="AT70" s="3"/>
      <c r="AU70" s="3"/>
      <c r="AV70" s="3"/>
      <c r="AW70" s="3">
        <f t="shared" si="5"/>
        <v>3600000</v>
      </c>
      <c r="AX70" s="3">
        <f t="shared" si="6"/>
        <v>7200000</v>
      </c>
      <c r="AY70" s="4">
        <f t="shared" si="7"/>
        <v>9</v>
      </c>
      <c r="AZ70" s="8">
        <v>0</v>
      </c>
      <c r="BA70" s="4" t="s">
        <v>5726</v>
      </c>
      <c r="BB70" s="2"/>
      <c r="BC70" s="3"/>
      <c r="BD70" s="3"/>
    </row>
    <row r="71" spans="1:56" ht="16.8" customHeight="1">
      <c r="A71" s="1">
        <v>70</v>
      </c>
      <c r="B71" s="1" t="s">
        <v>42</v>
      </c>
      <c r="C71" s="1" t="s">
        <v>43</v>
      </c>
      <c r="D71" s="1" t="s">
        <v>334</v>
      </c>
      <c r="E71" s="1" t="s">
        <v>334</v>
      </c>
      <c r="F71" s="1" t="s">
        <v>335</v>
      </c>
      <c r="G71" s="1" t="s">
        <v>336</v>
      </c>
      <c r="H71" s="1" t="s">
        <v>4788</v>
      </c>
      <c r="I71" s="18">
        <v>46113</v>
      </c>
      <c r="J71" s="18">
        <v>46113</v>
      </c>
      <c r="K71" s="18" t="s">
        <v>4772</v>
      </c>
      <c r="L71" s="18" t="s">
        <v>4734</v>
      </c>
      <c r="M71" s="2">
        <v>1200000</v>
      </c>
      <c r="N71" s="2">
        <v>1200000</v>
      </c>
      <c r="O71" s="2"/>
      <c r="P71" s="2" t="str">
        <f t="shared" si="4"/>
        <v/>
      </c>
      <c r="Q71" s="2"/>
      <c r="R71" s="2"/>
      <c r="S71" s="48"/>
      <c r="T71" s="2">
        <v>7200000</v>
      </c>
      <c r="U71" s="2">
        <v>0</v>
      </c>
      <c r="V71" s="1" t="s">
        <v>87</v>
      </c>
      <c r="W71" s="6" t="s">
        <v>88</v>
      </c>
      <c r="X71" s="1" t="s">
        <v>89</v>
      </c>
      <c r="Y71" s="3"/>
      <c r="Z71" s="3"/>
      <c r="AA71" s="3"/>
      <c r="AB71" s="3"/>
      <c r="AC71" s="3"/>
      <c r="AD71" s="3"/>
      <c r="AE71" s="3">
        <v>1200000</v>
      </c>
      <c r="AF71" s="3">
        <v>1200000</v>
      </c>
      <c r="AG71" s="3">
        <v>1200000</v>
      </c>
      <c r="AH71" s="3">
        <v>1200000</v>
      </c>
      <c r="AI71" s="3">
        <v>1200000</v>
      </c>
      <c r="AJ71" s="3">
        <v>1200000</v>
      </c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f t="shared" si="5"/>
        <v>7200000</v>
      </c>
      <c r="AX71" s="3">
        <f t="shared" si="6"/>
        <v>0</v>
      </c>
      <c r="AY71" s="4">
        <f t="shared" si="7"/>
        <v>6</v>
      </c>
      <c r="AZ71" s="8" t="s">
        <v>5668</v>
      </c>
      <c r="BA71" s="4" t="s">
        <v>5726</v>
      </c>
      <c r="BB71" s="2"/>
      <c r="BC71" s="3"/>
      <c r="BD71" s="4"/>
    </row>
    <row r="72" spans="1:56" ht="16.8" customHeight="1">
      <c r="A72" s="1">
        <v>71</v>
      </c>
      <c r="B72" s="1" t="s">
        <v>42</v>
      </c>
      <c r="C72" s="1" t="s">
        <v>43</v>
      </c>
      <c r="D72" s="1" t="s">
        <v>337</v>
      </c>
      <c r="E72" s="1" t="s">
        <v>337</v>
      </c>
      <c r="F72" s="1" t="s">
        <v>338</v>
      </c>
      <c r="G72" s="1" t="s">
        <v>339</v>
      </c>
      <c r="H72" s="1" t="s">
        <v>4494</v>
      </c>
      <c r="I72" s="18">
        <v>45931</v>
      </c>
      <c r="J72" s="18">
        <v>45931</v>
      </c>
      <c r="K72" s="18" t="s">
        <v>4787</v>
      </c>
      <c r="L72" s="18" t="s">
        <v>4734</v>
      </c>
      <c r="M72" s="2">
        <v>1800000</v>
      </c>
      <c r="N72" s="2">
        <v>1800000</v>
      </c>
      <c r="O72" s="2"/>
      <c r="P72" s="2" t="str">
        <f t="shared" si="4"/>
        <v/>
      </c>
      <c r="Q72" s="2"/>
      <c r="R72" s="2"/>
      <c r="S72" s="48"/>
      <c r="T72" s="2">
        <v>5400000</v>
      </c>
      <c r="U72" s="2">
        <v>0</v>
      </c>
      <c r="V72" s="1" t="s">
        <v>87</v>
      </c>
      <c r="W72" s="6" t="s">
        <v>88</v>
      </c>
      <c r="X72" s="1" t="s">
        <v>230</v>
      </c>
      <c r="Y72" s="3"/>
      <c r="Z72" s="3"/>
      <c r="AA72" s="3"/>
      <c r="AB72" s="3"/>
      <c r="AC72" s="3"/>
      <c r="AD72" s="3"/>
      <c r="AE72" s="3"/>
      <c r="AF72" s="3"/>
      <c r="AG72" s="3"/>
      <c r="AH72" s="3">
        <v>1800000</v>
      </c>
      <c r="AI72" s="3">
        <v>1800000</v>
      </c>
      <c r="AJ72" s="3">
        <v>1800000</v>
      </c>
      <c r="AK72" s="3">
        <v>1800000</v>
      </c>
      <c r="AL72" s="3">
        <v>1800000</v>
      </c>
      <c r="AM72" s="3">
        <v>1800000</v>
      </c>
      <c r="AN72" s="3">
        <v>1800000</v>
      </c>
      <c r="AO72" s="3">
        <v>1800000</v>
      </c>
      <c r="AP72" s="3">
        <v>1800000</v>
      </c>
      <c r="AQ72" s="3"/>
      <c r="AR72" s="3"/>
      <c r="AS72" s="3"/>
      <c r="AT72" s="3"/>
      <c r="AU72" s="3"/>
      <c r="AV72" s="3"/>
      <c r="AW72" s="3">
        <f t="shared" si="5"/>
        <v>5400000</v>
      </c>
      <c r="AX72" s="3">
        <f t="shared" si="6"/>
        <v>10800000</v>
      </c>
      <c r="AY72" s="4">
        <f t="shared" si="7"/>
        <v>9</v>
      </c>
      <c r="BA72" s="4" t="s">
        <v>5727</v>
      </c>
      <c r="BB72" s="2"/>
      <c r="BC72" s="3"/>
      <c r="BD72" s="3"/>
    </row>
    <row r="73" spans="1:56" ht="16.8" customHeight="1">
      <c r="A73" s="1">
        <v>72</v>
      </c>
      <c r="B73" s="1" t="s">
        <v>42</v>
      </c>
      <c r="C73" s="1" t="s">
        <v>43</v>
      </c>
      <c r="D73" s="1" t="s">
        <v>340</v>
      </c>
      <c r="E73" s="1" t="s">
        <v>340</v>
      </c>
      <c r="F73" s="1" t="s">
        <v>341</v>
      </c>
      <c r="G73" s="1" t="s">
        <v>342</v>
      </c>
      <c r="H73" s="1" t="s">
        <v>4495</v>
      </c>
      <c r="I73" s="18">
        <v>45931</v>
      </c>
      <c r="J73" s="18">
        <v>45931</v>
      </c>
      <c r="K73" s="18" t="s">
        <v>4789</v>
      </c>
      <c r="L73" s="18" t="s">
        <v>4734</v>
      </c>
      <c r="M73" s="2">
        <v>1800000</v>
      </c>
      <c r="N73" s="2">
        <v>1800000</v>
      </c>
      <c r="O73" s="2"/>
      <c r="P73" s="2" t="str">
        <f t="shared" si="4"/>
        <v/>
      </c>
      <c r="Q73" s="2"/>
      <c r="R73" s="2"/>
      <c r="S73" s="48"/>
      <c r="T73" s="2">
        <v>5400000</v>
      </c>
      <c r="U73" s="2">
        <v>0</v>
      </c>
      <c r="V73" s="1" t="s">
        <v>87</v>
      </c>
      <c r="W73" s="6" t="s">
        <v>88</v>
      </c>
      <c r="X73" s="1" t="s">
        <v>230</v>
      </c>
      <c r="Y73" s="3"/>
      <c r="Z73" s="3"/>
      <c r="AA73" s="3"/>
      <c r="AB73" s="3"/>
      <c r="AC73" s="3"/>
      <c r="AD73" s="3"/>
      <c r="AE73" s="3"/>
      <c r="AF73" s="3"/>
      <c r="AG73" s="3"/>
      <c r="AH73" s="3">
        <v>1800000</v>
      </c>
      <c r="AI73" s="3">
        <v>1800000</v>
      </c>
      <c r="AJ73" s="3">
        <v>1800000</v>
      </c>
      <c r="AK73" s="3">
        <v>1800000</v>
      </c>
      <c r="AL73" s="3">
        <v>1800000</v>
      </c>
      <c r="AM73" s="3">
        <v>1800000</v>
      </c>
      <c r="AN73" s="3">
        <v>1800000</v>
      </c>
      <c r="AO73" s="3">
        <v>1800000</v>
      </c>
      <c r="AP73" s="3">
        <v>1800000</v>
      </c>
      <c r="AQ73" s="3"/>
      <c r="AR73" s="3"/>
      <c r="AS73" s="3"/>
      <c r="AT73" s="3"/>
      <c r="AU73" s="3"/>
      <c r="AV73" s="3"/>
      <c r="AW73" s="3">
        <f t="shared" si="5"/>
        <v>5400000</v>
      </c>
      <c r="AX73" s="3">
        <f t="shared" si="6"/>
        <v>10800000</v>
      </c>
      <c r="AY73" s="4">
        <f t="shared" si="7"/>
        <v>9</v>
      </c>
      <c r="BA73" s="4" t="s">
        <v>5727</v>
      </c>
      <c r="BB73" s="2"/>
      <c r="BC73" s="3"/>
      <c r="BD73" s="3"/>
    </row>
    <row r="74" spans="1:56" ht="16.8" customHeight="1">
      <c r="A74" s="1">
        <v>73</v>
      </c>
      <c r="B74" s="1" t="s">
        <v>42</v>
      </c>
      <c r="C74" s="1" t="s">
        <v>43</v>
      </c>
      <c r="D74" s="1" t="s">
        <v>343</v>
      </c>
      <c r="E74" s="1" t="s">
        <v>343</v>
      </c>
      <c r="F74" s="1" t="s">
        <v>344</v>
      </c>
      <c r="G74" s="1" t="s">
        <v>345</v>
      </c>
      <c r="H74" s="1" t="s">
        <v>4790</v>
      </c>
      <c r="I74" s="18">
        <v>46027</v>
      </c>
      <c r="J74" s="18">
        <v>46023</v>
      </c>
      <c r="K74" s="18" t="s">
        <v>4791</v>
      </c>
      <c r="L74" s="18" t="s">
        <v>4734</v>
      </c>
      <c r="M74" s="2">
        <v>3000000</v>
      </c>
      <c r="N74" s="22">
        <v>3600000</v>
      </c>
      <c r="O74" s="2">
        <v>3600000</v>
      </c>
      <c r="P74" s="2">
        <f t="shared" si="4"/>
        <v>600000</v>
      </c>
      <c r="Q74" s="2"/>
      <c r="R74" s="2"/>
      <c r="S74" s="48"/>
      <c r="T74" s="2">
        <v>0</v>
      </c>
      <c r="U74" s="2">
        <v>9000000</v>
      </c>
      <c r="V74" s="1" t="s">
        <v>346</v>
      </c>
      <c r="W74" s="6" t="s">
        <v>347</v>
      </c>
      <c r="X74" s="1" t="s">
        <v>210</v>
      </c>
      <c r="Y74" s="3"/>
      <c r="Z74" s="3"/>
      <c r="AA74" s="3"/>
      <c r="AB74" s="3"/>
      <c r="AC74" s="3"/>
      <c r="AD74" s="3"/>
      <c r="AE74" s="3"/>
      <c r="AF74" s="3"/>
      <c r="AG74" s="3"/>
      <c r="AH74" s="3">
        <v>3000000</v>
      </c>
      <c r="AI74" s="3">
        <v>3000000</v>
      </c>
      <c r="AJ74" s="3">
        <v>3000000</v>
      </c>
      <c r="AK74" s="3">
        <v>3600000</v>
      </c>
      <c r="AL74" s="3">
        <v>3600000</v>
      </c>
      <c r="AM74" s="3">
        <v>3600000</v>
      </c>
      <c r="AN74" s="3"/>
      <c r="AO74" s="3"/>
      <c r="AP74" s="3"/>
      <c r="AQ74" s="3"/>
      <c r="AR74" s="3"/>
      <c r="AS74" s="3"/>
      <c r="AT74" s="3"/>
      <c r="AU74" s="3"/>
      <c r="AV74" s="3"/>
      <c r="AW74" s="3">
        <f t="shared" si="5"/>
        <v>9000000</v>
      </c>
      <c r="AX74" s="3">
        <f t="shared" si="6"/>
        <v>10800000</v>
      </c>
      <c r="AY74" s="4">
        <f t="shared" si="7"/>
        <v>6</v>
      </c>
      <c r="AZ74" s="8" t="s">
        <v>5488</v>
      </c>
      <c r="BA74" s="4" t="s">
        <v>5729</v>
      </c>
      <c r="BB74" s="2"/>
      <c r="BC74" s="3"/>
      <c r="BD74" s="3"/>
    </row>
    <row r="75" spans="1:56" ht="16.8" customHeight="1">
      <c r="A75" s="1">
        <v>74</v>
      </c>
      <c r="B75" s="1" t="s">
        <v>42</v>
      </c>
      <c r="C75" s="1" t="s">
        <v>43</v>
      </c>
      <c r="D75" s="1" t="s">
        <v>348</v>
      </c>
      <c r="E75" s="1" t="s">
        <v>348</v>
      </c>
      <c r="F75" s="1" t="s">
        <v>349</v>
      </c>
      <c r="G75" s="1" t="s">
        <v>350</v>
      </c>
      <c r="H75" s="1" t="s">
        <v>4792</v>
      </c>
      <c r="I75" s="18">
        <v>46113</v>
      </c>
      <c r="J75" s="18">
        <v>46113</v>
      </c>
      <c r="K75" s="18" t="s">
        <v>4793</v>
      </c>
      <c r="L75" s="18" t="s">
        <v>4734</v>
      </c>
      <c r="M75" s="2">
        <v>2500000</v>
      </c>
      <c r="N75" s="2">
        <v>2500000</v>
      </c>
      <c r="O75" s="2"/>
      <c r="P75" s="2" t="str">
        <f t="shared" si="4"/>
        <v/>
      </c>
      <c r="Q75" s="2"/>
      <c r="R75" s="2"/>
      <c r="S75" s="48"/>
      <c r="T75" s="2">
        <v>7500000</v>
      </c>
      <c r="U75" s="2">
        <v>0</v>
      </c>
      <c r="V75" s="1" t="s">
        <v>350</v>
      </c>
      <c r="W75" s="6" t="s">
        <v>351</v>
      </c>
      <c r="X75" s="1" t="s">
        <v>89</v>
      </c>
      <c r="Y75" s="3"/>
      <c r="Z75" s="3"/>
      <c r="AA75" s="3"/>
      <c r="AB75" s="3"/>
      <c r="AC75" s="3"/>
      <c r="AD75" s="3"/>
      <c r="AE75" s="3"/>
      <c r="AF75" s="3"/>
      <c r="AG75" s="3"/>
      <c r="AH75" s="3">
        <v>2500000</v>
      </c>
      <c r="AI75" s="3">
        <v>2500000</v>
      </c>
      <c r="AJ75" s="3">
        <v>2500000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f t="shared" si="5"/>
        <v>7500000</v>
      </c>
      <c r="AX75" s="3">
        <f t="shared" si="6"/>
        <v>0</v>
      </c>
      <c r="AY75" s="4">
        <f t="shared" si="7"/>
        <v>3</v>
      </c>
      <c r="AZ75" s="8" t="s">
        <v>5669</v>
      </c>
      <c r="BA75" s="4" t="s">
        <v>5726</v>
      </c>
      <c r="BB75" s="2"/>
      <c r="BC75" s="3"/>
      <c r="BD75" s="4"/>
    </row>
    <row r="76" spans="1:56" s="33" customFormat="1" ht="16.8" customHeight="1">
      <c r="A76" s="29">
        <v>75</v>
      </c>
      <c r="B76" s="29" t="s">
        <v>42</v>
      </c>
      <c r="C76" s="29" t="s">
        <v>43</v>
      </c>
      <c r="D76" s="29" t="s">
        <v>352</v>
      </c>
      <c r="E76" s="29" t="s">
        <v>352</v>
      </c>
      <c r="F76" s="1" t="s">
        <v>353</v>
      </c>
      <c r="G76" s="1" t="s">
        <v>354</v>
      </c>
      <c r="H76" s="1" t="s">
        <v>4496</v>
      </c>
      <c r="I76" s="18">
        <v>45931</v>
      </c>
      <c r="J76" s="18">
        <v>45931</v>
      </c>
      <c r="K76" s="18" t="s">
        <v>4737</v>
      </c>
      <c r="L76" s="18" t="s">
        <v>4734</v>
      </c>
      <c r="M76" s="30">
        <v>1800000</v>
      </c>
      <c r="N76" s="30">
        <v>2000000</v>
      </c>
      <c r="O76" s="30">
        <v>2000000</v>
      </c>
      <c r="P76" s="2">
        <f t="shared" si="4"/>
        <v>200000</v>
      </c>
      <c r="Q76" s="2"/>
      <c r="R76" s="2"/>
      <c r="S76" s="48"/>
      <c r="T76" s="2">
        <v>5400000</v>
      </c>
      <c r="U76" s="2">
        <v>0</v>
      </c>
      <c r="V76" s="1" t="s">
        <v>354</v>
      </c>
      <c r="W76" s="6" t="s">
        <v>355</v>
      </c>
      <c r="X76" s="1" t="s">
        <v>356</v>
      </c>
      <c r="Y76" s="3"/>
      <c r="Z76" s="3"/>
      <c r="AA76" s="3"/>
      <c r="AB76" s="3"/>
      <c r="AC76" s="3"/>
      <c r="AD76" s="3"/>
      <c r="AE76" s="3"/>
      <c r="AF76" s="3"/>
      <c r="AG76" s="3"/>
      <c r="AH76" s="3">
        <v>1800000</v>
      </c>
      <c r="AI76" s="3">
        <v>1800000</v>
      </c>
      <c r="AJ76" s="3">
        <v>1800000</v>
      </c>
      <c r="AK76" s="3">
        <v>1800000</v>
      </c>
      <c r="AL76" s="3">
        <v>1800000</v>
      </c>
      <c r="AM76" s="3">
        <v>1800000</v>
      </c>
      <c r="AN76" s="3">
        <v>1800000</v>
      </c>
      <c r="AO76" s="3">
        <v>1800000</v>
      </c>
      <c r="AP76" s="3">
        <v>1800000</v>
      </c>
      <c r="AQ76" s="31"/>
      <c r="AR76" s="31"/>
      <c r="AS76" s="31"/>
      <c r="AT76" s="31"/>
      <c r="AU76" s="31"/>
      <c r="AV76" s="31"/>
      <c r="AW76" s="31">
        <f t="shared" si="5"/>
        <v>5400000</v>
      </c>
      <c r="AX76" s="31">
        <f t="shared" si="6"/>
        <v>10800000</v>
      </c>
      <c r="AY76" s="32">
        <f t="shared" si="7"/>
        <v>9</v>
      </c>
      <c r="BA76" s="4" t="s">
        <v>5715</v>
      </c>
      <c r="BB76" s="30"/>
      <c r="BC76" s="3"/>
      <c r="BD76" s="31"/>
    </row>
    <row r="77" spans="1:56" ht="16.8" customHeight="1">
      <c r="A77" s="1">
        <v>76</v>
      </c>
      <c r="B77" s="1" t="s">
        <v>42</v>
      </c>
      <c r="C77" s="1" t="s">
        <v>43</v>
      </c>
      <c r="D77" s="1" t="s">
        <v>357</v>
      </c>
      <c r="E77" s="1" t="s">
        <v>357</v>
      </c>
      <c r="F77" s="1" t="s">
        <v>358</v>
      </c>
      <c r="G77" s="1" t="s">
        <v>359</v>
      </c>
      <c r="H77" s="1" t="s">
        <v>4497</v>
      </c>
      <c r="I77" s="18">
        <v>45931</v>
      </c>
      <c r="J77" s="18">
        <v>45931</v>
      </c>
      <c r="K77" s="18" t="s">
        <v>4742</v>
      </c>
      <c r="L77" s="18" t="s">
        <v>4734</v>
      </c>
      <c r="M77" s="2">
        <v>2500000</v>
      </c>
      <c r="N77" s="2">
        <v>2500000</v>
      </c>
      <c r="O77" s="2"/>
      <c r="P77" s="2" t="str">
        <f t="shared" si="4"/>
        <v/>
      </c>
      <c r="Q77" s="2"/>
      <c r="R77" s="2"/>
      <c r="S77" s="48"/>
      <c r="T77" s="2">
        <v>7500000</v>
      </c>
      <c r="U77" s="2">
        <v>0</v>
      </c>
      <c r="V77" s="1" t="s">
        <v>87</v>
      </c>
      <c r="W77" s="6" t="s">
        <v>88</v>
      </c>
      <c r="X77" s="1" t="s">
        <v>89</v>
      </c>
      <c r="Y77" s="3"/>
      <c r="Z77" s="3"/>
      <c r="AA77" s="3"/>
      <c r="AB77" s="3"/>
      <c r="AC77" s="3"/>
      <c r="AD77" s="3"/>
      <c r="AE77" s="3"/>
      <c r="AF77" s="3"/>
      <c r="AG77" s="3"/>
      <c r="AH77" s="3">
        <v>2500000</v>
      </c>
      <c r="AI77" s="3">
        <v>2500000</v>
      </c>
      <c r="AJ77" s="3">
        <v>2500000</v>
      </c>
      <c r="AK77" s="3">
        <v>2500000</v>
      </c>
      <c r="AL77" s="3">
        <v>2500000</v>
      </c>
      <c r="AM77" s="3">
        <v>2500000</v>
      </c>
      <c r="AN77" s="3">
        <v>2500000</v>
      </c>
      <c r="AO77" s="3">
        <v>2500000</v>
      </c>
      <c r="AP77" s="3">
        <v>2500000</v>
      </c>
      <c r="AQ77" s="3"/>
      <c r="AR77" s="3"/>
      <c r="AS77" s="3"/>
      <c r="AT77" s="3"/>
      <c r="AU77" s="3"/>
      <c r="AV77" s="3"/>
      <c r="AW77" s="3">
        <f t="shared" si="5"/>
        <v>7500000</v>
      </c>
      <c r="AX77" s="3">
        <f t="shared" si="6"/>
        <v>15000000</v>
      </c>
      <c r="AY77" s="4">
        <f t="shared" si="7"/>
        <v>9</v>
      </c>
      <c r="AZ77" s="8" t="s">
        <v>5670</v>
      </c>
      <c r="BA77" s="4" t="s">
        <v>5715</v>
      </c>
      <c r="BB77" s="2"/>
      <c r="BC77" s="3"/>
      <c r="BD77" s="3"/>
    </row>
    <row r="78" spans="1:56" s="33" customFormat="1" ht="16.8" customHeight="1">
      <c r="A78" s="29">
        <v>77</v>
      </c>
      <c r="B78" s="29" t="s">
        <v>42</v>
      </c>
      <c r="C78" s="1" t="s">
        <v>47</v>
      </c>
      <c r="D78" s="29" t="s">
        <v>360</v>
      </c>
      <c r="E78" s="29" t="s">
        <v>360</v>
      </c>
      <c r="F78" s="1" t="s">
        <v>361</v>
      </c>
      <c r="G78" s="1" t="s">
        <v>362</v>
      </c>
      <c r="H78" s="1" t="s">
        <v>4794</v>
      </c>
      <c r="I78" s="18">
        <v>45931</v>
      </c>
      <c r="J78" s="18">
        <v>45931</v>
      </c>
      <c r="K78" s="18" t="s">
        <v>4795</v>
      </c>
      <c r="L78" s="18" t="s">
        <v>4734</v>
      </c>
      <c r="M78" s="30">
        <v>1200000</v>
      </c>
      <c r="N78" s="30">
        <v>2100000</v>
      </c>
      <c r="O78" s="30">
        <v>2100000</v>
      </c>
      <c r="P78" s="2">
        <f t="shared" si="4"/>
        <v>900000</v>
      </c>
      <c r="Q78" s="2"/>
      <c r="R78" s="2"/>
      <c r="S78" s="48"/>
      <c r="T78" s="2">
        <v>3600000</v>
      </c>
      <c r="U78" s="2">
        <v>0</v>
      </c>
      <c r="V78" s="1" t="s">
        <v>328</v>
      </c>
      <c r="W78" s="6" t="s">
        <v>329</v>
      </c>
      <c r="X78" s="1" t="s">
        <v>106</v>
      </c>
      <c r="Y78" s="3"/>
      <c r="Z78" s="3"/>
      <c r="AA78" s="3"/>
      <c r="AB78" s="3"/>
      <c r="AC78" s="3"/>
      <c r="AD78" s="3"/>
      <c r="AE78" s="3"/>
      <c r="AF78" s="3"/>
      <c r="AG78" s="3"/>
      <c r="AH78" s="3">
        <v>1200000</v>
      </c>
      <c r="AI78" s="3">
        <v>1200000</v>
      </c>
      <c r="AJ78" s="3">
        <v>1200000</v>
      </c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>
        <f t="shared" si="5"/>
        <v>3600000</v>
      </c>
      <c r="AX78" s="31">
        <f t="shared" si="6"/>
        <v>0</v>
      </c>
      <c r="AY78" s="32">
        <f t="shared" si="7"/>
        <v>3</v>
      </c>
      <c r="BA78" s="4" t="s">
        <v>5726</v>
      </c>
      <c r="BB78" s="30"/>
      <c r="BC78" s="3"/>
      <c r="BD78" s="32"/>
    </row>
    <row r="79" spans="1:56" s="33" customFormat="1" ht="16.8" customHeight="1">
      <c r="A79" s="29">
        <v>78</v>
      </c>
      <c r="B79" s="29" t="s">
        <v>42</v>
      </c>
      <c r="C79" s="1" t="s">
        <v>47</v>
      </c>
      <c r="D79" s="29" t="s">
        <v>363</v>
      </c>
      <c r="E79" s="29" t="s">
        <v>363</v>
      </c>
      <c r="F79" s="1" t="s">
        <v>364</v>
      </c>
      <c r="G79" s="1" t="s">
        <v>365</v>
      </c>
      <c r="H79" s="1" t="s">
        <v>4796</v>
      </c>
      <c r="I79" s="18">
        <v>45931</v>
      </c>
      <c r="J79" s="18">
        <v>45931</v>
      </c>
      <c r="K79" s="18" t="s">
        <v>4795</v>
      </c>
      <c r="L79" s="18" t="s">
        <v>4734</v>
      </c>
      <c r="M79" s="30">
        <v>1200000</v>
      </c>
      <c r="N79" s="30">
        <v>2000000</v>
      </c>
      <c r="O79" s="30">
        <v>2000000</v>
      </c>
      <c r="P79" s="2">
        <f t="shared" si="4"/>
        <v>800000</v>
      </c>
      <c r="Q79" s="2"/>
      <c r="R79" s="2"/>
      <c r="S79" s="48"/>
      <c r="T79" s="2">
        <v>3600000</v>
      </c>
      <c r="U79" s="2">
        <v>0</v>
      </c>
      <c r="V79" s="1" t="s">
        <v>328</v>
      </c>
      <c r="W79" s="6" t="s">
        <v>329</v>
      </c>
      <c r="X79" s="1" t="s">
        <v>106</v>
      </c>
      <c r="Y79" s="3"/>
      <c r="Z79" s="3"/>
      <c r="AA79" s="3"/>
      <c r="AB79" s="3"/>
      <c r="AC79" s="3"/>
      <c r="AD79" s="3"/>
      <c r="AE79" s="3"/>
      <c r="AF79" s="3"/>
      <c r="AG79" s="3"/>
      <c r="AH79" s="3">
        <v>1200000</v>
      </c>
      <c r="AI79" s="3">
        <v>1200000</v>
      </c>
      <c r="AJ79" s="3">
        <v>1200000</v>
      </c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>
        <f t="shared" si="5"/>
        <v>3600000</v>
      </c>
      <c r="AX79" s="31">
        <f t="shared" si="6"/>
        <v>0</v>
      </c>
      <c r="AY79" s="32">
        <f t="shared" si="7"/>
        <v>3</v>
      </c>
      <c r="BA79" s="4" t="s">
        <v>5726</v>
      </c>
      <c r="BB79" s="30"/>
      <c r="BC79" s="3"/>
      <c r="BD79" s="32"/>
    </row>
    <row r="80" spans="1:56" ht="16.8" customHeight="1">
      <c r="A80" s="1">
        <v>79</v>
      </c>
      <c r="B80" s="1" t="s">
        <v>42</v>
      </c>
      <c r="C80" s="1" t="s">
        <v>185</v>
      </c>
      <c r="D80" s="1" t="s">
        <v>367</v>
      </c>
      <c r="E80" s="1" t="s">
        <v>367</v>
      </c>
      <c r="F80" s="1" t="s">
        <v>368</v>
      </c>
      <c r="G80" s="1" t="s">
        <v>369</v>
      </c>
      <c r="H80" s="1" t="s">
        <v>4498</v>
      </c>
      <c r="I80" s="18">
        <v>45931</v>
      </c>
      <c r="J80" s="18">
        <v>45931</v>
      </c>
      <c r="K80" s="18" t="s">
        <v>4797</v>
      </c>
      <c r="L80" s="18"/>
      <c r="M80" s="2">
        <v>1700000</v>
      </c>
      <c r="N80" s="2">
        <v>1700000</v>
      </c>
      <c r="O80" s="2"/>
      <c r="P80" s="2" t="str">
        <f t="shared" si="4"/>
        <v/>
      </c>
      <c r="Q80" s="2"/>
      <c r="R80" s="2"/>
      <c r="S80" s="48"/>
      <c r="T80" s="2">
        <v>5100000</v>
      </c>
      <c r="U80" s="2">
        <v>0</v>
      </c>
      <c r="V80" s="1" t="s">
        <v>369</v>
      </c>
      <c r="W80" s="6" t="s">
        <v>370</v>
      </c>
      <c r="X80" s="1" t="s">
        <v>333</v>
      </c>
      <c r="Y80" s="3"/>
      <c r="Z80" s="3"/>
      <c r="AA80" s="3"/>
      <c r="AB80" s="3"/>
      <c r="AC80" s="3"/>
      <c r="AD80" s="3"/>
      <c r="AE80" s="3"/>
      <c r="AF80" s="3"/>
      <c r="AG80" s="3"/>
      <c r="AH80" s="3">
        <v>1700000</v>
      </c>
      <c r="AI80" s="3">
        <v>1700000</v>
      </c>
      <c r="AJ80" s="3">
        <v>1700000</v>
      </c>
      <c r="AK80" s="3">
        <v>1700000</v>
      </c>
      <c r="AL80" s="3">
        <v>1700000</v>
      </c>
      <c r="AM80" s="3">
        <v>1700000</v>
      </c>
      <c r="AN80" s="3">
        <v>1700000</v>
      </c>
      <c r="AO80" s="3">
        <v>1700000</v>
      </c>
      <c r="AP80" s="3">
        <v>1700000</v>
      </c>
      <c r="AQ80" s="3"/>
      <c r="AR80" s="3"/>
      <c r="AS80" s="3"/>
      <c r="AT80" s="3"/>
      <c r="AU80" s="3"/>
      <c r="AV80" s="3"/>
      <c r="AW80" s="3">
        <f t="shared" si="5"/>
        <v>5100000</v>
      </c>
      <c r="AX80" s="3">
        <f t="shared" si="6"/>
        <v>10200000</v>
      </c>
      <c r="AY80" s="4">
        <f t="shared" si="7"/>
        <v>9</v>
      </c>
      <c r="BA80" s="4" t="s">
        <v>5715</v>
      </c>
      <c r="BB80" s="2"/>
      <c r="BC80" s="3"/>
      <c r="BD80" s="3"/>
    </row>
    <row r="81" spans="1:56" ht="16.8" customHeight="1">
      <c r="A81" s="1">
        <v>80</v>
      </c>
      <c r="B81" s="1" t="s">
        <v>42</v>
      </c>
      <c r="C81" s="1" t="s">
        <v>185</v>
      </c>
      <c r="D81" s="1" t="s">
        <v>371</v>
      </c>
      <c r="E81" s="1" t="s">
        <v>371</v>
      </c>
      <c r="F81" s="1" t="s">
        <v>372</v>
      </c>
      <c r="G81" s="1" t="s">
        <v>63</v>
      </c>
      <c r="H81" s="1" t="s">
        <v>4735</v>
      </c>
      <c r="I81" s="18">
        <v>45945</v>
      </c>
      <c r="J81" s="18">
        <v>45931</v>
      </c>
      <c r="K81" s="18" t="s">
        <v>4733</v>
      </c>
      <c r="L81" s="18" t="s">
        <v>4734</v>
      </c>
      <c r="M81" s="2">
        <v>4545455</v>
      </c>
      <c r="N81" s="2">
        <v>4545455</v>
      </c>
      <c r="O81" s="2"/>
      <c r="P81" s="2" t="str">
        <f t="shared" si="4"/>
        <v/>
      </c>
      <c r="Q81" s="2"/>
      <c r="R81" s="2"/>
      <c r="S81" s="48"/>
      <c r="T81" s="2">
        <v>15000002</v>
      </c>
      <c r="U81" s="2">
        <v>0</v>
      </c>
      <c r="V81" s="1" t="s">
        <v>63</v>
      </c>
      <c r="W81" s="6" t="s">
        <v>64</v>
      </c>
      <c r="X81" s="1" t="s">
        <v>65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v>4545455</v>
      </c>
      <c r="AL81" s="3">
        <v>4545455</v>
      </c>
      <c r="AM81" s="3">
        <v>4545455</v>
      </c>
      <c r="AN81" s="3">
        <v>4545455</v>
      </c>
      <c r="AO81" s="3">
        <v>4545455</v>
      </c>
      <c r="AP81" s="3">
        <v>4545455</v>
      </c>
      <c r="AQ81" s="3"/>
      <c r="AR81" s="3"/>
      <c r="AS81" s="3"/>
      <c r="AT81" s="3"/>
      <c r="AU81" s="3"/>
      <c r="AV81" s="3"/>
      <c r="AW81" s="3">
        <f t="shared" si="5"/>
        <v>0</v>
      </c>
      <c r="AX81" s="3">
        <f t="shared" si="6"/>
        <v>27272730</v>
      </c>
      <c r="AY81" s="4">
        <f t="shared" si="7"/>
        <v>6</v>
      </c>
      <c r="AZ81" s="8" t="s">
        <v>5484</v>
      </c>
      <c r="BA81" s="4" t="s">
        <v>5727</v>
      </c>
      <c r="BB81" s="2"/>
      <c r="BC81" s="3"/>
      <c r="BD81" s="3"/>
    </row>
    <row r="82" spans="1:56" ht="16.8" customHeight="1">
      <c r="A82" s="1">
        <v>81</v>
      </c>
      <c r="B82" s="1" t="s">
        <v>42</v>
      </c>
      <c r="C82" s="1" t="s">
        <v>185</v>
      </c>
      <c r="D82" s="1" t="s">
        <v>373</v>
      </c>
      <c r="E82" s="1" t="s">
        <v>373</v>
      </c>
      <c r="F82" s="1" t="s">
        <v>374</v>
      </c>
      <c r="G82" s="1" t="s">
        <v>375</v>
      </c>
      <c r="H82" s="1" t="s">
        <v>4798</v>
      </c>
      <c r="I82" s="18">
        <v>45931</v>
      </c>
      <c r="J82" s="18">
        <v>45931</v>
      </c>
      <c r="K82" s="18" t="s">
        <v>4733</v>
      </c>
      <c r="L82" s="18" t="s">
        <v>4734</v>
      </c>
      <c r="M82" s="2">
        <v>7600000</v>
      </c>
      <c r="N82" s="2">
        <v>7600000</v>
      </c>
      <c r="O82" s="2"/>
      <c r="P82" s="2" t="str">
        <f t="shared" si="4"/>
        <v/>
      </c>
      <c r="Q82" s="2"/>
      <c r="R82" s="2"/>
      <c r="S82" s="48"/>
      <c r="T82" s="2">
        <v>22800000</v>
      </c>
      <c r="U82" s="2">
        <v>0</v>
      </c>
      <c r="V82" s="1" t="s">
        <v>376</v>
      </c>
      <c r="W82" s="6" t="s">
        <v>377</v>
      </c>
      <c r="X82" s="1" t="s">
        <v>378</v>
      </c>
      <c r="Y82" s="3"/>
      <c r="Z82" s="3"/>
      <c r="AA82" s="3"/>
      <c r="AB82" s="3"/>
      <c r="AC82" s="3"/>
      <c r="AD82" s="3"/>
      <c r="AE82" s="3"/>
      <c r="AF82" s="3"/>
      <c r="AG82" s="3"/>
      <c r="AH82" s="3">
        <v>7600000</v>
      </c>
      <c r="AI82" s="3">
        <v>7600000</v>
      </c>
      <c r="AJ82" s="3">
        <v>7600000</v>
      </c>
      <c r="AK82" s="3">
        <v>7600000</v>
      </c>
      <c r="AL82" s="3">
        <v>7600000</v>
      </c>
      <c r="AM82" s="3">
        <v>7600000</v>
      </c>
      <c r="AN82" s="3">
        <v>7600000</v>
      </c>
      <c r="AO82" s="3">
        <v>7600000</v>
      </c>
      <c r="AP82" s="3">
        <v>7600000</v>
      </c>
      <c r="AQ82" s="3"/>
      <c r="AR82" s="3"/>
      <c r="AS82" s="3"/>
      <c r="AT82" s="3"/>
      <c r="AU82" s="3"/>
      <c r="AV82" s="3"/>
      <c r="AW82" s="3">
        <f t="shared" si="5"/>
        <v>22800000</v>
      </c>
      <c r="AX82" s="3">
        <f t="shared" si="6"/>
        <v>45600000</v>
      </c>
      <c r="AY82" s="4">
        <f t="shared" si="7"/>
        <v>9</v>
      </c>
      <c r="AZ82" s="8" t="s">
        <v>5486</v>
      </c>
      <c r="BA82" s="4" t="s">
        <v>5717</v>
      </c>
      <c r="BB82" s="2">
        <v>22800000</v>
      </c>
      <c r="BC82" s="3"/>
      <c r="BD82" s="3"/>
    </row>
    <row r="83" spans="1:56" ht="16.8" customHeight="1">
      <c r="A83" s="1">
        <v>82</v>
      </c>
      <c r="B83" s="1" t="s">
        <v>42</v>
      </c>
      <c r="C83" s="1" t="s">
        <v>185</v>
      </c>
      <c r="D83" s="1" t="s">
        <v>379</v>
      </c>
      <c r="E83" s="1" t="s">
        <v>379</v>
      </c>
      <c r="F83" s="1" t="s">
        <v>380</v>
      </c>
      <c r="G83" s="1" t="s">
        <v>157</v>
      </c>
      <c r="H83" s="1" t="s">
        <v>4754</v>
      </c>
      <c r="I83" s="18">
        <v>45931</v>
      </c>
      <c r="J83" s="18">
        <v>45931</v>
      </c>
      <c r="K83" s="18" t="s">
        <v>4755</v>
      </c>
      <c r="L83" s="18" t="s">
        <v>4734</v>
      </c>
      <c r="M83" s="2">
        <v>8450000</v>
      </c>
      <c r="N83" s="22">
        <v>8450000</v>
      </c>
      <c r="O83" s="2"/>
      <c r="P83" s="2" t="str">
        <f t="shared" si="4"/>
        <v/>
      </c>
      <c r="Q83" s="2"/>
      <c r="R83" s="2"/>
      <c r="S83" s="48"/>
      <c r="T83" s="2">
        <v>27060000</v>
      </c>
      <c r="U83" s="2">
        <v>0</v>
      </c>
      <c r="V83" s="1" t="s">
        <v>157</v>
      </c>
      <c r="W83" s="6" t="s">
        <v>158</v>
      </c>
      <c r="X83" s="1" t="s">
        <v>159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>
        <v>8450000</v>
      </c>
      <c r="AL83" s="3">
        <v>8450000</v>
      </c>
      <c r="AM83" s="3">
        <v>8450000</v>
      </c>
      <c r="AN83" s="3">
        <v>8450000</v>
      </c>
      <c r="AO83" s="3">
        <v>8450000</v>
      </c>
      <c r="AP83" s="3">
        <v>8450000</v>
      </c>
      <c r="AQ83" s="3"/>
      <c r="AR83" s="3"/>
      <c r="AS83" s="3"/>
      <c r="AT83" s="3"/>
      <c r="AU83" s="3"/>
      <c r="AV83" s="3"/>
      <c r="AW83" s="3">
        <f t="shared" si="5"/>
        <v>0</v>
      </c>
      <c r="AX83" s="3">
        <f t="shared" si="6"/>
        <v>50700000</v>
      </c>
      <c r="AY83" s="4">
        <f t="shared" si="7"/>
        <v>6</v>
      </c>
      <c r="AZ83" s="8" t="s">
        <v>5488</v>
      </c>
      <c r="BA83" s="4" t="s">
        <v>5727</v>
      </c>
      <c r="BB83" s="2"/>
      <c r="BC83" s="3"/>
      <c r="BD83" s="3"/>
    </row>
    <row r="84" spans="1:56" ht="16.8" customHeight="1">
      <c r="A84" s="1">
        <v>83</v>
      </c>
      <c r="B84" s="1" t="s">
        <v>42</v>
      </c>
      <c r="C84" s="1" t="s">
        <v>185</v>
      </c>
      <c r="D84" s="1" t="s">
        <v>381</v>
      </c>
      <c r="E84" s="1" t="s">
        <v>381</v>
      </c>
      <c r="F84" s="1" t="s">
        <v>382</v>
      </c>
      <c r="G84" s="1" t="s">
        <v>63</v>
      </c>
      <c r="H84" s="1" t="s">
        <v>4735</v>
      </c>
      <c r="I84" s="18">
        <v>45945</v>
      </c>
      <c r="J84" s="18">
        <v>45931</v>
      </c>
      <c r="K84" s="18" t="s">
        <v>4733</v>
      </c>
      <c r="L84" s="18" t="s">
        <v>4734</v>
      </c>
      <c r="M84" s="2">
        <v>6356364</v>
      </c>
      <c r="N84" s="2">
        <v>6356364</v>
      </c>
      <c r="O84" s="2"/>
      <c r="P84" s="2" t="str">
        <f t="shared" si="4"/>
        <v/>
      </c>
      <c r="Q84" s="2"/>
      <c r="R84" s="2"/>
      <c r="S84" s="48"/>
      <c r="T84" s="2">
        <v>20976001</v>
      </c>
      <c r="U84" s="2">
        <v>0</v>
      </c>
      <c r="V84" s="1" t="s">
        <v>63</v>
      </c>
      <c r="W84" s="6" t="s">
        <v>64</v>
      </c>
      <c r="X84" s="1" t="s">
        <v>65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>
        <v>6356364</v>
      </c>
      <c r="AL84" s="3">
        <v>6356364</v>
      </c>
      <c r="AM84" s="3">
        <v>6356364</v>
      </c>
      <c r="AN84" s="3">
        <v>6356364</v>
      </c>
      <c r="AO84" s="3">
        <v>6356364</v>
      </c>
      <c r="AP84" s="3">
        <v>6356364</v>
      </c>
      <c r="AQ84" s="3"/>
      <c r="AR84" s="3"/>
      <c r="AS84" s="3"/>
      <c r="AT84" s="3"/>
      <c r="AU84" s="3"/>
      <c r="AV84" s="3"/>
      <c r="AW84" s="3">
        <f t="shared" si="5"/>
        <v>0</v>
      </c>
      <c r="AX84" s="3">
        <f t="shared" si="6"/>
        <v>38138184</v>
      </c>
      <c r="AY84" s="4">
        <f t="shared" si="7"/>
        <v>6</v>
      </c>
      <c r="AZ84" s="8" t="s">
        <v>5484</v>
      </c>
      <c r="BA84" s="4" t="s">
        <v>5727</v>
      </c>
      <c r="BB84" s="2"/>
      <c r="BC84" s="3"/>
      <c r="BD84" s="3"/>
    </row>
    <row r="85" spans="1:56" ht="16.8" customHeight="1">
      <c r="A85" s="1">
        <v>84</v>
      </c>
      <c r="B85" s="1" t="s">
        <v>42</v>
      </c>
      <c r="C85" s="1" t="s">
        <v>185</v>
      </c>
      <c r="D85" s="1" t="s">
        <v>383</v>
      </c>
      <c r="E85" s="1" t="s">
        <v>383</v>
      </c>
      <c r="F85" s="1" t="s">
        <v>384</v>
      </c>
      <c r="G85" s="1" t="s">
        <v>385</v>
      </c>
      <c r="H85" s="1" t="s">
        <v>4499</v>
      </c>
      <c r="I85" s="18">
        <v>45931</v>
      </c>
      <c r="J85" s="18">
        <v>45931</v>
      </c>
      <c r="K85" s="18" t="s">
        <v>4733</v>
      </c>
      <c r="L85" s="18" t="s">
        <v>4734</v>
      </c>
      <c r="M85" s="2">
        <v>8450000</v>
      </c>
      <c r="N85" s="2">
        <v>8450000</v>
      </c>
      <c r="O85" s="2"/>
      <c r="P85" s="2" t="str">
        <f t="shared" si="4"/>
        <v/>
      </c>
      <c r="Q85" s="2"/>
      <c r="R85" s="2"/>
      <c r="S85" s="48"/>
      <c r="T85" s="2">
        <v>25350000</v>
      </c>
      <c r="U85" s="2">
        <v>0</v>
      </c>
      <c r="V85" s="1" t="s">
        <v>385</v>
      </c>
      <c r="W85" s="6" t="s">
        <v>386</v>
      </c>
      <c r="X85" s="1" t="s">
        <v>387</v>
      </c>
      <c r="Y85" s="3"/>
      <c r="Z85" s="3"/>
      <c r="AA85" s="3"/>
      <c r="AB85" s="3"/>
      <c r="AC85" s="3"/>
      <c r="AD85" s="3"/>
      <c r="AE85" s="3"/>
      <c r="AF85" s="3"/>
      <c r="AG85" s="3"/>
      <c r="AH85" s="3">
        <v>8450000</v>
      </c>
      <c r="AI85" s="3">
        <v>8450000</v>
      </c>
      <c r="AJ85" s="3">
        <v>8450000</v>
      </c>
      <c r="AK85" s="3">
        <v>8450000</v>
      </c>
      <c r="AL85" s="3">
        <v>8450000</v>
      </c>
      <c r="AM85" s="3">
        <v>8450000</v>
      </c>
      <c r="AN85" s="3">
        <v>8450000</v>
      </c>
      <c r="AO85" s="3">
        <v>8450000</v>
      </c>
      <c r="AP85" s="3">
        <v>8450000</v>
      </c>
      <c r="AQ85" s="3"/>
      <c r="AR85" s="3"/>
      <c r="AS85" s="3"/>
      <c r="AT85" s="3"/>
      <c r="AU85" s="3"/>
      <c r="AV85" s="3"/>
      <c r="AW85" s="3">
        <f t="shared" si="5"/>
        <v>25350000</v>
      </c>
      <c r="AX85" s="3">
        <f t="shared" si="6"/>
        <v>50700000</v>
      </c>
      <c r="AY85" s="4">
        <f t="shared" si="7"/>
        <v>9</v>
      </c>
      <c r="AZ85" s="8" t="s">
        <v>5486</v>
      </c>
      <c r="BA85" s="4" t="s">
        <v>5727</v>
      </c>
      <c r="BB85" s="2"/>
      <c r="BC85" s="3"/>
      <c r="BD85" s="3"/>
    </row>
    <row r="86" spans="1:56" ht="16.8" customHeight="1">
      <c r="A86" s="1">
        <v>85</v>
      </c>
      <c r="B86" s="1" t="s">
        <v>42</v>
      </c>
      <c r="C86" s="1" t="s">
        <v>185</v>
      </c>
      <c r="D86" s="1" t="s">
        <v>388</v>
      </c>
      <c r="E86" s="1" t="s">
        <v>388</v>
      </c>
      <c r="F86" s="1" t="s">
        <v>389</v>
      </c>
      <c r="G86" s="1" t="s">
        <v>390</v>
      </c>
      <c r="H86" s="1" t="s">
        <v>4799</v>
      </c>
      <c r="I86" s="18">
        <v>45931</v>
      </c>
      <c r="J86" s="18">
        <v>45931</v>
      </c>
      <c r="K86" s="18" t="s">
        <v>4800</v>
      </c>
      <c r="L86" s="18"/>
      <c r="M86" s="2">
        <v>2000000</v>
      </c>
      <c r="N86" s="2">
        <v>2000000</v>
      </c>
      <c r="O86" s="2"/>
      <c r="P86" s="2" t="str">
        <f t="shared" si="4"/>
        <v/>
      </c>
      <c r="Q86" s="2"/>
      <c r="R86" s="2"/>
      <c r="S86" s="48"/>
      <c r="T86" s="2">
        <v>6000000</v>
      </c>
      <c r="U86" s="2">
        <v>0</v>
      </c>
      <c r="V86" s="1" t="s">
        <v>390</v>
      </c>
      <c r="W86" s="6" t="s">
        <v>391</v>
      </c>
      <c r="X86" s="1" t="s">
        <v>324</v>
      </c>
      <c r="Y86" s="3"/>
      <c r="Z86" s="3"/>
      <c r="AA86" s="3"/>
      <c r="AB86" s="3"/>
      <c r="AC86" s="3"/>
      <c r="AD86" s="3"/>
      <c r="AE86" s="3"/>
      <c r="AF86" s="3"/>
      <c r="AG86" s="3"/>
      <c r="AH86" s="3">
        <v>2000000</v>
      </c>
      <c r="AI86" s="3">
        <v>2000000</v>
      </c>
      <c r="AJ86" s="3">
        <v>2000000</v>
      </c>
      <c r="AK86" s="3">
        <v>2000000</v>
      </c>
      <c r="AL86" s="3">
        <v>2000000</v>
      </c>
      <c r="AM86" s="3">
        <v>2000000</v>
      </c>
      <c r="AN86" s="3">
        <v>2000000</v>
      </c>
      <c r="AO86" s="3">
        <v>2000000</v>
      </c>
      <c r="AP86" s="3">
        <v>2000000</v>
      </c>
      <c r="AQ86" s="3"/>
      <c r="AR86" s="3"/>
      <c r="AS86" s="3"/>
      <c r="AT86" s="3"/>
      <c r="AU86" s="3"/>
      <c r="AV86" s="3"/>
      <c r="AW86" s="3">
        <f t="shared" si="5"/>
        <v>6000000</v>
      </c>
      <c r="AX86" s="3">
        <f t="shared" si="6"/>
        <v>12000000</v>
      </c>
      <c r="AY86" s="4">
        <f t="shared" si="7"/>
        <v>9</v>
      </c>
      <c r="BA86" s="4" t="s">
        <v>5726</v>
      </c>
      <c r="BB86" s="2"/>
      <c r="BC86" s="3"/>
      <c r="BD86" s="3"/>
    </row>
    <row r="87" spans="1:56" s="38" customFormat="1" ht="16.8" customHeight="1">
      <c r="A87" s="34">
        <v>86</v>
      </c>
      <c r="B87" s="34" t="s">
        <v>42</v>
      </c>
      <c r="C87" s="1" t="s">
        <v>185</v>
      </c>
      <c r="D87" s="34" t="s">
        <v>392</v>
      </c>
      <c r="E87" s="34" t="s">
        <v>392</v>
      </c>
      <c r="F87" s="10" t="s">
        <v>393</v>
      </c>
      <c r="G87" s="10" t="s">
        <v>394</v>
      </c>
      <c r="H87" s="1" t="s">
        <v>4500</v>
      </c>
      <c r="I87" s="18">
        <v>45931</v>
      </c>
      <c r="J87" s="18">
        <v>45931</v>
      </c>
      <c r="K87" s="18" t="s">
        <v>4742</v>
      </c>
      <c r="L87" s="18" t="s">
        <v>4734</v>
      </c>
      <c r="M87" s="35">
        <v>2500000</v>
      </c>
      <c r="N87" s="35">
        <v>3000000</v>
      </c>
      <c r="O87" s="30">
        <v>3000000</v>
      </c>
      <c r="P87" s="11">
        <f t="shared" si="4"/>
        <v>500000</v>
      </c>
      <c r="Q87" s="2"/>
      <c r="R87" s="2"/>
      <c r="S87" s="48"/>
      <c r="T87" s="11">
        <v>7500000</v>
      </c>
      <c r="U87" s="11">
        <v>0</v>
      </c>
      <c r="V87" s="10" t="s">
        <v>395</v>
      </c>
      <c r="W87" s="12" t="s">
        <v>396</v>
      </c>
      <c r="X87" s="10" t="s">
        <v>397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>
        <v>2500000</v>
      </c>
      <c r="AI87" s="13">
        <v>2500000</v>
      </c>
      <c r="AJ87" s="13">
        <v>2500000</v>
      </c>
      <c r="AK87" s="36">
        <v>3000000</v>
      </c>
      <c r="AL87" s="36">
        <v>3000000</v>
      </c>
      <c r="AM87" s="36">
        <v>3000000</v>
      </c>
      <c r="AN87" s="36">
        <v>3000000</v>
      </c>
      <c r="AO87" s="36">
        <v>3000000</v>
      </c>
      <c r="AP87" s="36">
        <v>3000000</v>
      </c>
      <c r="AQ87" s="36">
        <v>3000000</v>
      </c>
      <c r="AR87" s="36">
        <v>3000000</v>
      </c>
      <c r="AS87" s="36">
        <v>3000000</v>
      </c>
      <c r="AT87" s="36">
        <v>3000000</v>
      </c>
      <c r="AU87" s="36">
        <v>3000000</v>
      </c>
      <c r="AV87" s="36">
        <v>3000000</v>
      </c>
      <c r="AW87" s="36">
        <f t="shared" si="5"/>
        <v>7500000</v>
      </c>
      <c r="AX87" s="36">
        <f t="shared" si="6"/>
        <v>36000000</v>
      </c>
      <c r="AY87" s="37">
        <f t="shared" si="7"/>
        <v>15</v>
      </c>
      <c r="AZ87" s="33"/>
      <c r="BA87" s="4" t="s">
        <v>5726</v>
      </c>
      <c r="BB87" s="35"/>
      <c r="BC87" s="3"/>
      <c r="BD87" s="36"/>
    </row>
    <row r="88" spans="1:56" ht="16.8" customHeight="1">
      <c r="A88" s="1">
        <v>87</v>
      </c>
      <c r="B88" s="1" t="s">
        <v>42</v>
      </c>
      <c r="C88" s="1" t="s">
        <v>185</v>
      </c>
      <c r="D88" s="1" t="s">
        <v>398</v>
      </c>
      <c r="E88" s="1" t="s">
        <v>398</v>
      </c>
      <c r="F88" s="1" t="s">
        <v>399</v>
      </c>
      <c r="G88" s="1" t="s">
        <v>400</v>
      </c>
      <c r="H88" s="1" t="s">
        <v>4501</v>
      </c>
      <c r="I88" s="18">
        <v>45931</v>
      </c>
      <c r="J88" s="18">
        <v>45931</v>
      </c>
      <c r="K88" s="18" t="s">
        <v>4733</v>
      </c>
      <c r="L88" s="18" t="s">
        <v>4734</v>
      </c>
      <c r="M88" s="2">
        <v>8200000</v>
      </c>
      <c r="N88" s="2">
        <v>8200000</v>
      </c>
      <c r="O88" s="2"/>
      <c r="P88" s="2" t="str">
        <f t="shared" si="4"/>
        <v/>
      </c>
      <c r="Q88" s="2"/>
      <c r="R88" s="2"/>
      <c r="S88" s="48"/>
      <c r="T88" s="2">
        <v>24600000</v>
      </c>
      <c r="U88" s="2">
        <v>0</v>
      </c>
      <c r="V88" s="1" t="s">
        <v>401</v>
      </c>
      <c r="W88" s="6" t="s">
        <v>402</v>
      </c>
      <c r="X88" s="1" t="s">
        <v>403</v>
      </c>
      <c r="Y88" s="3"/>
      <c r="Z88" s="3"/>
      <c r="AA88" s="3"/>
      <c r="AB88" s="3"/>
      <c r="AC88" s="3"/>
      <c r="AD88" s="3"/>
      <c r="AE88" s="3"/>
      <c r="AF88" s="3"/>
      <c r="AG88" s="3"/>
      <c r="AH88" s="3">
        <v>8200000</v>
      </c>
      <c r="AI88" s="3">
        <v>8200000</v>
      </c>
      <c r="AJ88" s="3">
        <v>8200000</v>
      </c>
      <c r="AK88" s="3">
        <v>8200000</v>
      </c>
      <c r="AL88" s="3">
        <v>8200000</v>
      </c>
      <c r="AM88" s="3">
        <v>8200000</v>
      </c>
      <c r="AN88" s="3">
        <v>8200000</v>
      </c>
      <c r="AO88" s="3">
        <v>8200000</v>
      </c>
      <c r="AP88" s="3">
        <v>8200000</v>
      </c>
      <c r="AQ88" s="3"/>
      <c r="AR88" s="3"/>
      <c r="AS88" s="3"/>
      <c r="AT88" s="3"/>
      <c r="AU88" s="3"/>
      <c r="AV88" s="3"/>
      <c r="AW88" s="3">
        <f t="shared" si="5"/>
        <v>24600000</v>
      </c>
      <c r="AX88" s="3">
        <f t="shared" si="6"/>
        <v>49200000</v>
      </c>
      <c r="AY88" s="4">
        <f t="shared" si="7"/>
        <v>9</v>
      </c>
      <c r="AZ88" s="8" t="s">
        <v>5486</v>
      </c>
      <c r="BA88" s="4" t="s">
        <v>5727</v>
      </c>
      <c r="BB88" s="2"/>
      <c r="BC88" s="3"/>
      <c r="BD88" s="3"/>
    </row>
    <row r="89" spans="1:56" ht="16.8" customHeight="1">
      <c r="A89" s="1">
        <v>88</v>
      </c>
      <c r="B89" s="1" t="s">
        <v>42</v>
      </c>
      <c r="C89" s="1" t="s">
        <v>185</v>
      </c>
      <c r="D89" s="1" t="s">
        <v>404</v>
      </c>
      <c r="E89" s="1" t="s">
        <v>404</v>
      </c>
      <c r="F89" s="1" t="s">
        <v>405</v>
      </c>
      <c r="G89" s="1" t="s">
        <v>406</v>
      </c>
      <c r="H89" s="1" t="s">
        <v>4801</v>
      </c>
      <c r="I89" s="18">
        <v>45931</v>
      </c>
      <c r="J89" s="18">
        <v>45931</v>
      </c>
      <c r="K89" s="18" t="s">
        <v>4753</v>
      </c>
      <c r="L89" s="18" t="s">
        <v>4734</v>
      </c>
      <c r="M89" s="2">
        <v>3500000</v>
      </c>
      <c r="N89" s="2">
        <v>4000000</v>
      </c>
      <c r="O89" s="2">
        <v>4000000</v>
      </c>
      <c r="P89" s="2">
        <f t="shared" si="4"/>
        <v>500000</v>
      </c>
      <c r="Q89" s="2"/>
      <c r="R89" s="2"/>
      <c r="S89" s="48"/>
      <c r="T89" s="2">
        <v>10500000</v>
      </c>
      <c r="U89" s="2">
        <v>0</v>
      </c>
      <c r="V89" s="1" t="s">
        <v>407</v>
      </c>
      <c r="W89" s="6" t="s">
        <v>408</v>
      </c>
      <c r="X89" s="1" t="s">
        <v>154</v>
      </c>
      <c r="Y89" s="3"/>
      <c r="Z89" s="3"/>
      <c r="AA89" s="3"/>
      <c r="AB89" s="3"/>
      <c r="AC89" s="3"/>
      <c r="AD89" s="3"/>
      <c r="AE89" s="3"/>
      <c r="AF89" s="3"/>
      <c r="AG89" s="3"/>
      <c r="AH89" s="3">
        <v>3500000</v>
      </c>
      <c r="AI89" s="3">
        <v>3500000</v>
      </c>
      <c r="AJ89" s="3">
        <v>3500000</v>
      </c>
      <c r="AK89" s="3">
        <v>3500000</v>
      </c>
      <c r="AL89" s="3">
        <v>3500000</v>
      </c>
      <c r="AM89" s="3">
        <v>3500000</v>
      </c>
      <c r="AN89" s="3">
        <v>3500000</v>
      </c>
      <c r="AO89" s="3">
        <v>3500000</v>
      </c>
      <c r="AP89" s="3">
        <v>3500000</v>
      </c>
      <c r="AQ89" s="3"/>
      <c r="AR89" s="3"/>
      <c r="AS89" s="3"/>
      <c r="AT89" s="3"/>
      <c r="AU89" s="3"/>
      <c r="AV89" s="3"/>
      <c r="AW89" s="3">
        <f t="shared" si="5"/>
        <v>10500000</v>
      </c>
      <c r="AX89" s="3">
        <f t="shared" si="6"/>
        <v>21000000</v>
      </c>
      <c r="AY89" s="4">
        <f t="shared" si="7"/>
        <v>9</v>
      </c>
      <c r="AZ89" s="8">
        <v>0</v>
      </c>
      <c r="BA89" s="4" t="s">
        <v>5726</v>
      </c>
      <c r="BB89" s="2"/>
      <c r="BC89" s="3"/>
      <c r="BD89" s="3"/>
    </row>
    <row r="90" spans="1:56" ht="16.8" customHeight="1">
      <c r="A90" s="1">
        <v>89</v>
      </c>
      <c r="B90" s="1" t="s">
        <v>42</v>
      </c>
      <c r="C90" s="1" t="s">
        <v>185</v>
      </c>
      <c r="D90" s="1" t="s">
        <v>409</v>
      </c>
      <c r="E90" s="1" t="s">
        <v>409</v>
      </c>
      <c r="F90" s="1" t="s">
        <v>410</v>
      </c>
      <c r="G90" s="1" t="s">
        <v>248</v>
      </c>
      <c r="H90" s="1" t="s">
        <v>4769</v>
      </c>
      <c r="I90" s="18">
        <v>45945</v>
      </c>
      <c r="J90" s="18">
        <v>45931</v>
      </c>
      <c r="K90" s="18" t="s">
        <v>4770</v>
      </c>
      <c r="L90" s="18" t="s">
        <v>4734</v>
      </c>
      <c r="M90" s="2">
        <v>4909091</v>
      </c>
      <c r="N90" s="2">
        <v>4909091</v>
      </c>
      <c r="O90" s="2"/>
      <c r="P90" s="2" t="str">
        <f t="shared" si="4"/>
        <v/>
      </c>
      <c r="Q90" s="2"/>
      <c r="R90" s="2"/>
      <c r="S90" s="48"/>
      <c r="T90" s="2">
        <v>16200000</v>
      </c>
      <c r="U90" s="2">
        <v>0</v>
      </c>
      <c r="V90" s="1" t="s">
        <v>249</v>
      </c>
      <c r="W90" s="6" t="s">
        <v>250</v>
      </c>
      <c r="X90" s="1" t="s">
        <v>251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>
        <v>4909091</v>
      </c>
      <c r="AL90" s="3">
        <v>4909091</v>
      </c>
      <c r="AM90" s="3">
        <v>4909091</v>
      </c>
      <c r="AN90" s="3">
        <v>4909091</v>
      </c>
      <c r="AO90" s="3">
        <v>4909091</v>
      </c>
      <c r="AP90" s="3">
        <v>4909091</v>
      </c>
      <c r="AQ90" s="3"/>
      <c r="AR90" s="3"/>
      <c r="AS90" s="3"/>
      <c r="AT90" s="3"/>
      <c r="AU90" s="3"/>
      <c r="AV90" s="3"/>
      <c r="AW90" s="3">
        <f t="shared" si="5"/>
        <v>0</v>
      </c>
      <c r="AX90" s="3">
        <f t="shared" si="6"/>
        <v>29454546</v>
      </c>
      <c r="AY90" s="4">
        <f t="shared" si="7"/>
        <v>6</v>
      </c>
      <c r="AZ90" s="8" t="s">
        <v>5493</v>
      </c>
      <c r="BA90" s="4" t="s">
        <v>5727</v>
      </c>
      <c r="BB90" s="2"/>
      <c r="BC90" s="3"/>
      <c r="BD90" s="3"/>
    </row>
    <row r="91" spans="1:56" ht="16.8" customHeight="1">
      <c r="A91" s="1">
        <v>90</v>
      </c>
      <c r="B91" s="1" t="s">
        <v>42</v>
      </c>
      <c r="C91" s="1" t="s">
        <v>43</v>
      </c>
      <c r="D91" s="1" t="s">
        <v>411</v>
      </c>
      <c r="E91" s="1" t="s">
        <v>411</v>
      </c>
      <c r="F91" s="1" t="s">
        <v>412</v>
      </c>
      <c r="G91" s="1" t="s">
        <v>413</v>
      </c>
      <c r="H91" s="1" t="s">
        <v>4502</v>
      </c>
      <c r="I91" s="18">
        <v>45931</v>
      </c>
      <c r="J91" s="18">
        <v>45931</v>
      </c>
      <c r="K91" s="18" t="s">
        <v>4742</v>
      </c>
      <c r="L91" s="18" t="s">
        <v>4734</v>
      </c>
      <c r="M91" s="2">
        <v>2500000</v>
      </c>
      <c r="N91" s="2">
        <v>2500000</v>
      </c>
      <c r="O91" s="2"/>
      <c r="P91" s="2" t="str">
        <f t="shared" si="4"/>
        <v/>
      </c>
      <c r="Q91" s="2"/>
      <c r="R91" s="2"/>
      <c r="S91" s="48"/>
      <c r="T91" s="2">
        <v>7500000</v>
      </c>
      <c r="U91" s="2">
        <v>0</v>
      </c>
      <c r="V91" s="1" t="s">
        <v>413</v>
      </c>
      <c r="W91" s="6" t="s">
        <v>414</v>
      </c>
      <c r="X91" s="1" t="s">
        <v>415</v>
      </c>
      <c r="Y91" s="3"/>
      <c r="Z91" s="3"/>
      <c r="AA91" s="3"/>
      <c r="AB91" s="3"/>
      <c r="AC91" s="3"/>
      <c r="AD91" s="3"/>
      <c r="AE91" s="3"/>
      <c r="AF91" s="3"/>
      <c r="AG91" s="3"/>
      <c r="AH91" s="3">
        <v>2500000</v>
      </c>
      <c r="AI91" s="3">
        <v>2500000</v>
      </c>
      <c r="AJ91" s="3">
        <v>2500000</v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>
        <f t="shared" si="5"/>
        <v>7500000</v>
      </c>
      <c r="AX91" s="3">
        <f t="shared" si="6"/>
        <v>0</v>
      </c>
      <c r="AY91" s="4">
        <f t="shared" si="7"/>
        <v>3</v>
      </c>
      <c r="BA91" s="4" t="s">
        <v>5726</v>
      </c>
      <c r="BB91" s="2"/>
      <c r="BC91" s="3"/>
      <c r="BD91" s="4"/>
    </row>
    <row r="92" spans="1:56" ht="16.8" customHeight="1">
      <c r="A92" s="1">
        <v>91</v>
      </c>
      <c r="B92" s="1" t="s">
        <v>42</v>
      </c>
      <c r="C92" s="1" t="s">
        <v>43</v>
      </c>
      <c r="D92" s="1" t="s">
        <v>416</v>
      </c>
      <c r="E92" s="1" t="s">
        <v>416</v>
      </c>
      <c r="F92" s="1" t="s">
        <v>417</v>
      </c>
      <c r="G92" s="1" t="s">
        <v>418</v>
      </c>
      <c r="H92" s="1" t="s">
        <v>4503</v>
      </c>
      <c r="I92" s="18">
        <v>45931</v>
      </c>
      <c r="J92" s="18">
        <v>45931</v>
      </c>
      <c r="K92" s="18" t="s">
        <v>4737</v>
      </c>
      <c r="L92" s="18" t="s">
        <v>4734</v>
      </c>
      <c r="M92" s="2">
        <v>1400000</v>
      </c>
      <c r="N92" s="2">
        <v>1400000</v>
      </c>
      <c r="O92" s="2"/>
      <c r="P92" s="2" t="str">
        <f t="shared" si="4"/>
        <v/>
      </c>
      <c r="Q92" s="2"/>
      <c r="R92" s="2"/>
      <c r="S92" s="48"/>
      <c r="T92" s="2">
        <v>16800000</v>
      </c>
      <c r="U92" s="2">
        <v>0</v>
      </c>
      <c r="V92" s="1" t="s">
        <v>87</v>
      </c>
      <c r="W92" s="6" t="s">
        <v>88</v>
      </c>
      <c r="X92" s="1" t="s">
        <v>89</v>
      </c>
      <c r="Y92" s="3"/>
      <c r="Z92" s="3"/>
      <c r="AA92" s="3"/>
      <c r="AB92" s="3"/>
      <c r="AC92" s="3"/>
      <c r="AD92" s="3"/>
      <c r="AE92" s="3"/>
      <c r="AF92" s="3"/>
      <c r="AG92" s="3"/>
      <c r="AH92" s="3">
        <v>1400000</v>
      </c>
      <c r="AI92" s="3">
        <v>1400000</v>
      </c>
      <c r="AJ92" s="3">
        <v>1400000</v>
      </c>
      <c r="AK92" s="3">
        <v>1400000</v>
      </c>
      <c r="AL92" s="3">
        <v>1400000</v>
      </c>
      <c r="AM92" s="3">
        <v>1400000</v>
      </c>
      <c r="AN92" s="3">
        <v>1400000</v>
      </c>
      <c r="AO92" s="3">
        <v>1400000</v>
      </c>
      <c r="AP92" s="3">
        <v>1400000</v>
      </c>
      <c r="AQ92" s="3"/>
      <c r="AR92" s="3"/>
      <c r="AS92" s="3"/>
      <c r="AT92" s="3"/>
      <c r="AU92" s="3"/>
      <c r="AV92" s="3"/>
      <c r="AW92" s="3">
        <f t="shared" si="5"/>
        <v>4200000</v>
      </c>
      <c r="AX92" s="3">
        <f t="shared" si="6"/>
        <v>8400000</v>
      </c>
      <c r="AY92" s="4">
        <f t="shared" si="7"/>
        <v>9</v>
      </c>
      <c r="BA92" s="4" t="s">
        <v>5715</v>
      </c>
      <c r="BB92" s="2"/>
      <c r="BC92" s="3"/>
      <c r="BD92" s="3"/>
    </row>
    <row r="93" spans="1:56" ht="16.8" customHeight="1">
      <c r="A93" s="1">
        <v>92</v>
      </c>
      <c r="B93" s="1" t="s">
        <v>42</v>
      </c>
      <c r="C93" s="1" t="s">
        <v>43</v>
      </c>
      <c r="D93" s="1" t="s">
        <v>419</v>
      </c>
      <c r="E93" s="1" t="s">
        <v>419</v>
      </c>
      <c r="F93" s="1" t="s">
        <v>420</v>
      </c>
      <c r="G93" s="1" t="s">
        <v>421</v>
      </c>
      <c r="H93" s="1" t="s">
        <v>4504</v>
      </c>
      <c r="I93" s="18">
        <v>45931</v>
      </c>
      <c r="J93" s="18">
        <v>45931</v>
      </c>
      <c r="K93" s="18" t="s">
        <v>4770</v>
      </c>
      <c r="L93" s="18" t="s">
        <v>4734</v>
      </c>
      <c r="M93" s="2">
        <v>3000000</v>
      </c>
      <c r="N93" s="2">
        <v>3000000</v>
      </c>
      <c r="O93" s="2"/>
      <c r="P93" s="2" t="str">
        <f t="shared" si="4"/>
        <v/>
      </c>
      <c r="Q93" s="2"/>
      <c r="R93" s="2"/>
      <c r="S93" s="48"/>
      <c r="T93" s="2">
        <v>9000000</v>
      </c>
      <c r="U93" s="2">
        <v>0</v>
      </c>
      <c r="V93" s="1" t="s">
        <v>421</v>
      </c>
      <c r="W93" s="6" t="s">
        <v>422</v>
      </c>
      <c r="X93" s="1" t="s">
        <v>148</v>
      </c>
      <c r="Y93" s="3"/>
      <c r="Z93" s="3"/>
      <c r="AA93" s="3"/>
      <c r="AB93" s="3"/>
      <c r="AC93" s="3"/>
      <c r="AD93" s="3"/>
      <c r="AE93" s="3"/>
      <c r="AF93" s="3"/>
      <c r="AG93" s="3"/>
      <c r="AH93" s="3">
        <v>3000000</v>
      </c>
      <c r="AI93" s="3">
        <v>3000000</v>
      </c>
      <c r="AJ93" s="3">
        <v>3000000</v>
      </c>
      <c r="AK93" s="3">
        <v>3000000</v>
      </c>
      <c r="AL93" s="3">
        <v>3000000</v>
      </c>
      <c r="AM93" s="3">
        <v>3000000</v>
      </c>
      <c r="AN93" s="3">
        <v>3000000</v>
      </c>
      <c r="AO93" s="3">
        <v>3000000</v>
      </c>
      <c r="AP93" s="3">
        <v>3000000</v>
      </c>
      <c r="AQ93" s="3"/>
      <c r="AR93" s="3"/>
      <c r="AS93" s="3"/>
      <c r="AT93" s="3"/>
      <c r="AU93" s="3"/>
      <c r="AV93" s="3"/>
      <c r="AW93" s="3">
        <f t="shared" si="5"/>
        <v>9000000</v>
      </c>
      <c r="AX93" s="3">
        <f t="shared" si="6"/>
        <v>18000000</v>
      </c>
      <c r="AY93" s="4">
        <f t="shared" si="7"/>
        <v>9</v>
      </c>
      <c r="BA93" s="4" t="s">
        <v>5715</v>
      </c>
      <c r="BB93" s="2"/>
      <c r="BC93" s="3"/>
      <c r="BD93" s="3"/>
    </row>
    <row r="94" spans="1:56" ht="16.8" customHeight="1">
      <c r="A94" s="1">
        <v>93</v>
      </c>
      <c r="B94" s="1" t="s">
        <v>42</v>
      </c>
      <c r="C94" s="1" t="s">
        <v>47</v>
      </c>
      <c r="D94" s="1" t="s">
        <v>423</v>
      </c>
      <c r="E94" s="1" t="s">
        <v>423</v>
      </c>
      <c r="F94" s="1" t="s">
        <v>424</v>
      </c>
      <c r="G94" s="1" t="s">
        <v>92</v>
      </c>
      <c r="H94" s="1" t="s">
        <v>4740</v>
      </c>
      <c r="I94" s="18">
        <v>45931</v>
      </c>
      <c r="J94" s="18">
        <v>45931</v>
      </c>
      <c r="K94" s="18" t="s">
        <v>4741</v>
      </c>
      <c r="L94" s="18" t="s">
        <v>4734</v>
      </c>
      <c r="M94" s="2">
        <v>8200000</v>
      </c>
      <c r="N94" s="2">
        <v>8200000</v>
      </c>
      <c r="O94" s="2"/>
      <c r="P94" s="2" t="str">
        <f t="shared" si="4"/>
        <v/>
      </c>
      <c r="Q94" s="2"/>
      <c r="R94" s="2"/>
      <c r="S94" s="48"/>
      <c r="T94" s="2">
        <v>27060000</v>
      </c>
      <c r="U94" s="2">
        <v>0</v>
      </c>
      <c r="V94" s="1" t="s">
        <v>93</v>
      </c>
      <c r="W94" s="6" t="s">
        <v>94</v>
      </c>
      <c r="X94" s="1" t="s">
        <v>95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>
        <v>8200000</v>
      </c>
      <c r="AL94" s="3">
        <v>8200000</v>
      </c>
      <c r="AM94" s="3">
        <v>8200000</v>
      </c>
      <c r="AN94" s="3">
        <v>8200000</v>
      </c>
      <c r="AO94" s="3">
        <v>8200000</v>
      </c>
      <c r="AP94" s="3">
        <v>8200000</v>
      </c>
      <c r="AQ94" s="3"/>
      <c r="AR94" s="3"/>
      <c r="AS94" s="3"/>
      <c r="AT94" s="3"/>
      <c r="AU94" s="3"/>
      <c r="AV94" s="3"/>
      <c r="AW94" s="3">
        <f t="shared" si="5"/>
        <v>0</v>
      </c>
      <c r="AX94" s="3">
        <f t="shared" si="6"/>
        <v>49200000</v>
      </c>
      <c r="AY94" s="4">
        <f t="shared" si="7"/>
        <v>6</v>
      </c>
      <c r="AZ94" s="8" t="s">
        <v>5484</v>
      </c>
      <c r="BA94" s="4" t="s">
        <v>5727</v>
      </c>
      <c r="BB94" s="2"/>
      <c r="BC94" s="3"/>
      <c r="BD94" s="3"/>
    </row>
    <row r="95" spans="1:56" s="33" customFormat="1" ht="16.8" customHeight="1">
      <c r="A95" s="29">
        <v>94</v>
      </c>
      <c r="B95" s="29" t="s">
        <v>42</v>
      </c>
      <c r="C95" s="1" t="s">
        <v>47</v>
      </c>
      <c r="D95" s="29" t="s">
        <v>425</v>
      </c>
      <c r="E95" s="29" t="s">
        <v>425</v>
      </c>
      <c r="F95" s="1" t="s">
        <v>426</v>
      </c>
      <c r="G95" s="1" t="s">
        <v>427</v>
      </c>
      <c r="H95" s="1" t="s">
        <v>4802</v>
      </c>
      <c r="I95" s="18">
        <v>45931</v>
      </c>
      <c r="J95" s="18">
        <v>45931</v>
      </c>
      <c r="K95" s="18" t="s">
        <v>4795</v>
      </c>
      <c r="L95" s="18" t="s">
        <v>4734</v>
      </c>
      <c r="M95" s="30">
        <v>1200000</v>
      </c>
      <c r="N95" s="30">
        <v>2000000</v>
      </c>
      <c r="O95" s="30">
        <v>2000000</v>
      </c>
      <c r="P95" s="2">
        <f t="shared" si="4"/>
        <v>800000</v>
      </c>
      <c r="Q95" s="2"/>
      <c r="R95" s="2"/>
      <c r="S95" s="48"/>
      <c r="T95" s="2">
        <v>3600000</v>
      </c>
      <c r="U95" s="2">
        <v>0</v>
      </c>
      <c r="V95" s="1" t="s">
        <v>328</v>
      </c>
      <c r="W95" s="6" t="s">
        <v>329</v>
      </c>
      <c r="X95" s="1" t="s">
        <v>106</v>
      </c>
      <c r="Y95" s="3"/>
      <c r="Z95" s="3"/>
      <c r="AA95" s="3"/>
      <c r="AB95" s="3"/>
      <c r="AC95" s="3"/>
      <c r="AD95" s="3"/>
      <c r="AE95" s="3"/>
      <c r="AF95" s="3"/>
      <c r="AG95" s="3"/>
      <c r="AH95" s="3">
        <v>1200000</v>
      </c>
      <c r="AI95" s="3">
        <v>1200000</v>
      </c>
      <c r="AJ95" s="3">
        <v>1200000</v>
      </c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>
        <f t="shared" si="5"/>
        <v>3600000</v>
      </c>
      <c r="AX95" s="31">
        <f t="shared" si="6"/>
        <v>0</v>
      </c>
      <c r="AY95" s="32">
        <f t="shared" si="7"/>
        <v>3</v>
      </c>
      <c r="AZ95" s="33" t="s">
        <v>5671</v>
      </c>
      <c r="BA95" s="4" t="s">
        <v>5726</v>
      </c>
      <c r="BB95" s="30"/>
      <c r="BC95" s="3"/>
      <c r="BD95" s="32"/>
    </row>
    <row r="96" spans="1:56" ht="16.8" customHeight="1">
      <c r="A96" s="1">
        <v>95</v>
      </c>
      <c r="B96" s="1" t="s">
        <v>42</v>
      </c>
      <c r="C96" s="1" t="s">
        <v>185</v>
      </c>
      <c r="D96" s="1" t="s">
        <v>428</v>
      </c>
      <c r="E96" s="1" t="s">
        <v>428</v>
      </c>
      <c r="F96" s="1" t="s">
        <v>429</v>
      </c>
      <c r="G96" s="1" t="s">
        <v>430</v>
      </c>
      <c r="H96" s="1" t="s">
        <v>4803</v>
      </c>
      <c r="I96" s="18">
        <v>45931</v>
      </c>
      <c r="J96" s="18">
        <v>45931</v>
      </c>
      <c r="K96" s="18" t="s">
        <v>4742</v>
      </c>
      <c r="L96" s="18" t="s">
        <v>4734</v>
      </c>
      <c r="M96" s="2">
        <v>1000000</v>
      </c>
      <c r="N96" s="2">
        <v>1000000</v>
      </c>
      <c r="O96" s="2"/>
      <c r="P96" s="2" t="str">
        <f t="shared" si="4"/>
        <v/>
      </c>
      <c r="Q96" s="2"/>
      <c r="R96" s="2"/>
      <c r="S96" s="48"/>
      <c r="T96" s="2">
        <v>3000000</v>
      </c>
      <c r="U96" s="2">
        <v>0</v>
      </c>
      <c r="V96" s="1" t="s">
        <v>431</v>
      </c>
      <c r="W96" s="6" t="s">
        <v>432</v>
      </c>
      <c r="X96" s="1" t="s">
        <v>433</v>
      </c>
      <c r="Y96" s="3"/>
      <c r="Z96" s="3"/>
      <c r="AA96" s="3"/>
      <c r="AB96" s="3"/>
      <c r="AC96" s="3"/>
      <c r="AD96" s="3"/>
      <c r="AE96" s="3"/>
      <c r="AF96" s="3"/>
      <c r="AG96" s="3"/>
      <c r="AH96" s="3">
        <v>1000000</v>
      </c>
      <c r="AI96" s="3">
        <v>1000000</v>
      </c>
      <c r="AJ96" s="3">
        <v>1000000</v>
      </c>
      <c r="AK96" s="3">
        <v>1000000</v>
      </c>
      <c r="AL96" s="3">
        <v>1000000</v>
      </c>
      <c r="AM96" s="3">
        <v>1000000</v>
      </c>
      <c r="AN96" s="3"/>
      <c r="AO96" s="3"/>
      <c r="AP96" s="3"/>
      <c r="AQ96" s="3"/>
      <c r="AR96" s="3"/>
      <c r="AS96" s="3"/>
      <c r="AT96" s="3"/>
      <c r="AU96" s="3"/>
      <c r="AV96" s="3"/>
      <c r="AW96" s="3">
        <f t="shared" si="5"/>
        <v>3000000</v>
      </c>
      <c r="AX96" s="3">
        <f t="shared" si="6"/>
        <v>3000000</v>
      </c>
      <c r="AY96" s="4">
        <f t="shared" si="7"/>
        <v>6</v>
      </c>
      <c r="AZ96" s="8" t="s">
        <v>5496</v>
      </c>
      <c r="BA96" s="4" t="s">
        <v>5717</v>
      </c>
      <c r="BB96" s="2">
        <v>3000000</v>
      </c>
      <c r="BC96" s="3"/>
      <c r="BD96" s="4"/>
    </row>
    <row r="97" spans="1:56" ht="16.8" customHeight="1">
      <c r="A97" s="1">
        <v>96</v>
      </c>
      <c r="B97" s="1" t="s">
        <v>42</v>
      </c>
      <c r="C97" s="1" t="s">
        <v>47</v>
      </c>
      <c r="D97" s="1" t="s">
        <v>434</v>
      </c>
      <c r="E97" s="1" t="s">
        <v>434</v>
      </c>
      <c r="F97" s="1" t="s">
        <v>435</v>
      </c>
      <c r="G97" s="1" t="s">
        <v>436</v>
      </c>
      <c r="H97" s="1" t="s">
        <v>4804</v>
      </c>
      <c r="I97" s="18">
        <v>45931</v>
      </c>
      <c r="J97" s="18">
        <v>45931</v>
      </c>
      <c r="K97" s="18" t="s">
        <v>4733</v>
      </c>
      <c r="L97" s="18" t="s">
        <v>4734</v>
      </c>
      <c r="M97" s="2">
        <v>4000000</v>
      </c>
      <c r="N97" s="2">
        <v>4000000</v>
      </c>
      <c r="O97" s="2"/>
      <c r="P97" s="2" t="str">
        <f t="shared" si="4"/>
        <v/>
      </c>
      <c r="Q97" s="2"/>
      <c r="R97" s="2"/>
      <c r="S97" s="48"/>
      <c r="T97" s="2">
        <v>12000001</v>
      </c>
      <c r="U97" s="2">
        <v>0</v>
      </c>
      <c r="V97" s="1" t="s">
        <v>437</v>
      </c>
      <c r="W97" s="6" t="s">
        <v>438</v>
      </c>
      <c r="X97" s="1" t="s">
        <v>439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>
        <v>3636363.6300000004</v>
      </c>
      <c r="AL97" s="3">
        <v>3636363.6300000004</v>
      </c>
      <c r="AM97" s="3">
        <v>3636363.6300000004</v>
      </c>
      <c r="AN97" s="3"/>
      <c r="AO97" s="3"/>
      <c r="AP97" s="3"/>
      <c r="AQ97" s="3"/>
      <c r="AR97" s="3"/>
      <c r="AS97" s="3"/>
      <c r="AT97" s="3"/>
      <c r="AU97" s="3"/>
      <c r="AV97" s="3"/>
      <c r="AW97" s="3">
        <f t="shared" si="5"/>
        <v>0</v>
      </c>
      <c r="AX97" s="3">
        <f t="shared" si="6"/>
        <v>10909090.890000001</v>
      </c>
      <c r="AY97" s="4">
        <f t="shared" si="7"/>
        <v>3</v>
      </c>
      <c r="AZ97" s="8" t="s">
        <v>5493</v>
      </c>
      <c r="BA97" s="4" t="s">
        <v>5716</v>
      </c>
      <c r="BB97" s="2"/>
      <c r="BC97" s="3"/>
      <c r="BD97" s="3"/>
    </row>
    <row r="98" spans="1:56" s="33" customFormat="1" ht="16.8" customHeight="1">
      <c r="A98" s="29">
        <v>97</v>
      </c>
      <c r="B98" s="29" t="s">
        <v>42</v>
      </c>
      <c r="C98" s="29" t="s">
        <v>43</v>
      </c>
      <c r="D98" s="29" t="s">
        <v>440</v>
      </c>
      <c r="E98" s="29" t="s">
        <v>440</v>
      </c>
      <c r="F98" s="1" t="s">
        <v>441</v>
      </c>
      <c r="G98" s="1" t="s">
        <v>442</v>
      </c>
      <c r="H98" s="1" t="s">
        <v>4805</v>
      </c>
      <c r="I98" s="18">
        <v>45931</v>
      </c>
      <c r="J98" s="18">
        <v>45931</v>
      </c>
      <c r="K98" s="18" t="s">
        <v>4737</v>
      </c>
      <c r="L98" s="18" t="s">
        <v>4734</v>
      </c>
      <c r="M98" s="30">
        <v>1000000</v>
      </c>
      <c r="N98" s="30">
        <v>1500000</v>
      </c>
      <c r="O98" s="30">
        <v>1500000</v>
      </c>
      <c r="P98" s="2">
        <f t="shared" si="4"/>
        <v>500000</v>
      </c>
      <c r="Q98" s="2"/>
      <c r="R98" s="2"/>
      <c r="S98" s="48"/>
      <c r="T98" s="2">
        <v>3000000</v>
      </c>
      <c r="U98" s="2">
        <v>0</v>
      </c>
      <c r="V98" s="1" t="s">
        <v>442</v>
      </c>
      <c r="W98" s="6" t="s">
        <v>443</v>
      </c>
      <c r="X98" s="1" t="s">
        <v>106</v>
      </c>
      <c r="Y98" s="3"/>
      <c r="Z98" s="3"/>
      <c r="AA98" s="3"/>
      <c r="AB98" s="3"/>
      <c r="AC98" s="3"/>
      <c r="AD98" s="3"/>
      <c r="AE98" s="3"/>
      <c r="AF98" s="3"/>
      <c r="AG98" s="3"/>
      <c r="AH98" s="3">
        <v>1000000</v>
      </c>
      <c r="AI98" s="3">
        <v>1000000</v>
      </c>
      <c r="AJ98" s="3">
        <v>1000000</v>
      </c>
      <c r="AK98" s="3">
        <v>1000000</v>
      </c>
      <c r="AL98" s="3">
        <v>1000000</v>
      </c>
      <c r="AM98" s="3">
        <v>1000000</v>
      </c>
      <c r="AN98" s="3">
        <v>1000000</v>
      </c>
      <c r="AO98" s="3">
        <v>1000000</v>
      </c>
      <c r="AP98" s="3">
        <v>1000000</v>
      </c>
      <c r="AQ98" s="31"/>
      <c r="AR98" s="31"/>
      <c r="AS98" s="31"/>
      <c r="AT98" s="31"/>
      <c r="AU98" s="31"/>
      <c r="AV98" s="31"/>
      <c r="AW98" s="31">
        <f t="shared" si="5"/>
        <v>3000000</v>
      </c>
      <c r="AX98" s="31">
        <f t="shared" si="6"/>
        <v>6000000</v>
      </c>
      <c r="AY98" s="32">
        <f t="shared" si="7"/>
        <v>9</v>
      </c>
      <c r="BA98" s="4" t="s">
        <v>5715</v>
      </c>
      <c r="BB98" s="30"/>
      <c r="BC98" s="3"/>
      <c r="BD98" s="31"/>
    </row>
    <row r="99" spans="1:56" s="15" customFormat="1" ht="16.8" customHeight="1">
      <c r="A99" s="10">
        <v>98</v>
      </c>
      <c r="B99" s="10" t="s">
        <v>42</v>
      </c>
      <c r="C99" s="1" t="s">
        <v>185</v>
      </c>
      <c r="D99" s="10" t="s">
        <v>444</v>
      </c>
      <c r="E99" s="10" t="s">
        <v>444</v>
      </c>
      <c r="F99" s="10" t="s">
        <v>445</v>
      </c>
      <c r="G99" s="10" t="s">
        <v>446</v>
      </c>
      <c r="H99" s="1" t="s">
        <v>4806</v>
      </c>
      <c r="I99" s="18">
        <v>45931</v>
      </c>
      <c r="J99" s="18">
        <v>45931</v>
      </c>
      <c r="K99" s="18" t="s">
        <v>4752</v>
      </c>
      <c r="L99" s="18" t="s">
        <v>4734</v>
      </c>
      <c r="M99" s="11">
        <v>4500000</v>
      </c>
      <c r="N99" s="11">
        <v>4500000</v>
      </c>
      <c r="O99" s="2"/>
      <c r="P99" s="11" t="str">
        <f t="shared" si="4"/>
        <v/>
      </c>
      <c r="Q99" s="2"/>
      <c r="R99" s="2"/>
      <c r="S99" s="48"/>
      <c r="T99" s="11">
        <v>13500000</v>
      </c>
      <c r="U99" s="11">
        <v>0</v>
      </c>
      <c r="V99" s="10" t="s">
        <v>447</v>
      </c>
      <c r="W99" s="12" t="s">
        <v>448</v>
      </c>
      <c r="X99" s="10" t="s">
        <v>449</v>
      </c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>
        <v>4500000</v>
      </c>
      <c r="AL99" s="13">
        <v>4500000</v>
      </c>
      <c r="AM99" s="13">
        <v>4500000</v>
      </c>
      <c r="AN99" s="13">
        <v>4500000</v>
      </c>
      <c r="AO99" s="13">
        <v>4500000</v>
      </c>
      <c r="AP99" s="13">
        <v>4500000</v>
      </c>
      <c r="AQ99" s="13">
        <v>4500000</v>
      </c>
      <c r="AR99" s="13">
        <v>4500000</v>
      </c>
      <c r="AS99" s="13">
        <v>4500000</v>
      </c>
      <c r="AT99" s="13">
        <v>4500000</v>
      </c>
      <c r="AU99" s="13">
        <v>4500000</v>
      </c>
      <c r="AV99" s="13">
        <v>4500000</v>
      </c>
      <c r="AW99" s="13">
        <f t="shared" si="5"/>
        <v>0</v>
      </c>
      <c r="AX99" s="13">
        <f t="shared" si="6"/>
        <v>54000000</v>
      </c>
      <c r="AY99" s="14">
        <f t="shared" si="7"/>
        <v>12</v>
      </c>
      <c r="AZ99" s="8">
        <v>0</v>
      </c>
      <c r="BA99" s="4" t="s">
        <v>5717</v>
      </c>
      <c r="BB99" s="11"/>
      <c r="BC99" s="3"/>
      <c r="BD99" s="13"/>
    </row>
    <row r="100" spans="1:56" ht="16.8" customHeight="1">
      <c r="A100" s="1">
        <v>99</v>
      </c>
      <c r="B100" s="1" t="s">
        <v>42</v>
      </c>
      <c r="C100" s="1" t="s">
        <v>43</v>
      </c>
      <c r="D100" s="1" t="s">
        <v>450</v>
      </c>
      <c r="E100" s="1" t="s">
        <v>450</v>
      </c>
      <c r="F100" s="1" t="s">
        <v>451</v>
      </c>
      <c r="G100" s="1" t="s">
        <v>452</v>
      </c>
      <c r="H100" s="1" t="s">
        <v>4807</v>
      </c>
      <c r="I100" s="18">
        <v>45931</v>
      </c>
      <c r="J100" s="18">
        <v>45931</v>
      </c>
      <c r="K100" s="18" t="s">
        <v>4737</v>
      </c>
      <c r="L100" s="18" t="s">
        <v>4734</v>
      </c>
      <c r="M100" s="2">
        <v>1800000</v>
      </c>
      <c r="N100" s="2">
        <v>1800000</v>
      </c>
      <c r="O100" s="2"/>
      <c r="P100" s="2" t="str">
        <f t="shared" si="4"/>
        <v/>
      </c>
      <c r="Q100" s="2"/>
      <c r="R100" s="2"/>
      <c r="S100" s="48"/>
      <c r="T100" s="2">
        <v>5400000</v>
      </c>
      <c r="U100" s="2">
        <v>0</v>
      </c>
      <c r="V100" s="1" t="s">
        <v>453</v>
      </c>
      <c r="W100" s="6" t="s">
        <v>454</v>
      </c>
      <c r="X100" s="1" t="s">
        <v>455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>
        <v>1800000</v>
      </c>
      <c r="AI100" s="3">
        <v>1800000</v>
      </c>
      <c r="AJ100" s="3">
        <v>1800000</v>
      </c>
      <c r="AK100" s="3">
        <v>1800000</v>
      </c>
      <c r="AL100" s="3">
        <v>1800000</v>
      </c>
      <c r="AM100" s="3">
        <v>1800000</v>
      </c>
      <c r="AN100" s="3">
        <v>1800000</v>
      </c>
      <c r="AO100" s="3">
        <v>1800000</v>
      </c>
      <c r="AP100" s="3">
        <v>1800000</v>
      </c>
      <c r="AQ100" s="3"/>
      <c r="AR100" s="3"/>
      <c r="AS100" s="3"/>
      <c r="AT100" s="3"/>
      <c r="AU100" s="3"/>
      <c r="AV100" s="3"/>
      <c r="AW100" s="3">
        <f t="shared" si="5"/>
        <v>5400000</v>
      </c>
      <c r="AX100" s="3">
        <f t="shared" si="6"/>
        <v>10800000</v>
      </c>
      <c r="AY100" s="4">
        <f t="shared" si="7"/>
        <v>9</v>
      </c>
      <c r="AZ100" s="8" t="s">
        <v>5672</v>
      </c>
      <c r="BA100" s="4" t="s">
        <v>5715</v>
      </c>
      <c r="BB100" s="2"/>
      <c r="BC100" s="3"/>
      <c r="BD100" s="3"/>
    </row>
    <row r="101" spans="1:56" ht="16.8" customHeight="1">
      <c r="A101" s="1">
        <v>100</v>
      </c>
      <c r="B101" s="1" t="s">
        <v>42</v>
      </c>
      <c r="C101" s="1" t="s">
        <v>43</v>
      </c>
      <c r="D101" s="1" t="s">
        <v>456</v>
      </c>
      <c r="E101" s="1" t="s">
        <v>456</v>
      </c>
      <c r="F101" s="1" t="s">
        <v>457</v>
      </c>
      <c r="G101" s="1" t="s">
        <v>458</v>
      </c>
      <c r="H101" s="1" t="s">
        <v>4808</v>
      </c>
      <c r="I101" s="18">
        <v>45931</v>
      </c>
      <c r="J101" s="18">
        <v>45931</v>
      </c>
      <c r="K101" s="18" t="s">
        <v>4742</v>
      </c>
      <c r="L101" s="18" t="s">
        <v>4734</v>
      </c>
      <c r="M101" s="2">
        <v>1200000</v>
      </c>
      <c r="N101" s="2">
        <v>1200000</v>
      </c>
      <c r="O101" s="2"/>
      <c r="P101" s="2" t="str">
        <f t="shared" si="4"/>
        <v/>
      </c>
      <c r="Q101" s="2"/>
      <c r="R101" s="2"/>
      <c r="S101" s="48"/>
      <c r="T101" s="2">
        <v>3600000</v>
      </c>
      <c r="U101" s="2">
        <v>0</v>
      </c>
      <c r="V101" s="1" t="s">
        <v>459</v>
      </c>
      <c r="W101" s="6" t="s">
        <v>460</v>
      </c>
      <c r="X101" s="1" t="s">
        <v>461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>
        <v>1200000</v>
      </c>
      <c r="AL101" s="3">
        <v>1200000</v>
      </c>
      <c r="AM101" s="3">
        <v>1200000</v>
      </c>
      <c r="AN101" s="3">
        <v>1200000</v>
      </c>
      <c r="AO101" s="3">
        <v>1200000</v>
      </c>
      <c r="AP101" s="3">
        <v>1200000</v>
      </c>
      <c r="AQ101" s="3"/>
      <c r="AR101" s="3"/>
      <c r="AS101" s="3"/>
      <c r="AT101" s="3"/>
      <c r="AU101" s="3"/>
      <c r="AV101" s="3"/>
      <c r="AW101" s="3">
        <f t="shared" si="5"/>
        <v>0</v>
      </c>
      <c r="AX101" s="3">
        <f t="shared" si="6"/>
        <v>7200000</v>
      </c>
      <c r="AY101" s="4">
        <f t="shared" si="7"/>
        <v>6</v>
      </c>
      <c r="AZ101" s="8" t="s">
        <v>5673</v>
      </c>
      <c r="BA101" s="4" t="s">
        <v>5715</v>
      </c>
      <c r="BB101" s="2"/>
      <c r="BC101" s="3"/>
      <c r="BD101" s="3"/>
    </row>
    <row r="102" spans="1:56" ht="16.8" customHeight="1">
      <c r="A102" s="1">
        <v>101</v>
      </c>
      <c r="B102" s="1" t="s">
        <v>42</v>
      </c>
      <c r="C102" s="1" t="s">
        <v>43</v>
      </c>
      <c r="D102" s="1" t="s">
        <v>462</v>
      </c>
      <c r="E102" s="1" t="s">
        <v>462</v>
      </c>
      <c r="F102" s="1" t="s">
        <v>463</v>
      </c>
      <c r="G102" s="1" t="s">
        <v>464</v>
      </c>
      <c r="H102" s="1" t="s">
        <v>4809</v>
      </c>
      <c r="I102" s="18">
        <v>45931</v>
      </c>
      <c r="J102" s="18">
        <v>45931</v>
      </c>
      <c r="K102" s="18" t="s">
        <v>4742</v>
      </c>
      <c r="L102" s="18" t="s">
        <v>4734</v>
      </c>
      <c r="M102" s="2">
        <v>3000000</v>
      </c>
      <c r="N102" s="2">
        <v>3000000</v>
      </c>
      <c r="O102" s="2"/>
      <c r="P102" s="2" t="str">
        <f t="shared" si="4"/>
        <v/>
      </c>
      <c r="Q102" s="2"/>
      <c r="R102" s="2"/>
      <c r="S102" s="48"/>
      <c r="T102" s="2">
        <v>9000000</v>
      </c>
      <c r="U102" s="2">
        <v>0</v>
      </c>
      <c r="V102" s="1" t="s">
        <v>464</v>
      </c>
      <c r="W102" s="6" t="s">
        <v>465</v>
      </c>
      <c r="X102" s="1" t="s">
        <v>164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>
        <v>3000000</v>
      </c>
      <c r="AI102" s="3">
        <v>3000000</v>
      </c>
      <c r="AJ102" s="3">
        <v>3000000</v>
      </c>
      <c r="AK102" s="3">
        <v>3000000</v>
      </c>
      <c r="AL102" s="3">
        <v>3000000</v>
      </c>
      <c r="AM102" s="3">
        <v>3000000</v>
      </c>
      <c r="AN102" s="3">
        <v>3000000</v>
      </c>
      <c r="AO102" s="3">
        <v>3000000</v>
      </c>
      <c r="AP102" s="3">
        <v>3000000</v>
      </c>
      <c r="AQ102" s="3"/>
      <c r="AR102" s="3"/>
      <c r="AS102" s="3"/>
      <c r="AT102" s="3"/>
      <c r="AU102" s="3"/>
      <c r="AV102" s="3"/>
      <c r="AW102" s="3">
        <f t="shared" si="5"/>
        <v>9000000</v>
      </c>
      <c r="AX102" s="3">
        <f t="shared" si="6"/>
        <v>18000000</v>
      </c>
      <c r="AY102" s="4">
        <f t="shared" si="7"/>
        <v>9</v>
      </c>
      <c r="BA102" s="4" t="s">
        <v>5715</v>
      </c>
      <c r="BB102" s="2"/>
      <c r="BC102" s="3"/>
      <c r="BD102" s="3"/>
    </row>
    <row r="103" spans="1:56" ht="16.8" customHeight="1">
      <c r="A103" s="1">
        <v>102</v>
      </c>
      <c r="B103" s="1" t="s">
        <v>42</v>
      </c>
      <c r="C103" s="1" t="s">
        <v>43</v>
      </c>
      <c r="D103" s="1" t="s">
        <v>466</v>
      </c>
      <c r="E103" s="1" t="s">
        <v>466</v>
      </c>
      <c r="F103" s="1" t="s">
        <v>467</v>
      </c>
      <c r="G103" s="1" t="s">
        <v>468</v>
      </c>
      <c r="H103" s="1" t="s">
        <v>4810</v>
      </c>
      <c r="I103" s="18">
        <v>45931</v>
      </c>
      <c r="J103" s="18">
        <v>45931</v>
      </c>
      <c r="K103" s="18" t="s">
        <v>4742</v>
      </c>
      <c r="L103" s="18" t="s">
        <v>4734</v>
      </c>
      <c r="M103" s="2">
        <v>2750000</v>
      </c>
      <c r="N103" s="2">
        <v>2750000</v>
      </c>
      <c r="O103" s="2"/>
      <c r="P103" s="2" t="str">
        <f t="shared" si="4"/>
        <v/>
      </c>
      <c r="Q103" s="2"/>
      <c r="R103" s="2"/>
      <c r="S103" s="48"/>
      <c r="T103" s="2">
        <v>0</v>
      </c>
      <c r="U103" s="2">
        <v>0</v>
      </c>
      <c r="V103" s="1" t="s">
        <v>469</v>
      </c>
      <c r="W103" s="6" t="s">
        <v>470</v>
      </c>
      <c r="X103" s="1" t="s">
        <v>471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>
        <v>2750000</v>
      </c>
      <c r="AL103" s="3">
        <v>2750000</v>
      </c>
      <c r="AM103" s="3">
        <v>2750000</v>
      </c>
      <c r="AN103" s="3">
        <v>2750000</v>
      </c>
      <c r="AO103" s="3">
        <v>2750000</v>
      </c>
      <c r="AP103" s="3">
        <v>2750000</v>
      </c>
      <c r="AQ103" s="3"/>
      <c r="AR103" s="3"/>
      <c r="AS103" s="3"/>
      <c r="AT103" s="3"/>
      <c r="AU103" s="3"/>
      <c r="AV103" s="3"/>
      <c r="AW103" s="3">
        <f t="shared" si="5"/>
        <v>0</v>
      </c>
      <c r="AX103" s="3">
        <f t="shared" si="6"/>
        <v>16500000</v>
      </c>
      <c r="AY103" s="4">
        <f t="shared" si="7"/>
        <v>6</v>
      </c>
      <c r="AZ103" s="8" t="s">
        <v>5497</v>
      </c>
      <c r="BA103" s="4" t="s">
        <v>5726</v>
      </c>
      <c r="BB103" s="2"/>
      <c r="BC103" s="3"/>
      <c r="BD103" s="3"/>
    </row>
    <row r="104" spans="1:56" ht="16.8" customHeight="1">
      <c r="A104" s="1">
        <v>103</v>
      </c>
      <c r="B104" s="1" t="s">
        <v>42</v>
      </c>
      <c r="C104" s="1" t="s">
        <v>43</v>
      </c>
      <c r="D104" s="1" t="s">
        <v>472</v>
      </c>
      <c r="E104" s="1" t="s">
        <v>472</v>
      </c>
      <c r="F104" s="1" t="s">
        <v>473</v>
      </c>
      <c r="G104" s="1" t="s">
        <v>474</v>
      </c>
      <c r="H104" s="1" t="s">
        <v>4505</v>
      </c>
      <c r="I104" s="18">
        <v>45931</v>
      </c>
      <c r="J104" s="18">
        <v>45931</v>
      </c>
      <c r="K104" s="18" t="s">
        <v>4742</v>
      </c>
      <c r="L104" s="18" t="s">
        <v>4734</v>
      </c>
      <c r="M104" s="2">
        <v>1200000</v>
      </c>
      <c r="N104" s="2">
        <v>1200000</v>
      </c>
      <c r="O104" s="2"/>
      <c r="P104" s="2" t="str">
        <f t="shared" si="4"/>
        <v/>
      </c>
      <c r="Q104" s="2"/>
      <c r="R104" s="2"/>
      <c r="S104" s="48"/>
      <c r="T104" s="2">
        <v>7200000</v>
      </c>
      <c r="U104" s="2">
        <v>0</v>
      </c>
      <c r="V104" s="1" t="s">
        <v>475</v>
      </c>
      <c r="W104" s="6" t="s">
        <v>476</v>
      </c>
      <c r="X104" s="1" t="s">
        <v>415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>
        <v>1200000</v>
      </c>
      <c r="AL104" s="3">
        <v>1200000</v>
      </c>
      <c r="AM104" s="3">
        <v>1200000</v>
      </c>
      <c r="AN104" s="3">
        <v>1200000</v>
      </c>
      <c r="AO104" s="3">
        <v>1200000</v>
      </c>
      <c r="AP104" s="3">
        <v>1200000</v>
      </c>
      <c r="AQ104" s="3"/>
      <c r="AR104" s="3"/>
      <c r="AS104" s="3"/>
      <c r="AT104" s="3"/>
      <c r="AU104" s="3"/>
      <c r="AV104" s="3"/>
      <c r="AW104" s="3">
        <f t="shared" si="5"/>
        <v>0</v>
      </c>
      <c r="AX104" s="3">
        <f t="shared" si="6"/>
        <v>7200000</v>
      </c>
      <c r="AY104" s="4">
        <f t="shared" si="7"/>
        <v>6</v>
      </c>
      <c r="AZ104" s="8" t="s">
        <v>5674</v>
      </c>
      <c r="BA104" s="4" t="s">
        <v>5715</v>
      </c>
      <c r="BB104" s="2"/>
      <c r="BC104" s="3"/>
      <c r="BD104" s="3"/>
    </row>
    <row r="105" spans="1:56" ht="16.8" customHeight="1">
      <c r="A105" s="1">
        <v>104</v>
      </c>
      <c r="B105" s="1" t="s">
        <v>42</v>
      </c>
      <c r="C105" s="1" t="s">
        <v>47</v>
      </c>
      <c r="D105" s="1" t="s">
        <v>477</v>
      </c>
      <c r="E105" s="1" t="s">
        <v>477</v>
      </c>
      <c r="F105" s="1" t="s">
        <v>478</v>
      </c>
      <c r="G105" s="1" t="s">
        <v>479</v>
      </c>
      <c r="H105" s="1" t="s">
        <v>4506</v>
      </c>
      <c r="I105" s="18">
        <v>45931</v>
      </c>
      <c r="J105" s="18">
        <v>45931</v>
      </c>
      <c r="K105" s="18" t="s">
        <v>4733</v>
      </c>
      <c r="L105" s="18" t="s">
        <v>4734</v>
      </c>
      <c r="M105" s="2">
        <v>8200000</v>
      </c>
      <c r="N105" s="2">
        <v>8200000</v>
      </c>
      <c r="O105" s="2"/>
      <c r="P105" s="2" t="str">
        <f t="shared" si="4"/>
        <v/>
      </c>
      <c r="Q105" s="2"/>
      <c r="R105" s="2"/>
      <c r="S105" s="48"/>
      <c r="T105" s="2">
        <v>49200000</v>
      </c>
      <c r="U105" s="2">
        <v>0</v>
      </c>
      <c r="V105" s="1" t="s">
        <v>479</v>
      </c>
      <c r="W105" s="6" t="s">
        <v>480</v>
      </c>
      <c r="X105" s="1" t="s">
        <v>481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>
        <v>8200000</v>
      </c>
      <c r="AI105" s="3">
        <v>8200000</v>
      </c>
      <c r="AJ105" s="3">
        <v>8200000</v>
      </c>
      <c r="AK105" s="3">
        <v>8200000</v>
      </c>
      <c r="AL105" s="3">
        <v>8200000</v>
      </c>
      <c r="AM105" s="3">
        <v>8200000</v>
      </c>
      <c r="AN105" s="3">
        <v>8200000</v>
      </c>
      <c r="AO105" s="3">
        <v>8200000</v>
      </c>
      <c r="AP105" s="3">
        <v>8200000</v>
      </c>
      <c r="AQ105" s="3"/>
      <c r="AR105" s="3"/>
      <c r="AS105" s="3"/>
      <c r="AT105" s="3"/>
      <c r="AU105" s="3"/>
      <c r="AV105" s="3"/>
      <c r="AW105" s="3">
        <f t="shared" si="5"/>
        <v>24600000</v>
      </c>
      <c r="AX105" s="3">
        <f t="shared" si="6"/>
        <v>49200000</v>
      </c>
      <c r="AY105" s="4">
        <f t="shared" si="7"/>
        <v>9</v>
      </c>
      <c r="AZ105" s="8" t="s">
        <v>5486</v>
      </c>
      <c r="BA105" s="4" t="s">
        <v>5727</v>
      </c>
      <c r="BB105" s="2"/>
      <c r="BC105" s="3"/>
      <c r="BD105" s="3"/>
    </row>
    <row r="106" spans="1:56" ht="16.8" customHeight="1">
      <c r="A106" s="1">
        <v>105</v>
      </c>
      <c r="B106" s="1" t="s">
        <v>42</v>
      </c>
      <c r="C106" s="1" t="s">
        <v>47</v>
      </c>
      <c r="D106" s="1" t="s">
        <v>482</v>
      </c>
      <c r="E106" s="1" t="s">
        <v>482</v>
      </c>
      <c r="F106" s="1" t="s">
        <v>483</v>
      </c>
      <c r="G106" s="1" t="s">
        <v>63</v>
      </c>
      <c r="H106" s="1" t="s">
        <v>4735</v>
      </c>
      <c r="I106" s="18">
        <v>45945</v>
      </c>
      <c r="J106" s="18">
        <v>45931</v>
      </c>
      <c r="K106" s="18" t="s">
        <v>4733</v>
      </c>
      <c r="L106" s="18" t="s">
        <v>4734</v>
      </c>
      <c r="M106" s="2">
        <v>6163636</v>
      </c>
      <c r="N106" s="2">
        <v>6163636</v>
      </c>
      <c r="O106" s="2"/>
      <c r="P106" s="2" t="str">
        <f t="shared" si="4"/>
        <v/>
      </c>
      <c r="Q106" s="2"/>
      <c r="R106" s="2"/>
      <c r="S106" s="48"/>
      <c r="T106" s="2">
        <v>20339999</v>
      </c>
      <c r="U106" s="2">
        <v>0</v>
      </c>
      <c r="V106" s="1" t="s">
        <v>63</v>
      </c>
      <c r="W106" s="6" t="s">
        <v>64</v>
      </c>
      <c r="X106" s="1" t="s">
        <v>65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>
        <v>6163636</v>
      </c>
      <c r="AL106" s="3">
        <v>6163636</v>
      </c>
      <c r="AM106" s="3">
        <v>6163636</v>
      </c>
      <c r="AN106" s="3">
        <v>6163636</v>
      </c>
      <c r="AO106" s="3">
        <v>6163636</v>
      </c>
      <c r="AP106" s="3">
        <v>6163636</v>
      </c>
      <c r="AQ106" s="3"/>
      <c r="AR106" s="3"/>
      <c r="AS106" s="3"/>
      <c r="AT106" s="3"/>
      <c r="AU106" s="3"/>
      <c r="AV106" s="3"/>
      <c r="AW106" s="3">
        <f t="shared" si="5"/>
        <v>0</v>
      </c>
      <c r="AX106" s="3">
        <f t="shared" si="6"/>
        <v>36981816</v>
      </c>
      <c r="AY106" s="4">
        <f t="shared" si="7"/>
        <v>6</v>
      </c>
      <c r="AZ106" s="8" t="s">
        <v>5484</v>
      </c>
      <c r="BA106" s="4" t="s">
        <v>5727</v>
      </c>
      <c r="BB106" s="2"/>
      <c r="BC106" s="3"/>
      <c r="BD106" s="3"/>
    </row>
    <row r="107" spans="1:56" ht="16.8" customHeight="1">
      <c r="A107" s="1">
        <v>106</v>
      </c>
      <c r="B107" s="1" t="s">
        <v>42</v>
      </c>
      <c r="C107" s="1" t="s">
        <v>47</v>
      </c>
      <c r="D107" s="1" t="s">
        <v>484</v>
      </c>
      <c r="E107" s="1" t="s">
        <v>484</v>
      </c>
      <c r="F107" s="1" t="s">
        <v>485</v>
      </c>
      <c r="G107" s="1" t="s">
        <v>486</v>
      </c>
      <c r="H107" s="1" t="s">
        <v>4811</v>
      </c>
      <c r="I107" s="18">
        <v>45931</v>
      </c>
      <c r="J107" s="18">
        <v>45931</v>
      </c>
      <c r="K107" s="18" t="s">
        <v>4795</v>
      </c>
      <c r="L107" s="18" t="s">
        <v>4734</v>
      </c>
      <c r="M107" s="2">
        <v>1200000</v>
      </c>
      <c r="N107" s="2">
        <v>1200000</v>
      </c>
      <c r="O107" s="2"/>
      <c r="P107" s="2" t="str">
        <f t="shared" si="4"/>
        <v/>
      </c>
      <c r="Q107" s="2"/>
      <c r="R107" s="2"/>
      <c r="S107" s="48"/>
      <c r="T107" s="2">
        <v>3600000</v>
      </c>
      <c r="U107" s="2">
        <v>0</v>
      </c>
      <c r="V107" s="1" t="s">
        <v>328</v>
      </c>
      <c r="W107" s="6" t="s">
        <v>329</v>
      </c>
      <c r="X107" s="1" t="s">
        <v>106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>
        <v>1200000</v>
      </c>
      <c r="AI107" s="3">
        <v>1200000</v>
      </c>
      <c r="AJ107" s="3">
        <v>1200000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f t="shared" si="5"/>
        <v>3600000</v>
      </c>
      <c r="AX107" s="3">
        <f t="shared" si="6"/>
        <v>0</v>
      </c>
      <c r="AY107" s="4">
        <f t="shared" si="7"/>
        <v>3</v>
      </c>
      <c r="AZ107" s="8" t="s">
        <v>5671</v>
      </c>
      <c r="BA107" s="4" t="s">
        <v>5726</v>
      </c>
      <c r="BB107" s="2"/>
      <c r="BC107" s="3"/>
      <c r="BD107" s="4"/>
    </row>
    <row r="108" spans="1:56" ht="16.8" customHeight="1">
      <c r="A108" s="1">
        <v>107</v>
      </c>
      <c r="B108" s="1" t="s">
        <v>42</v>
      </c>
      <c r="C108" s="1" t="s">
        <v>43</v>
      </c>
      <c r="D108" s="1" t="s">
        <v>487</v>
      </c>
      <c r="E108" s="1" t="s">
        <v>487</v>
      </c>
      <c r="F108" s="1" t="s">
        <v>488</v>
      </c>
      <c r="G108" s="1" t="s">
        <v>489</v>
      </c>
      <c r="H108" s="1" t="s">
        <v>4507</v>
      </c>
      <c r="I108" s="18">
        <v>45931</v>
      </c>
      <c r="J108" s="18">
        <v>45931</v>
      </c>
      <c r="K108" s="18" t="s">
        <v>4733</v>
      </c>
      <c r="L108" s="18" t="s">
        <v>4734</v>
      </c>
      <c r="M108" s="2">
        <v>8200000</v>
      </c>
      <c r="N108" s="2">
        <v>8200000</v>
      </c>
      <c r="O108" s="2"/>
      <c r="P108" s="2" t="str">
        <f t="shared" si="4"/>
        <v/>
      </c>
      <c r="Q108" s="2"/>
      <c r="R108" s="2"/>
      <c r="S108" s="48"/>
      <c r="T108" s="2">
        <v>24600000</v>
      </c>
      <c r="U108" s="2">
        <v>0</v>
      </c>
      <c r="V108" s="1" t="s">
        <v>401</v>
      </c>
      <c r="W108" s="6" t="s">
        <v>402</v>
      </c>
      <c r="X108" s="1" t="s">
        <v>403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>
        <v>8200000</v>
      </c>
      <c r="AI108" s="3">
        <v>8200000</v>
      </c>
      <c r="AJ108" s="3">
        <v>8200000</v>
      </c>
      <c r="AK108" s="3">
        <v>8200000</v>
      </c>
      <c r="AL108" s="3">
        <v>8200000</v>
      </c>
      <c r="AM108" s="3">
        <v>8200000</v>
      </c>
      <c r="AN108" s="3">
        <v>8200000</v>
      </c>
      <c r="AO108" s="3">
        <v>8200000</v>
      </c>
      <c r="AP108" s="3">
        <v>8200000</v>
      </c>
      <c r="AQ108" s="3"/>
      <c r="AR108" s="3"/>
      <c r="AS108" s="3"/>
      <c r="AT108" s="3"/>
      <c r="AU108" s="3"/>
      <c r="AV108" s="3"/>
      <c r="AW108" s="3">
        <f t="shared" si="5"/>
        <v>24600000</v>
      </c>
      <c r="AX108" s="3">
        <f t="shared" si="6"/>
        <v>49200000</v>
      </c>
      <c r="AY108" s="4">
        <f t="shared" si="7"/>
        <v>9</v>
      </c>
      <c r="AZ108" s="8" t="s">
        <v>5486</v>
      </c>
      <c r="BA108" s="4" t="s">
        <v>5727</v>
      </c>
      <c r="BB108" s="2"/>
      <c r="BC108" s="3"/>
      <c r="BD108" s="3"/>
    </row>
    <row r="109" spans="1:56" ht="16.8" customHeight="1">
      <c r="A109" s="1">
        <v>108</v>
      </c>
      <c r="B109" s="1" t="s">
        <v>42</v>
      </c>
      <c r="C109" s="1" t="s">
        <v>43</v>
      </c>
      <c r="D109" s="1" t="s">
        <v>491</v>
      </c>
      <c r="E109" s="1" t="s">
        <v>491</v>
      </c>
      <c r="F109" s="1" t="s">
        <v>492</v>
      </c>
      <c r="G109" s="1" t="s">
        <v>493</v>
      </c>
      <c r="H109" s="1" t="s">
        <v>4508</v>
      </c>
      <c r="I109" s="18">
        <v>45931</v>
      </c>
      <c r="J109" s="18">
        <v>45931</v>
      </c>
      <c r="K109" s="18" t="s">
        <v>4742</v>
      </c>
      <c r="L109" s="18" t="s">
        <v>4734</v>
      </c>
      <c r="M109" s="2">
        <v>3500000</v>
      </c>
      <c r="N109" s="2">
        <v>3500000</v>
      </c>
      <c r="O109" s="2"/>
      <c r="P109" s="2" t="str">
        <f t="shared" si="4"/>
        <v/>
      </c>
      <c r="Q109" s="2"/>
      <c r="R109" s="2"/>
      <c r="S109" s="48"/>
      <c r="T109" s="2">
        <v>10500000</v>
      </c>
      <c r="U109" s="2">
        <v>0</v>
      </c>
      <c r="V109" s="1" t="s">
        <v>493</v>
      </c>
      <c r="W109" s="6" t="s">
        <v>494</v>
      </c>
      <c r="X109" s="1" t="s">
        <v>106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>
        <v>3500000</v>
      </c>
      <c r="AI109" s="3">
        <v>3500000</v>
      </c>
      <c r="AJ109" s="3">
        <v>3500000</v>
      </c>
      <c r="AK109" s="3">
        <v>3500000</v>
      </c>
      <c r="AL109" s="3">
        <v>3500000</v>
      </c>
      <c r="AM109" s="3">
        <v>3500000</v>
      </c>
      <c r="AN109" s="3">
        <v>3500000</v>
      </c>
      <c r="AO109" s="3">
        <v>3500000</v>
      </c>
      <c r="AP109" s="3">
        <v>3500000</v>
      </c>
      <c r="AQ109" s="3"/>
      <c r="AR109" s="3"/>
      <c r="AS109" s="3"/>
      <c r="AT109" s="3"/>
      <c r="AU109" s="3"/>
      <c r="AV109" s="3"/>
      <c r="AW109" s="3">
        <f t="shared" si="5"/>
        <v>10500000</v>
      </c>
      <c r="AX109" s="3">
        <f t="shared" si="6"/>
        <v>21000000</v>
      </c>
      <c r="AY109" s="4">
        <f t="shared" si="7"/>
        <v>9</v>
      </c>
      <c r="BA109" s="4" t="s">
        <v>5715</v>
      </c>
      <c r="BB109" s="2"/>
      <c r="BC109" s="3"/>
      <c r="BD109" s="3"/>
    </row>
    <row r="110" spans="1:56" ht="16.8" customHeight="1">
      <c r="A110" s="1">
        <v>109</v>
      </c>
      <c r="B110" s="1" t="s">
        <v>42</v>
      </c>
      <c r="C110" s="1" t="s">
        <v>43</v>
      </c>
      <c r="D110" s="1" t="s">
        <v>495</v>
      </c>
      <c r="E110" s="1" t="s">
        <v>495</v>
      </c>
      <c r="F110" s="1" t="s">
        <v>496</v>
      </c>
      <c r="G110" s="1" t="s">
        <v>497</v>
      </c>
      <c r="H110" s="1" t="s">
        <v>4509</v>
      </c>
      <c r="I110" s="18">
        <v>45931</v>
      </c>
      <c r="J110" s="18">
        <v>45931</v>
      </c>
      <c r="K110" s="18" t="s">
        <v>4737</v>
      </c>
      <c r="L110" s="18" t="s">
        <v>4734</v>
      </c>
      <c r="M110" s="2">
        <v>3500000</v>
      </c>
      <c r="N110" s="2">
        <v>3500000</v>
      </c>
      <c r="O110" s="2"/>
      <c r="P110" s="2" t="str">
        <f t="shared" si="4"/>
        <v/>
      </c>
      <c r="Q110" s="2"/>
      <c r="R110" s="2"/>
      <c r="S110" s="48"/>
      <c r="T110" s="2">
        <v>10500000</v>
      </c>
      <c r="U110" s="2">
        <v>0</v>
      </c>
      <c r="V110" s="1" t="s">
        <v>497</v>
      </c>
      <c r="W110" s="6" t="s">
        <v>498</v>
      </c>
      <c r="X110" s="1" t="s">
        <v>499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>
        <v>3500000</v>
      </c>
      <c r="AI110" s="3">
        <v>3500000</v>
      </c>
      <c r="AJ110" s="3">
        <v>3500000</v>
      </c>
      <c r="AK110" s="3">
        <v>3500000</v>
      </c>
      <c r="AL110" s="3">
        <v>3500000</v>
      </c>
      <c r="AM110" s="3">
        <v>3500000</v>
      </c>
      <c r="AN110" s="3">
        <v>3500000</v>
      </c>
      <c r="AO110" s="3">
        <v>3500000</v>
      </c>
      <c r="AP110" s="3">
        <v>3500000</v>
      </c>
      <c r="AQ110" s="3"/>
      <c r="AR110" s="3"/>
      <c r="AS110" s="3"/>
      <c r="AT110" s="3"/>
      <c r="AU110" s="3"/>
      <c r="AV110" s="3"/>
      <c r="AW110" s="3">
        <f t="shared" si="5"/>
        <v>10500000</v>
      </c>
      <c r="AX110" s="3">
        <f t="shared" si="6"/>
        <v>21000000</v>
      </c>
      <c r="AY110" s="4">
        <f t="shared" si="7"/>
        <v>9</v>
      </c>
      <c r="AZ110" s="8" t="s">
        <v>5675</v>
      </c>
      <c r="BA110" s="4" t="s">
        <v>5715</v>
      </c>
      <c r="BB110" s="2"/>
      <c r="BC110" s="3"/>
      <c r="BD110" s="3"/>
    </row>
    <row r="111" spans="1:56" ht="16.8" customHeight="1">
      <c r="A111" s="1">
        <v>110</v>
      </c>
      <c r="B111" s="1" t="s">
        <v>42</v>
      </c>
      <c r="C111" s="1" t="s">
        <v>185</v>
      </c>
      <c r="D111" s="1" t="s">
        <v>500</v>
      </c>
      <c r="E111" s="1" t="s">
        <v>500</v>
      </c>
      <c r="F111" s="1" t="s">
        <v>501</v>
      </c>
      <c r="G111" s="1" t="s">
        <v>248</v>
      </c>
      <c r="H111" s="1" t="s">
        <v>4769</v>
      </c>
      <c r="I111" s="18">
        <v>45945</v>
      </c>
      <c r="J111" s="18">
        <v>45931</v>
      </c>
      <c r="K111" s="18" t="s">
        <v>4770</v>
      </c>
      <c r="L111" s="18" t="s">
        <v>4734</v>
      </c>
      <c r="M111" s="2">
        <v>5436364</v>
      </c>
      <c r="N111" s="2">
        <v>5436364</v>
      </c>
      <c r="O111" s="2"/>
      <c r="P111" s="2" t="str">
        <f t="shared" si="4"/>
        <v/>
      </c>
      <c r="Q111" s="2"/>
      <c r="R111" s="2"/>
      <c r="S111" s="48"/>
      <c r="T111" s="2">
        <v>17940001</v>
      </c>
      <c r="U111" s="2">
        <v>0</v>
      </c>
      <c r="V111" s="1" t="s">
        <v>249</v>
      </c>
      <c r="W111" s="6" t="s">
        <v>250</v>
      </c>
      <c r="X111" s="1" t="s">
        <v>251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>
        <v>5436364</v>
      </c>
      <c r="AL111" s="3">
        <v>5436364</v>
      </c>
      <c r="AM111" s="3">
        <v>5436365</v>
      </c>
      <c r="AN111" s="3">
        <v>5436364</v>
      </c>
      <c r="AO111" s="3">
        <v>5436364</v>
      </c>
      <c r="AP111" s="3">
        <v>5436365</v>
      </c>
      <c r="AQ111" s="3"/>
      <c r="AR111" s="3"/>
      <c r="AS111" s="3"/>
      <c r="AT111" s="3"/>
      <c r="AU111" s="3"/>
      <c r="AV111" s="3"/>
      <c r="AW111" s="3">
        <f t="shared" si="5"/>
        <v>0</v>
      </c>
      <c r="AX111" s="3">
        <f t="shared" si="6"/>
        <v>32618186</v>
      </c>
      <c r="AY111" s="4">
        <f t="shared" si="7"/>
        <v>6</v>
      </c>
      <c r="AZ111" s="8" t="s">
        <v>5493</v>
      </c>
      <c r="BA111" s="4" t="s">
        <v>5727</v>
      </c>
      <c r="BB111" s="2"/>
      <c r="BC111" s="3"/>
      <c r="BD111" s="3"/>
    </row>
    <row r="112" spans="1:56" ht="16.8" customHeight="1">
      <c r="A112" s="1">
        <v>111</v>
      </c>
      <c r="B112" s="1" t="s">
        <v>42</v>
      </c>
      <c r="C112" s="1" t="s">
        <v>47</v>
      </c>
      <c r="D112" s="1" t="s">
        <v>502</v>
      </c>
      <c r="E112" s="1" t="s">
        <v>502</v>
      </c>
      <c r="F112" s="1" t="s">
        <v>503</v>
      </c>
      <c r="G112" s="1" t="s">
        <v>504</v>
      </c>
      <c r="H112" s="1" t="s">
        <v>544</v>
      </c>
      <c r="I112" s="18">
        <v>45931</v>
      </c>
      <c r="J112" s="18">
        <v>45931</v>
      </c>
      <c r="K112" s="18" t="s">
        <v>4787</v>
      </c>
      <c r="L112" s="18" t="s">
        <v>4734</v>
      </c>
      <c r="M112" s="2">
        <v>1200000</v>
      </c>
      <c r="N112" s="2">
        <v>1200000</v>
      </c>
      <c r="O112" s="2"/>
      <c r="P112" s="2" t="str">
        <f t="shared" si="4"/>
        <v/>
      </c>
      <c r="Q112" s="2"/>
      <c r="R112" s="2"/>
      <c r="S112" s="48"/>
      <c r="T112" s="2">
        <v>3600000</v>
      </c>
      <c r="U112" s="2">
        <v>0</v>
      </c>
      <c r="V112" s="1" t="s">
        <v>505</v>
      </c>
      <c r="W112" s="6" t="s">
        <v>506</v>
      </c>
      <c r="X112" s="1" t="s">
        <v>115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>
        <v>1200000</v>
      </c>
      <c r="AI112" s="3">
        <v>1200000</v>
      </c>
      <c r="AJ112" s="3">
        <v>1200000</v>
      </c>
      <c r="AK112" s="3">
        <v>1200000</v>
      </c>
      <c r="AL112" s="3">
        <v>1200000</v>
      </c>
      <c r="AM112" s="3">
        <v>1200000</v>
      </c>
      <c r="AN112" s="3">
        <v>1200000</v>
      </c>
      <c r="AO112" s="3">
        <v>1200000</v>
      </c>
      <c r="AP112" s="3">
        <v>1200000</v>
      </c>
      <c r="AQ112" s="3"/>
      <c r="AR112" s="3"/>
      <c r="AS112" s="3"/>
      <c r="AT112" s="3"/>
      <c r="AU112" s="3"/>
      <c r="AV112" s="3"/>
      <c r="AW112" s="3">
        <f t="shared" si="5"/>
        <v>3600000</v>
      </c>
      <c r="AX112" s="3">
        <f t="shared" si="6"/>
        <v>7200000</v>
      </c>
      <c r="AY112" s="4">
        <f t="shared" si="7"/>
        <v>9</v>
      </c>
      <c r="AZ112" s="8">
        <v>0</v>
      </c>
      <c r="BA112" s="4" t="s">
        <v>5726</v>
      </c>
      <c r="BB112" s="2"/>
      <c r="BC112" s="3"/>
      <c r="BD112" s="3"/>
    </row>
    <row r="113" spans="1:56" ht="16.8" customHeight="1">
      <c r="A113" s="1">
        <v>112</v>
      </c>
      <c r="B113" s="1" t="s">
        <v>42</v>
      </c>
      <c r="C113" s="1" t="s">
        <v>185</v>
      </c>
      <c r="D113" s="1" t="s">
        <v>507</v>
      </c>
      <c r="E113" s="1" t="s">
        <v>507</v>
      </c>
      <c r="F113" s="1" t="s">
        <v>508</v>
      </c>
      <c r="G113" s="1" t="s">
        <v>509</v>
      </c>
      <c r="H113" s="1" t="s">
        <v>4812</v>
      </c>
      <c r="I113" s="18">
        <v>45931</v>
      </c>
      <c r="J113" s="18">
        <v>45931</v>
      </c>
      <c r="K113" s="18" t="s">
        <v>4742</v>
      </c>
      <c r="L113" s="18" t="s">
        <v>4734</v>
      </c>
      <c r="M113" s="2">
        <v>2500000</v>
      </c>
      <c r="N113" s="2">
        <v>2500000</v>
      </c>
      <c r="O113" s="2"/>
      <c r="P113" s="2" t="str">
        <f t="shared" si="4"/>
        <v/>
      </c>
      <c r="Q113" s="2"/>
      <c r="R113" s="2"/>
      <c r="S113" s="48"/>
      <c r="T113" s="2">
        <v>7500000</v>
      </c>
      <c r="U113" s="2">
        <v>0</v>
      </c>
      <c r="V113" s="1" t="s">
        <v>510</v>
      </c>
      <c r="W113" s="6" t="s">
        <v>511</v>
      </c>
      <c r="X113" s="1" t="s">
        <v>471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>
        <v>2500000</v>
      </c>
      <c r="AI113" s="3">
        <v>2500000</v>
      </c>
      <c r="AJ113" s="3">
        <v>2500000</v>
      </c>
      <c r="AK113" s="3">
        <v>2500000</v>
      </c>
      <c r="AL113" s="3">
        <v>2500000</v>
      </c>
      <c r="AM113" s="3">
        <v>2500000</v>
      </c>
      <c r="AN113" s="3">
        <v>2500000</v>
      </c>
      <c r="AO113" s="3">
        <v>2500000</v>
      </c>
      <c r="AP113" s="3">
        <v>2500000</v>
      </c>
      <c r="AQ113" s="3"/>
      <c r="AR113" s="3"/>
      <c r="AS113" s="3"/>
      <c r="AT113" s="3"/>
      <c r="AU113" s="3"/>
      <c r="AV113" s="3"/>
      <c r="AW113" s="3">
        <f t="shared" si="5"/>
        <v>7500000</v>
      </c>
      <c r="AX113" s="3">
        <f t="shared" si="6"/>
        <v>15000000</v>
      </c>
      <c r="AY113" s="4">
        <f t="shared" si="7"/>
        <v>9</v>
      </c>
      <c r="AZ113" s="8">
        <v>0</v>
      </c>
      <c r="BA113" s="4" t="s">
        <v>5715</v>
      </c>
      <c r="BB113" s="2"/>
      <c r="BC113" s="3"/>
      <c r="BD113" s="3"/>
    </row>
    <row r="114" spans="1:56" ht="16.8" customHeight="1">
      <c r="A114" s="1">
        <v>113</v>
      </c>
      <c r="B114" s="1" t="s">
        <v>42</v>
      </c>
      <c r="C114" s="1" t="s">
        <v>185</v>
      </c>
      <c r="D114" s="1" t="s">
        <v>512</v>
      </c>
      <c r="E114" s="1" t="s">
        <v>512</v>
      </c>
      <c r="F114" s="1" t="s">
        <v>513</v>
      </c>
      <c r="G114" s="1" t="s">
        <v>514</v>
      </c>
      <c r="H114" s="1" t="s">
        <v>4813</v>
      </c>
      <c r="I114" s="18">
        <v>45931</v>
      </c>
      <c r="J114" s="18">
        <v>45931</v>
      </c>
      <c r="K114" s="18" t="s">
        <v>4742</v>
      </c>
      <c r="L114" s="18" t="s">
        <v>4734</v>
      </c>
      <c r="M114" s="2">
        <v>2500000</v>
      </c>
      <c r="N114" s="2">
        <v>2500000</v>
      </c>
      <c r="O114" s="2"/>
      <c r="P114" s="2" t="str">
        <f t="shared" si="4"/>
        <v/>
      </c>
      <c r="Q114" s="2"/>
      <c r="R114" s="2"/>
      <c r="S114" s="48"/>
      <c r="T114" s="2">
        <v>7500000</v>
      </c>
      <c r="U114" s="2">
        <v>0</v>
      </c>
      <c r="V114" s="1" t="s">
        <v>514</v>
      </c>
      <c r="W114" s="6" t="s">
        <v>515</v>
      </c>
      <c r="X114" s="1" t="s">
        <v>516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>
        <v>2500000</v>
      </c>
      <c r="AI114" s="3">
        <v>2500000</v>
      </c>
      <c r="AJ114" s="3">
        <v>2500000</v>
      </c>
      <c r="AK114" s="3">
        <v>2500000</v>
      </c>
      <c r="AL114" s="3">
        <v>2500000</v>
      </c>
      <c r="AM114" s="3">
        <v>2500000</v>
      </c>
      <c r="AN114" s="3">
        <v>2500000</v>
      </c>
      <c r="AO114" s="3">
        <v>2500000</v>
      </c>
      <c r="AP114" s="3">
        <v>2500000</v>
      </c>
      <c r="AQ114" s="3"/>
      <c r="AR114" s="3"/>
      <c r="AS114" s="3"/>
      <c r="AT114" s="3"/>
      <c r="AU114" s="3"/>
      <c r="AV114" s="3"/>
      <c r="AW114" s="3">
        <f t="shared" si="5"/>
        <v>7500000</v>
      </c>
      <c r="AX114" s="3">
        <f t="shared" si="6"/>
        <v>15000000</v>
      </c>
      <c r="AY114" s="4">
        <f t="shared" si="7"/>
        <v>9</v>
      </c>
      <c r="AZ114" s="8" t="s">
        <v>5498</v>
      </c>
      <c r="BA114" s="4" t="s">
        <v>5715</v>
      </c>
      <c r="BB114" s="2"/>
      <c r="BC114" s="3"/>
      <c r="BD114" s="3"/>
    </row>
    <row r="115" spans="1:56" ht="16.8" customHeight="1">
      <c r="A115" s="1">
        <v>114</v>
      </c>
      <c r="B115" s="1" t="s">
        <v>42</v>
      </c>
      <c r="C115" s="1" t="s">
        <v>47</v>
      </c>
      <c r="D115" s="1" t="s">
        <v>517</v>
      </c>
      <c r="E115" s="1" t="s">
        <v>517</v>
      </c>
      <c r="F115" s="1" t="s">
        <v>518</v>
      </c>
      <c r="G115" s="1" t="s">
        <v>519</v>
      </c>
      <c r="H115" s="1" t="s">
        <v>4814</v>
      </c>
      <c r="I115" s="18">
        <v>46478</v>
      </c>
      <c r="J115" s="18">
        <v>45931</v>
      </c>
      <c r="K115" s="18" t="s">
        <v>4737</v>
      </c>
      <c r="L115" s="18" t="s">
        <v>4734</v>
      </c>
      <c r="M115" s="2">
        <v>2000000</v>
      </c>
      <c r="N115" s="2">
        <v>2000000</v>
      </c>
      <c r="O115" s="2"/>
      <c r="P115" s="2" t="str">
        <f t="shared" si="4"/>
        <v/>
      </c>
      <c r="Q115" s="2"/>
      <c r="R115" s="2"/>
      <c r="S115" s="48"/>
      <c r="T115" s="2">
        <v>6000000</v>
      </c>
      <c r="U115" s="2">
        <v>0</v>
      </c>
      <c r="V115" s="1" t="s">
        <v>520</v>
      </c>
      <c r="W115" s="6" t="s">
        <v>521</v>
      </c>
      <c r="X115" s="1" t="s">
        <v>218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>
        <v>2000000</v>
      </c>
      <c r="AI115" s="3">
        <v>2000000</v>
      </c>
      <c r="AJ115" s="3">
        <v>2000000</v>
      </c>
      <c r="AK115" s="3">
        <v>2000000</v>
      </c>
      <c r="AL115" s="3">
        <v>2000000</v>
      </c>
      <c r="AM115" s="3">
        <v>2000000</v>
      </c>
      <c r="AN115" s="3">
        <v>2000000</v>
      </c>
      <c r="AO115" s="3">
        <v>2000000</v>
      </c>
      <c r="AP115" s="3">
        <v>2000000</v>
      </c>
      <c r="AQ115" s="3"/>
      <c r="AR115" s="3"/>
      <c r="AS115" s="3"/>
      <c r="AT115" s="3"/>
      <c r="AU115" s="3"/>
      <c r="AV115" s="3"/>
      <c r="AW115" s="3">
        <f t="shared" si="5"/>
        <v>6000000</v>
      </c>
      <c r="AX115" s="3">
        <f t="shared" si="6"/>
        <v>12000000</v>
      </c>
      <c r="AY115" s="4">
        <f t="shared" si="7"/>
        <v>9</v>
      </c>
      <c r="BA115" s="4" t="s">
        <v>5715</v>
      </c>
      <c r="BB115" s="2"/>
      <c r="BC115" s="3"/>
      <c r="BD115" s="3"/>
    </row>
    <row r="116" spans="1:56" ht="16.8" customHeight="1">
      <c r="A116" s="1">
        <v>115</v>
      </c>
      <c r="B116" s="1" t="s">
        <v>42</v>
      </c>
      <c r="C116" s="1" t="s">
        <v>47</v>
      </c>
      <c r="D116" s="1" t="s">
        <v>522</v>
      </c>
      <c r="E116" s="1" t="s">
        <v>522</v>
      </c>
      <c r="F116" s="1" t="s">
        <v>523</v>
      </c>
      <c r="G116" s="1" t="s">
        <v>524</v>
      </c>
      <c r="H116" s="1" t="s">
        <v>4510</v>
      </c>
      <c r="I116" s="18">
        <v>45931</v>
      </c>
      <c r="J116" s="18">
        <v>45931</v>
      </c>
      <c r="K116" s="18" t="s">
        <v>4745</v>
      </c>
      <c r="L116" s="18" t="s">
        <v>4734</v>
      </c>
      <c r="M116" s="2">
        <v>6500000</v>
      </c>
      <c r="N116" s="2">
        <v>6500000</v>
      </c>
      <c r="O116" s="2"/>
      <c r="P116" s="2" t="str">
        <f t="shared" si="4"/>
        <v/>
      </c>
      <c r="Q116" s="2"/>
      <c r="R116" s="2"/>
      <c r="S116" s="48"/>
      <c r="T116" s="2">
        <v>21450000</v>
      </c>
      <c r="U116" s="2">
        <v>0</v>
      </c>
      <c r="V116" s="1" t="s">
        <v>524</v>
      </c>
      <c r="W116" s="6" t="s">
        <v>525</v>
      </c>
      <c r="X116" s="1" t="s">
        <v>526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f t="shared" si="5"/>
        <v>0</v>
      </c>
      <c r="AX116" s="3">
        <f t="shared" si="6"/>
        <v>0</v>
      </c>
      <c r="AY116" s="4">
        <f t="shared" si="7"/>
        <v>0</v>
      </c>
      <c r="AZ116" s="8" t="s">
        <v>5483</v>
      </c>
      <c r="BA116" s="4" t="s">
        <v>5726</v>
      </c>
      <c r="BB116" s="2"/>
      <c r="BC116" s="3"/>
      <c r="BD116" s="4"/>
    </row>
    <row r="117" spans="1:56" ht="16.8" customHeight="1">
      <c r="A117" s="1">
        <v>116</v>
      </c>
      <c r="B117" s="1" t="s">
        <v>42</v>
      </c>
      <c r="C117" s="1" t="s">
        <v>43</v>
      </c>
      <c r="D117" s="1" t="s">
        <v>527</v>
      </c>
      <c r="E117" s="1" t="s">
        <v>527</v>
      </c>
      <c r="F117" s="1" t="s">
        <v>528</v>
      </c>
      <c r="G117" s="1" t="s">
        <v>529</v>
      </c>
      <c r="H117" s="1" t="s">
        <v>4815</v>
      </c>
      <c r="I117" s="18">
        <v>49430</v>
      </c>
      <c r="J117" s="18">
        <v>10</v>
      </c>
      <c r="K117" s="18">
        <v>700000</v>
      </c>
      <c r="L117" s="18"/>
      <c r="M117" s="2">
        <v>700000</v>
      </c>
      <c r="N117" s="2">
        <v>700000</v>
      </c>
      <c r="O117" s="2"/>
      <c r="P117" s="2" t="str">
        <f t="shared" si="4"/>
        <v/>
      </c>
      <c r="Q117" s="2"/>
      <c r="R117" s="2"/>
      <c r="S117" s="48"/>
      <c r="T117" s="2">
        <v>0</v>
      </c>
      <c r="U117" s="2">
        <v>2100000</v>
      </c>
      <c r="V117" s="1"/>
      <c r="W117" s="6"/>
      <c r="X117" s="1"/>
      <c r="Y117" s="3"/>
      <c r="Z117" s="3"/>
      <c r="AA117" s="3"/>
      <c r="AB117" s="3"/>
      <c r="AC117" s="3"/>
      <c r="AD117" s="3"/>
      <c r="AE117" s="3"/>
      <c r="AF117" s="3"/>
      <c r="AG117" s="3"/>
      <c r="AH117" s="3">
        <v>700000</v>
      </c>
      <c r="AI117" s="3">
        <v>700000</v>
      </c>
      <c r="AJ117" s="3">
        <v>700000</v>
      </c>
      <c r="AK117" s="3">
        <v>700000</v>
      </c>
      <c r="AL117" s="3">
        <v>700000</v>
      </c>
      <c r="AM117" s="3">
        <v>700000</v>
      </c>
      <c r="AN117" s="3">
        <v>700000</v>
      </c>
      <c r="AO117" s="3">
        <v>700000</v>
      </c>
      <c r="AP117" s="3">
        <v>700000</v>
      </c>
      <c r="AQ117" s="3"/>
      <c r="AR117" s="3"/>
      <c r="AS117" s="3"/>
      <c r="AT117" s="3"/>
      <c r="AU117" s="3"/>
      <c r="AV117" s="3"/>
      <c r="AW117" s="3">
        <f t="shared" si="5"/>
        <v>2100000</v>
      </c>
      <c r="AX117" s="3">
        <f t="shared" si="6"/>
        <v>4200000</v>
      </c>
      <c r="AY117" s="4">
        <f t="shared" si="7"/>
        <v>9</v>
      </c>
      <c r="BA117" s="4" t="s">
        <v>5728</v>
      </c>
      <c r="BB117" s="2"/>
      <c r="BC117" s="3"/>
      <c r="BD117" s="3"/>
    </row>
    <row r="118" spans="1:56" ht="16.8" customHeight="1">
      <c r="A118" s="1">
        <v>117</v>
      </c>
      <c r="B118" s="1" t="s">
        <v>42</v>
      </c>
      <c r="C118" s="1" t="s">
        <v>47</v>
      </c>
      <c r="D118" s="1" t="s">
        <v>530</v>
      </c>
      <c r="E118" s="1" t="s">
        <v>530</v>
      </c>
      <c r="F118" s="1" t="s">
        <v>531</v>
      </c>
      <c r="G118" s="1" t="s">
        <v>532</v>
      </c>
      <c r="H118" s="1" t="s">
        <v>4816</v>
      </c>
      <c r="I118" s="18">
        <v>47027</v>
      </c>
      <c r="J118" s="18">
        <v>12</v>
      </c>
      <c r="K118" s="18">
        <v>1200000</v>
      </c>
      <c r="L118" s="18"/>
      <c r="M118" s="2">
        <v>1200000</v>
      </c>
      <c r="N118" s="2">
        <v>1200000</v>
      </c>
      <c r="O118" s="2"/>
      <c r="P118" s="2" t="str">
        <f t="shared" si="4"/>
        <v/>
      </c>
      <c r="Q118" s="2"/>
      <c r="R118" s="2"/>
      <c r="S118" s="48"/>
      <c r="T118" s="2">
        <v>0</v>
      </c>
      <c r="U118" s="2">
        <v>3600000</v>
      </c>
      <c r="V118" s="1"/>
      <c r="W118" s="6"/>
      <c r="X118" s="1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f t="shared" si="5"/>
        <v>0</v>
      </c>
      <c r="AX118" s="3">
        <f t="shared" si="6"/>
        <v>0</v>
      </c>
      <c r="AY118" s="4">
        <f t="shared" si="7"/>
        <v>0</v>
      </c>
      <c r="BA118" s="4" t="s">
        <v>5726</v>
      </c>
      <c r="BB118" s="2"/>
      <c r="BC118" s="3"/>
      <c r="BD118" s="4"/>
    </row>
    <row r="119" spans="1:56" ht="16.8" customHeight="1">
      <c r="A119" s="1">
        <v>118</v>
      </c>
      <c r="B119" s="1" t="s">
        <v>42</v>
      </c>
      <c r="C119" s="1" t="s">
        <v>47</v>
      </c>
      <c r="D119" s="1" t="s">
        <v>533</v>
      </c>
      <c r="E119" s="1" t="s">
        <v>533</v>
      </c>
      <c r="F119" s="1" t="s">
        <v>534</v>
      </c>
      <c r="G119" s="1" t="s">
        <v>58</v>
      </c>
      <c r="H119" s="1" t="s">
        <v>4732</v>
      </c>
      <c r="I119" s="18">
        <v>45940</v>
      </c>
      <c r="J119" s="18">
        <v>45931</v>
      </c>
      <c r="K119" s="18" t="s">
        <v>4733</v>
      </c>
      <c r="L119" s="18" t="s">
        <v>4734</v>
      </c>
      <c r="M119" s="2">
        <v>8200000</v>
      </c>
      <c r="N119" s="2">
        <v>8200000</v>
      </c>
      <c r="O119" s="2"/>
      <c r="P119" s="2" t="str">
        <f t="shared" si="4"/>
        <v/>
      </c>
      <c r="Q119" s="2"/>
      <c r="R119" s="2"/>
      <c r="S119" s="48"/>
      <c r="T119" s="2">
        <v>27060000</v>
      </c>
      <c r="U119" s="2">
        <v>0</v>
      </c>
      <c r="V119" s="1" t="s">
        <v>58</v>
      </c>
      <c r="W119" s="6" t="s">
        <v>59</v>
      </c>
      <c r="X119" s="1" t="s">
        <v>60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>
        <v>8200000</v>
      </c>
      <c r="AL119" s="3">
        <v>8200000</v>
      </c>
      <c r="AM119" s="3">
        <v>8200000</v>
      </c>
      <c r="AN119" s="3">
        <v>8200000</v>
      </c>
      <c r="AO119" s="3">
        <v>8200000</v>
      </c>
      <c r="AP119" s="3">
        <v>8200000</v>
      </c>
      <c r="AQ119" s="3"/>
      <c r="AR119" s="3"/>
      <c r="AS119" s="3"/>
      <c r="AT119" s="3"/>
      <c r="AU119" s="3"/>
      <c r="AV119" s="3"/>
      <c r="AW119" s="3">
        <f t="shared" si="5"/>
        <v>0</v>
      </c>
      <c r="AX119" s="3">
        <f t="shared" si="6"/>
        <v>49200000</v>
      </c>
      <c r="AY119" s="4">
        <f t="shared" si="7"/>
        <v>6</v>
      </c>
      <c r="AZ119" s="8" t="s">
        <v>5483</v>
      </c>
      <c r="BA119" s="4" t="s">
        <v>5727</v>
      </c>
      <c r="BB119" s="2"/>
      <c r="BC119" s="3"/>
      <c r="BD119" s="3"/>
    </row>
    <row r="120" spans="1:56" s="33" customFormat="1" ht="16.8" customHeight="1">
      <c r="A120" s="29">
        <v>119</v>
      </c>
      <c r="B120" s="29" t="s">
        <v>42</v>
      </c>
      <c r="C120" s="1" t="s">
        <v>47</v>
      </c>
      <c r="D120" s="29" t="s">
        <v>535</v>
      </c>
      <c r="E120" s="29" t="s">
        <v>535</v>
      </c>
      <c r="F120" s="1" t="s">
        <v>536</v>
      </c>
      <c r="G120" s="1" t="s">
        <v>537</v>
      </c>
      <c r="H120" s="1" t="s">
        <v>4817</v>
      </c>
      <c r="I120" s="18">
        <v>45940</v>
      </c>
      <c r="J120" s="18">
        <v>45931</v>
      </c>
      <c r="K120" s="18" t="s">
        <v>4795</v>
      </c>
      <c r="L120" s="18" t="s">
        <v>4734</v>
      </c>
      <c r="M120" s="30">
        <v>1200000</v>
      </c>
      <c r="N120" s="30">
        <v>1500000</v>
      </c>
      <c r="O120" s="30">
        <v>1500000</v>
      </c>
      <c r="P120" s="2">
        <f t="shared" si="4"/>
        <v>300000</v>
      </c>
      <c r="Q120" s="2"/>
      <c r="R120" s="2"/>
      <c r="S120" s="48"/>
      <c r="T120" s="2">
        <v>3600000</v>
      </c>
      <c r="U120" s="2">
        <v>0</v>
      </c>
      <c r="V120" s="1" t="s">
        <v>328</v>
      </c>
      <c r="W120" s="6" t="s">
        <v>329</v>
      </c>
      <c r="X120" s="1" t="s">
        <v>106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>
        <v>1200000</v>
      </c>
      <c r="AI120" s="3">
        <v>1200000</v>
      </c>
      <c r="AJ120" s="3">
        <v>1200000</v>
      </c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>
        <f t="shared" si="5"/>
        <v>3600000</v>
      </c>
      <c r="AX120" s="31">
        <f t="shared" si="6"/>
        <v>0</v>
      </c>
      <c r="AY120" s="32">
        <f t="shared" si="7"/>
        <v>3</v>
      </c>
      <c r="AZ120" s="33" t="s">
        <v>5671</v>
      </c>
      <c r="BA120" s="4" t="s">
        <v>5726</v>
      </c>
      <c r="BB120" s="30"/>
      <c r="BC120" s="3"/>
      <c r="BD120" s="32"/>
    </row>
    <row r="121" spans="1:56" ht="16.8" customHeight="1">
      <c r="A121" s="1">
        <v>120</v>
      </c>
      <c r="B121" s="1" t="s">
        <v>42</v>
      </c>
      <c r="C121" s="1" t="s">
        <v>47</v>
      </c>
      <c r="D121" s="1" t="s">
        <v>538</v>
      </c>
      <c r="E121" s="1" t="s">
        <v>538</v>
      </c>
      <c r="F121" s="1" t="s">
        <v>539</v>
      </c>
      <c r="G121" s="1" t="s">
        <v>540</v>
      </c>
      <c r="H121" s="1" t="s">
        <v>766</v>
      </c>
      <c r="I121" s="18">
        <v>45940</v>
      </c>
      <c r="J121" s="18">
        <v>45931</v>
      </c>
      <c r="K121" s="18" t="s">
        <v>4787</v>
      </c>
      <c r="L121" s="18" t="s">
        <v>4734</v>
      </c>
      <c r="M121" s="2">
        <v>1200000</v>
      </c>
      <c r="N121" s="2">
        <v>1200000</v>
      </c>
      <c r="O121" s="2"/>
      <c r="P121" s="2" t="str">
        <f t="shared" si="4"/>
        <v/>
      </c>
      <c r="Q121" s="2"/>
      <c r="R121" s="2"/>
      <c r="S121" s="48"/>
      <c r="T121" s="2">
        <v>3600000</v>
      </c>
      <c r="U121" s="2">
        <v>0</v>
      </c>
      <c r="V121" s="1" t="s">
        <v>328</v>
      </c>
      <c r="W121" s="6" t="s">
        <v>329</v>
      </c>
      <c r="X121" s="1" t="s">
        <v>106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>
        <v>1200000</v>
      </c>
      <c r="AI121" s="3">
        <v>1200000</v>
      </c>
      <c r="AJ121" s="3">
        <v>1200000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f t="shared" si="5"/>
        <v>3600000</v>
      </c>
      <c r="AX121" s="3">
        <f t="shared" si="6"/>
        <v>0</v>
      </c>
      <c r="AY121" s="4">
        <f t="shared" si="7"/>
        <v>3</v>
      </c>
      <c r="AZ121" s="8" t="s">
        <v>5667</v>
      </c>
      <c r="BA121" s="4" t="s">
        <v>5726</v>
      </c>
      <c r="BB121" s="2"/>
      <c r="BC121" s="3"/>
      <c r="BD121" s="4"/>
    </row>
    <row r="122" spans="1:56" ht="16.8" customHeight="1">
      <c r="A122" s="1">
        <v>121</v>
      </c>
      <c r="B122" s="1" t="s">
        <v>42</v>
      </c>
      <c r="C122" s="1" t="s">
        <v>185</v>
      </c>
      <c r="D122" s="1" t="s">
        <v>541</v>
      </c>
      <c r="E122" s="1" t="s">
        <v>541</v>
      </c>
      <c r="F122" s="1" t="s">
        <v>542</v>
      </c>
      <c r="G122" s="1" t="s">
        <v>543</v>
      </c>
      <c r="H122" s="1" t="s">
        <v>4511</v>
      </c>
      <c r="I122" s="18">
        <v>45931</v>
      </c>
      <c r="J122" s="18">
        <v>45931</v>
      </c>
      <c r="K122" s="18" t="s">
        <v>4737</v>
      </c>
      <c r="L122" s="18" t="s">
        <v>4734</v>
      </c>
      <c r="M122" s="2">
        <v>8200000</v>
      </c>
      <c r="N122" s="2">
        <v>8200000</v>
      </c>
      <c r="O122" s="2"/>
      <c r="P122" s="2" t="str">
        <f t="shared" si="4"/>
        <v/>
      </c>
      <c r="Q122" s="2"/>
      <c r="R122" s="2"/>
      <c r="S122" s="48"/>
      <c r="T122" s="2">
        <v>24600000</v>
      </c>
      <c r="U122" s="2">
        <v>0</v>
      </c>
      <c r="V122" s="1" t="s">
        <v>545</v>
      </c>
      <c r="W122" s="6" t="s">
        <v>546</v>
      </c>
      <c r="X122" s="1" t="s">
        <v>547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>
        <v>8200000</v>
      </c>
      <c r="AI122" s="3">
        <v>8200000</v>
      </c>
      <c r="AJ122" s="3">
        <v>8200000</v>
      </c>
      <c r="AK122" s="3">
        <v>8200000</v>
      </c>
      <c r="AL122" s="3">
        <v>8200000</v>
      </c>
      <c r="AM122" s="3">
        <v>8200000</v>
      </c>
      <c r="AN122" s="3">
        <v>8200000</v>
      </c>
      <c r="AO122" s="3">
        <v>8200000</v>
      </c>
      <c r="AP122" s="3">
        <v>8200000</v>
      </c>
      <c r="AQ122" s="3"/>
      <c r="AR122" s="3"/>
      <c r="AS122" s="3"/>
      <c r="AT122" s="3"/>
      <c r="AU122" s="3"/>
      <c r="AV122" s="3"/>
      <c r="AW122" s="3">
        <f t="shared" si="5"/>
        <v>24600000</v>
      </c>
      <c r="AX122" s="3">
        <f t="shared" si="6"/>
        <v>49200000</v>
      </c>
      <c r="AY122" s="4">
        <f t="shared" si="7"/>
        <v>9</v>
      </c>
      <c r="AZ122" s="8" t="s">
        <v>5486</v>
      </c>
      <c r="BA122" s="4" t="s">
        <v>5727</v>
      </c>
      <c r="BB122" s="2"/>
      <c r="BC122" s="3"/>
      <c r="BD122" s="3"/>
    </row>
    <row r="123" spans="1:56" ht="16.8" customHeight="1">
      <c r="A123" s="1">
        <v>122</v>
      </c>
      <c r="B123" s="1" t="s">
        <v>42</v>
      </c>
      <c r="C123" s="1" t="s">
        <v>47</v>
      </c>
      <c r="D123" s="1" t="s">
        <v>548</v>
      </c>
      <c r="E123" s="1" t="s">
        <v>548</v>
      </c>
      <c r="F123" s="1" t="s">
        <v>549</v>
      </c>
      <c r="G123" s="1" t="s">
        <v>550</v>
      </c>
      <c r="H123" s="1" t="s">
        <v>4818</v>
      </c>
      <c r="I123" s="18">
        <v>45931</v>
      </c>
      <c r="J123" s="18">
        <v>45931</v>
      </c>
      <c r="K123" s="18" t="s">
        <v>4753</v>
      </c>
      <c r="L123" s="18" t="s">
        <v>4734</v>
      </c>
      <c r="M123" s="2">
        <v>1500000</v>
      </c>
      <c r="N123" s="2">
        <v>1500000</v>
      </c>
      <c r="O123" s="2"/>
      <c r="P123" s="2" t="str">
        <f t="shared" si="4"/>
        <v/>
      </c>
      <c r="Q123" s="2"/>
      <c r="R123" s="2"/>
      <c r="S123" s="48"/>
      <c r="T123" s="2">
        <v>4500000</v>
      </c>
      <c r="U123" s="2">
        <v>0</v>
      </c>
      <c r="V123" s="1" t="s">
        <v>550</v>
      </c>
      <c r="W123" s="6" t="s">
        <v>551</v>
      </c>
      <c r="X123" s="1" t="s">
        <v>224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>
        <v>1500000</v>
      </c>
      <c r="AI123" s="3">
        <v>1500000</v>
      </c>
      <c r="AJ123" s="3">
        <v>1500000</v>
      </c>
      <c r="AK123" s="3">
        <v>1500000</v>
      </c>
      <c r="AL123" s="3">
        <v>1500000</v>
      </c>
      <c r="AM123" s="3">
        <v>1500000</v>
      </c>
      <c r="AN123" s="3">
        <v>1500000</v>
      </c>
      <c r="AO123" s="3">
        <v>1500000</v>
      </c>
      <c r="AP123" s="3">
        <v>1500000</v>
      </c>
      <c r="AQ123" s="3"/>
      <c r="AR123" s="3"/>
      <c r="AS123" s="3"/>
      <c r="AT123" s="3"/>
      <c r="AU123" s="3"/>
      <c r="AV123" s="3"/>
      <c r="AW123" s="3">
        <f t="shared" si="5"/>
        <v>4500000</v>
      </c>
      <c r="AX123" s="3">
        <f t="shared" si="6"/>
        <v>9000000</v>
      </c>
      <c r="AY123" s="4">
        <f t="shared" si="7"/>
        <v>9</v>
      </c>
      <c r="AZ123" s="8" t="s">
        <v>5499</v>
      </c>
      <c r="BA123" s="4" t="s">
        <v>5726</v>
      </c>
      <c r="BB123" s="2"/>
      <c r="BC123" s="3"/>
      <c r="BD123" s="3"/>
    </row>
    <row r="124" spans="1:56" ht="16.8" customHeight="1">
      <c r="A124" s="1">
        <v>123</v>
      </c>
      <c r="B124" s="1" t="s">
        <v>42</v>
      </c>
      <c r="C124" s="1" t="s">
        <v>43</v>
      </c>
      <c r="D124" s="1" t="s">
        <v>552</v>
      </c>
      <c r="E124" s="1" t="s">
        <v>552</v>
      </c>
      <c r="F124" s="1" t="s">
        <v>553</v>
      </c>
      <c r="G124" s="1" t="s">
        <v>58</v>
      </c>
      <c r="H124" s="1" t="s">
        <v>4732</v>
      </c>
      <c r="I124" s="18">
        <v>45940</v>
      </c>
      <c r="J124" s="18">
        <v>45931</v>
      </c>
      <c r="K124" s="18" t="s">
        <v>4733</v>
      </c>
      <c r="L124" s="18" t="s">
        <v>4734</v>
      </c>
      <c r="M124" s="2">
        <v>8200000</v>
      </c>
      <c r="N124" s="2">
        <v>8200000</v>
      </c>
      <c r="O124" s="2"/>
      <c r="P124" s="2" t="str">
        <f t="shared" si="4"/>
        <v/>
      </c>
      <c r="Q124" s="2"/>
      <c r="R124" s="2"/>
      <c r="S124" s="48"/>
      <c r="T124" s="2">
        <v>27060000</v>
      </c>
      <c r="U124" s="2">
        <v>0</v>
      </c>
      <c r="V124" s="1" t="s">
        <v>58</v>
      </c>
      <c r="W124" s="6" t="s">
        <v>59</v>
      </c>
      <c r="X124" s="1" t="s">
        <v>60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>
        <v>8200000</v>
      </c>
      <c r="AL124" s="3">
        <v>8200000</v>
      </c>
      <c r="AM124" s="3">
        <v>8200000</v>
      </c>
      <c r="AN124" s="3">
        <v>8200000</v>
      </c>
      <c r="AO124" s="3">
        <v>8200000</v>
      </c>
      <c r="AP124" s="3">
        <v>8200000</v>
      </c>
      <c r="AQ124" s="3"/>
      <c r="AR124" s="3"/>
      <c r="AS124" s="3"/>
      <c r="AT124" s="3"/>
      <c r="AU124" s="3"/>
      <c r="AV124" s="3"/>
      <c r="AW124" s="3">
        <f t="shared" si="5"/>
        <v>0</v>
      </c>
      <c r="AX124" s="3">
        <f t="shared" si="6"/>
        <v>49200000</v>
      </c>
      <c r="AY124" s="4">
        <f t="shared" si="7"/>
        <v>6</v>
      </c>
      <c r="AZ124" s="8" t="s">
        <v>5483</v>
      </c>
      <c r="BA124" s="4" t="s">
        <v>5727</v>
      </c>
      <c r="BB124" s="2"/>
      <c r="BC124" s="3"/>
      <c r="BD124" s="3"/>
    </row>
    <row r="125" spans="1:56" ht="16.8" customHeight="1">
      <c r="A125" s="1">
        <v>124</v>
      </c>
      <c r="B125" s="1" t="s">
        <v>42</v>
      </c>
      <c r="C125" s="1" t="s">
        <v>43</v>
      </c>
      <c r="D125" s="1" t="s">
        <v>554</v>
      </c>
      <c r="E125" s="1" t="s">
        <v>554</v>
      </c>
      <c r="F125" s="1" t="s">
        <v>555</v>
      </c>
      <c r="G125" s="1" t="s">
        <v>556</v>
      </c>
      <c r="H125" s="1" t="s">
        <v>4512</v>
      </c>
      <c r="I125" s="18">
        <v>45931</v>
      </c>
      <c r="J125" s="18">
        <v>45931</v>
      </c>
      <c r="K125" s="18" t="s">
        <v>4742</v>
      </c>
      <c r="L125" s="18" t="s">
        <v>4734</v>
      </c>
      <c r="M125" s="2">
        <v>1700000</v>
      </c>
      <c r="N125" s="2">
        <v>1700000</v>
      </c>
      <c r="O125" s="2"/>
      <c r="P125" s="2" t="str">
        <f t="shared" si="4"/>
        <v/>
      </c>
      <c r="Q125" s="2"/>
      <c r="R125" s="2"/>
      <c r="S125" s="48"/>
      <c r="T125" s="2">
        <v>10200000</v>
      </c>
      <c r="U125" s="2">
        <v>0</v>
      </c>
      <c r="V125" s="1" t="s">
        <v>87</v>
      </c>
      <c r="W125" s="6" t="s">
        <v>88</v>
      </c>
      <c r="X125" s="1" t="s">
        <v>89</v>
      </c>
      <c r="Y125" s="3"/>
      <c r="Z125" s="3"/>
      <c r="AA125" s="3"/>
      <c r="AB125" s="3"/>
      <c r="AC125" s="3"/>
      <c r="AD125" s="3"/>
      <c r="AE125" s="3">
        <v>1700000</v>
      </c>
      <c r="AF125" s="3">
        <v>1700000</v>
      </c>
      <c r="AG125" s="3">
        <v>1700000</v>
      </c>
      <c r="AH125" s="3">
        <v>1700000</v>
      </c>
      <c r="AI125" s="3">
        <v>1700000</v>
      </c>
      <c r="AJ125" s="3">
        <v>1700000</v>
      </c>
      <c r="AK125" s="3">
        <v>1700000</v>
      </c>
      <c r="AL125" s="3">
        <v>1700000</v>
      </c>
      <c r="AM125" s="3">
        <v>1700000</v>
      </c>
      <c r="AN125" s="3">
        <v>1700000</v>
      </c>
      <c r="AO125" s="3">
        <v>1700000</v>
      </c>
      <c r="AP125" s="3">
        <v>1700000</v>
      </c>
      <c r="AQ125" s="3"/>
      <c r="AR125" s="3"/>
      <c r="AS125" s="3"/>
      <c r="AT125" s="3"/>
      <c r="AU125" s="3"/>
      <c r="AV125" s="3"/>
      <c r="AW125" s="3">
        <f t="shared" si="5"/>
        <v>10200000</v>
      </c>
      <c r="AX125" s="3">
        <f t="shared" si="6"/>
        <v>10200000</v>
      </c>
      <c r="AY125" s="4">
        <f t="shared" si="7"/>
        <v>12</v>
      </c>
      <c r="AZ125" s="8" t="s">
        <v>5676</v>
      </c>
      <c r="BA125" s="4" t="s">
        <v>5715</v>
      </c>
      <c r="BB125" s="2"/>
      <c r="BC125" s="3"/>
      <c r="BD125" s="3"/>
    </row>
    <row r="126" spans="1:56" ht="16.8" customHeight="1">
      <c r="A126" s="1">
        <v>125</v>
      </c>
      <c r="B126" s="1" t="s">
        <v>42</v>
      </c>
      <c r="C126" s="1" t="s">
        <v>43</v>
      </c>
      <c r="D126" s="1" t="s">
        <v>557</v>
      </c>
      <c r="E126" s="1" t="s">
        <v>557</v>
      </c>
      <c r="F126" s="1" t="s">
        <v>558</v>
      </c>
      <c r="G126" s="1" t="s">
        <v>559</v>
      </c>
      <c r="H126" s="1" t="s">
        <v>4819</v>
      </c>
      <c r="I126" s="18">
        <v>45931</v>
      </c>
      <c r="J126" s="18">
        <v>45931</v>
      </c>
      <c r="K126" s="18" t="s">
        <v>4742</v>
      </c>
      <c r="L126" s="18" t="s">
        <v>4734</v>
      </c>
      <c r="M126" s="2">
        <v>3600000</v>
      </c>
      <c r="N126" s="2">
        <v>3600000</v>
      </c>
      <c r="O126" s="2"/>
      <c r="P126" s="2" t="str">
        <f t="shared" si="4"/>
        <v/>
      </c>
      <c r="Q126" s="2"/>
      <c r="R126" s="2"/>
      <c r="S126" s="48"/>
      <c r="T126" s="2">
        <v>10800000</v>
      </c>
      <c r="U126" s="2">
        <v>0</v>
      </c>
      <c r="V126" s="1" t="s">
        <v>559</v>
      </c>
      <c r="W126" s="6" t="s">
        <v>560</v>
      </c>
      <c r="X126" s="1" t="s">
        <v>106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>
        <v>3600000</v>
      </c>
      <c r="AI126" s="3">
        <v>3600000</v>
      </c>
      <c r="AJ126" s="3">
        <v>3600000</v>
      </c>
      <c r="AK126" s="3">
        <v>3600000</v>
      </c>
      <c r="AL126" s="3">
        <v>3600000</v>
      </c>
      <c r="AM126" s="3">
        <v>3600000</v>
      </c>
      <c r="AN126" s="3">
        <v>3600000</v>
      </c>
      <c r="AO126" s="3">
        <v>3600000</v>
      </c>
      <c r="AP126" s="3">
        <v>3600000</v>
      </c>
      <c r="AQ126" s="3"/>
      <c r="AR126" s="3"/>
      <c r="AS126" s="3"/>
      <c r="AT126" s="3"/>
      <c r="AU126" s="3"/>
      <c r="AV126" s="3"/>
      <c r="AW126" s="3">
        <f t="shared" si="5"/>
        <v>10800000</v>
      </c>
      <c r="AX126" s="3">
        <f t="shared" si="6"/>
        <v>21600000</v>
      </c>
      <c r="AY126" s="4">
        <f t="shared" si="7"/>
        <v>9</v>
      </c>
      <c r="BA126" s="4" t="s">
        <v>5715</v>
      </c>
      <c r="BB126" s="2"/>
      <c r="BC126" s="3"/>
      <c r="BD126" s="3"/>
    </row>
    <row r="127" spans="1:56" ht="16.8" customHeight="1">
      <c r="A127" s="1">
        <v>126</v>
      </c>
      <c r="B127" s="1" t="s">
        <v>42</v>
      </c>
      <c r="C127" s="1" t="s">
        <v>43</v>
      </c>
      <c r="D127" s="1" t="s">
        <v>561</v>
      </c>
      <c r="E127" s="1" t="s">
        <v>561</v>
      </c>
      <c r="F127" s="1" t="s">
        <v>562</v>
      </c>
      <c r="G127" s="1" t="s">
        <v>563</v>
      </c>
      <c r="H127" s="1" t="s">
        <v>4820</v>
      </c>
      <c r="I127" s="18">
        <v>45931</v>
      </c>
      <c r="J127" s="18">
        <v>45931</v>
      </c>
      <c r="K127" s="18" t="s">
        <v>4742</v>
      </c>
      <c r="L127" s="18" t="s">
        <v>4734</v>
      </c>
      <c r="M127" s="2">
        <v>3500000</v>
      </c>
      <c r="N127" s="2">
        <v>3500000</v>
      </c>
      <c r="O127" s="2"/>
      <c r="P127" s="2" t="str">
        <f t="shared" si="4"/>
        <v/>
      </c>
      <c r="Q127" s="2"/>
      <c r="R127" s="2"/>
      <c r="S127" s="48"/>
      <c r="T127" s="2">
        <v>10500000</v>
      </c>
      <c r="U127" s="2">
        <v>0</v>
      </c>
      <c r="V127" s="1" t="s">
        <v>563</v>
      </c>
      <c r="W127" s="6" t="s">
        <v>564</v>
      </c>
      <c r="X127" s="1" t="s">
        <v>106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3500000</v>
      </c>
      <c r="AI127" s="3">
        <v>3500000</v>
      </c>
      <c r="AJ127" s="3">
        <v>3500000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>
        <f t="shared" si="5"/>
        <v>10500000</v>
      </c>
      <c r="AX127" s="3">
        <f t="shared" si="6"/>
        <v>0</v>
      </c>
      <c r="AY127" s="4">
        <f t="shared" si="7"/>
        <v>3</v>
      </c>
      <c r="AZ127" s="8" t="s">
        <v>5663</v>
      </c>
      <c r="BA127" s="4" t="s">
        <v>5726</v>
      </c>
      <c r="BB127" s="2"/>
      <c r="BC127" s="3"/>
      <c r="BD127" s="4"/>
    </row>
    <row r="128" spans="1:56" ht="16.8" customHeight="1">
      <c r="A128" s="1">
        <v>127</v>
      </c>
      <c r="B128" s="1" t="s">
        <v>42</v>
      </c>
      <c r="C128" s="1" t="s">
        <v>43</v>
      </c>
      <c r="D128" s="1" t="s">
        <v>565</v>
      </c>
      <c r="E128" s="1" t="s">
        <v>565</v>
      </c>
      <c r="F128" s="1" t="s">
        <v>566</v>
      </c>
      <c r="G128" s="1" t="s">
        <v>567</v>
      </c>
      <c r="H128" s="1" t="s">
        <v>4821</v>
      </c>
      <c r="I128" s="18">
        <v>45931</v>
      </c>
      <c r="J128" s="18">
        <v>45931</v>
      </c>
      <c r="K128" s="18" t="s">
        <v>4737</v>
      </c>
      <c r="L128" s="18" t="s">
        <v>4734</v>
      </c>
      <c r="M128" s="2">
        <v>1500000</v>
      </c>
      <c r="N128" s="2">
        <v>1500000</v>
      </c>
      <c r="O128" s="2"/>
      <c r="P128" s="2" t="str">
        <f t="shared" si="4"/>
        <v/>
      </c>
      <c r="Q128" s="2"/>
      <c r="R128" s="2"/>
      <c r="S128" s="48"/>
      <c r="T128" s="2">
        <v>9000000</v>
      </c>
      <c r="U128" s="2">
        <v>0</v>
      </c>
      <c r="V128" s="1" t="s">
        <v>568</v>
      </c>
      <c r="W128" s="6" t="s">
        <v>569</v>
      </c>
      <c r="X128" s="1" t="s">
        <v>570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>
        <v>1500000</v>
      </c>
      <c r="AL128" s="3">
        <v>1500000</v>
      </c>
      <c r="AM128" s="3">
        <v>1500000</v>
      </c>
      <c r="AN128" s="3">
        <v>1500000</v>
      </c>
      <c r="AO128" s="3">
        <v>1500000</v>
      </c>
      <c r="AP128" s="3">
        <v>1500000</v>
      </c>
      <c r="AQ128" s="3"/>
      <c r="AR128" s="3"/>
      <c r="AS128" s="3"/>
      <c r="AT128" s="3"/>
      <c r="AU128" s="3"/>
      <c r="AV128" s="3"/>
      <c r="AW128" s="3">
        <f t="shared" si="5"/>
        <v>0</v>
      </c>
      <c r="AX128" s="3">
        <f t="shared" si="6"/>
        <v>9000000</v>
      </c>
      <c r="AY128" s="4">
        <f t="shared" si="7"/>
        <v>6</v>
      </c>
      <c r="AZ128" s="8" t="s">
        <v>5677</v>
      </c>
      <c r="BA128" s="4" t="s">
        <v>5715</v>
      </c>
      <c r="BB128" s="2"/>
      <c r="BC128" s="3"/>
      <c r="BD128" s="3"/>
    </row>
    <row r="129" spans="1:56" ht="16.8" customHeight="1">
      <c r="A129" s="1">
        <v>128</v>
      </c>
      <c r="B129" s="1" t="s">
        <v>42</v>
      </c>
      <c r="C129" s="1" t="s">
        <v>185</v>
      </c>
      <c r="D129" s="1" t="s">
        <v>571</v>
      </c>
      <c r="E129" s="1" t="s">
        <v>571</v>
      </c>
      <c r="F129" s="1" t="s">
        <v>572</v>
      </c>
      <c r="G129" s="1" t="s">
        <v>573</v>
      </c>
      <c r="H129" s="1" t="s">
        <v>4513</v>
      </c>
      <c r="I129" s="18">
        <v>45931</v>
      </c>
      <c r="J129" s="18">
        <v>45931</v>
      </c>
      <c r="K129" s="18" t="s">
        <v>4741</v>
      </c>
      <c r="L129" s="18" t="s">
        <v>4734</v>
      </c>
      <c r="M129" s="2">
        <v>4000000</v>
      </c>
      <c r="N129" s="2">
        <v>4000000</v>
      </c>
      <c r="O129" s="2"/>
      <c r="P129" s="2" t="str">
        <f t="shared" si="4"/>
        <v/>
      </c>
      <c r="Q129" s="2"/>
      <c r="R129" s="2"/>
      <c r="S129" s="48"/>
      <c r="T129" s="2">
        <v>0</v>
      </c>
      <c r="U129" s="2">
        <v>0</v>
      </c>
      <c r="V129" s="1" t="s">
        <v>573</v>
      </c>
      <c r="W129" s="6" t="s">
        <v>574</v>
      </c>
      <c r="X129" s="1" t="s">
        <v>575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>
        <v>4000000</v>
      </c>
      <c r="AL129" s="3">
        <v>4000000</v>
      </c>
      <c r="AM129" s="3">
        <v>4000000</v>
      </c>
      <c r="AN129" s="3">
        <v>4000000</v>
      </c>
      <c r="AO129" s="3">
        <v>4000000</v>
      </c>
      <c r="AP129" s="3">
        <v>4000000</v>
      </c>
      <c r="AQ129" s="3"/>
      <c r="AR129" s="3"/>
      <c r="AS129" s="3"/>
      <c r="AT129" s="3"/>
      <c r="AU129" s="3"/>
      <c r="AV129" s="3"/>
      <c r="AW129" s="3">
        <f t="shared" si="5"/>
        <v>0</v>
      </c>
      <c r="AX129" s="3">
        <f t="shared" si="6"/>
        <v>24000000</v>
      </c>
      <c r="AY129" s="4">
        <f t="shared" si="7"/>
        <v>6</v>
      </c>
      <c r="AZ129" s="8" t="s">
        <v>5486</v>
      </c>
      <c r="BA129" s="4" t="s">
        <v>5727</v>
      </c>
      <c r="BB129" s="2"/>
      <c r="BC129" s="3"/>
      <c r="BD129" s="3"/>
    </row>
    <row r="130" spans="1:56" ht="16.8" customHeight="1">
      <c r="A130" s="1">
        <v>129</v>
      </c>
      <c r="B130" s="1" t="s">
        <v>42</v>
      </c>
      <c r="C130" s="1" t="s">
        <v>47</v>
      </c>
      <c r="D130" s="1" t="s">
        <v>576</v>
      </c>
      <c r="E130" s="1" t="s">
        <v>576</v>
      </c>
      <c r="F130" s="1" t="s">
        <v>577</v>
      </c>
      <c r="G130" s="1" t="s">
        <v>578</v>
      </c>
      <c r="H130" s="1" t="s">
        <v>4822</v>
      </c>
      <c r="I130" s="18">
        <v>45931</v>
      </c>
      <c r="J130" s="18">
        <v>45931</v>
      </c>
      <c r="K130" s="18" t="s">
        <v>4737</v>
      </c>
      <c r="L130" s="18" t="s">
        <v>4734</v>
      </c>
      <c r="M130" s="2">
        <v>1500000</v>
      </c>
      <c r="N130" s="2">
        <v>1500000</v>
      </c>
      <c r="O130" s="2"/>
      <c r="P130" s="2" t="str">
        <f t="shared" ref="P130:P193" si="8">IF(OR(M130="",N130="",M130=N130),"",N130-M130)</f>
        <v/>
      </c>
      <c r="Q130" s="2"/>
      <c r="R130" s="2"/>
      <c r="S130" s="48"/>
      <c r="T130" s="2">
        <v>4500000</v>
      </c>
      <c r="U130" s="2">
        <v>0</v>
      </c>
      <c r="V130" s="1" t="s">
        <v>579</v>
      </c>
      <c r="W130" s="6" t="s">
        <v>580</v>
      </c>
      <c r="X130" s="1" t="s">
        <v>224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>
        <v>1500000</v>
      </c>
      <c r="AI130" s="3">
        <v>1500000</v>
      </c>
      <c r="AJ130" s="3">
        <v>1500000</v>
      </c>
      <c r="AK130" s="3">
        <v>1500000</v>
      </c>
      <c r="AL130" s="3">
        <v>1500000</v>
      </c>
      <c r="AM130" s="3">
        <v>1500000</v>
      </c>
      <c r="AN130" s="3">
        <v>1500000</v>
      </c>
      <c r="AO130" s="3">
        <v>1500000</v>
      </c>
      <c r="AP130" s="3">
        <v>1500000</v>
      </c>
      <c r="AQ130" s="3"/>
      <c r="AR130" s="3"/>
      <c r="AS130" s="3"/>
      <c r="AT130" s="3"/>
      <c r="AU130" s="3"/>
      <c r="AV130" s="3"/>
      <c r="AW130" s="3">
        <f t="shared" ref="AW130:AW193" si="9">SUM(Y130:AJ130)</f>
        <v>4500000</v>
      </c>
      <c r="AX130" s="3">
        <f t="shared" ref="AX130:AX193" si="10">SUM(AK130:AV130)</f>
        <v>9000000</v>
      </c>
      <c r="AY130" s="4">
        <f t="shared" ref="AY130:AY193" si="11">COUNT(Y130:AV130)</f>
        <v>9</v>
      </c>
      <c r="BA130" s="4" t="s">
        <v>5726</v>
      </c>
      <c r="BB130" s="2"/>
      <c r="BC130" s="3"/>
      <c r="BD130" s="3"/>
    </row>
    <row r="131" spans="1:56" ht="16.8" customHeight="1">
      <c r="A131" s="1">
        <v>130</v>
      </c>
      <c r="B131" s="1" t="s">
        <v>42</v>
      </c>
      <c r="C131" s="1" t="s">
        <v>47</v>
      </c>
      <c r="D131" s="1" t="s">
        <v>581</v>
      </c>
      <c r="E131" s="1" t="s">
        <v>581</v>
      </c>
      <c r="F131" s="1" t="s">
        <v>582</v>
      </c>
      <c r="G131" s="1" t="s">
        <v>583</v>
      </c>
      <c r="H131" s="1" t="s">
        <v>4823</v>
      </c>
      <c r="I131" s="18">
        <v>46752</v>
      </c>
      <c r="J131" s="18">
        <v>15</v>
      </c>
      <c r="K131" s="18">
        <v>1600000</v>
      </c>
      <c r="L131" s="18"/>
      <c r="M131" s="2">
        <v>1600000</v>
      </c>
      <c r="N131" s="2">
        <v>1600000</v>
      </c>
      <c r="O131" s="2"/>
      <c r="P131" s="2" t="str">
        <f t="shared" si="8"/>
        <v/>
      </c>
      <c r="Q131" s="2"/>
      <c r="R131" s="2"/>
      <c r="S131" s="48"/>
      <c r="T131" s="2">
        <v>4800000</v>
      </c>
      <c r="U131" s="2">
        <v>0</v>
      </c>
      <c r="V131" s="1" t="s">
        <v>583</v>
      </c>
      <c r="W131" s="6" t="s">
        <v>584</v>
      </c>
      <c r="X131" s="1" t="s">
        <v>170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>
        <v>1600000</v>
      </c>
      <c r="AI131" s="3">
        <v>1600000</v>
      </c>
      <c r="AJ131" s="3">
        <v>1600000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>
        <f t="shared" si="9"/>
        <v>4800000</v>
      </c>
      <c r="AX131" s="3">
        <f t="shared" si="10"/>
        <v>0</v>
      </c>
      <c r="AY131" s="4">
        <f t="shared" si="11"/>
        <v>3</v>
      </c>
      <c r="BA131" s="4" t="s">
        <v>5726</v>
      </c>
      <c r="BB131" s="2"/>
      <c r="BC131" s="3"/>
      <c r="BD131" s="4"/>
    </row>
    <row r="132" spans="1:56" ht="16.8" customHeight="1">
      <c r="A132" s="1">
        <v>131</v>
      </c>
      <c r="B132" s="1" t="s">
        <v>42</v>
      </c>
      <c r="C132" s="1" t="s">
        <v>43</v>
      </c>
      <c r="D132" s="1" t="s">
        <v>585</v>
      </c>
      <c r="E132" s="1" t="s">
        <v>585</v>
      </c>
      <c r="F132" s="1" t="s">
        <v>586</v>
      </c>
      <c r="G132" s="1" t="s">
        <v>587</v>
      </c>
      <c r="H132" s="1" t="s">
        <v>4824</v>
      </c>
      <c r="I132" s="18">
        <v>45931</v>
      </c>
      <c r="J132" s="18">
        <v>45931</v>
      </c>
      <c r="K132" s="18" t="s">
        <v>4768</v>
      </c>
      <c r="L132" s="18" t="s">
        <v>4734</v>
      </c>
      <c r="M132" s="2">
        <v>3500000</v>
      </c>
      <c r="N132" s="2">
        <v>3500000</v>
      </c>
      <c r="O132" s="2"/>
      <c r="P132" s="2" t="str">
        <f t="shared" si="8"/>
        <v/>
      </c>
      <c r="Q132" s="2"/>
      <c r="R132" s="2"/>
      <c r="S132" s="48"/>
      <c r="T132" s="2">
        <v>10500000</v>
      </c>
      <c r="U132" s="2">
        <v>0</v>
      </c>
      <c r="V132" s="1" t="s">
        <v>587</v>
      </c>
      <c r="W132" s="6" t="s">
        <v>588</v>
      </c>
      <c r="X132" s="1" t="s">
        <v>589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>
        <v>3500000</v>
      </c>
      <c r="AI132" s="3">
        <v>3500000</v>
      </c>
      <c r="AJ132" s="3">
        <v>3500000</v>
      </c>
      <c r="AK132" s="3">
        <v>3500000</v>
      </c>
      <c r="AL132" s="3">
        <v>3500000</v>
      </c>
      <c r="AM132" s="3">
        <v>3500000</v>
      </c>
      <c r="AN132" s="3">
        <v>3500000</v>
      </c>
      <c r="AO132" s="3">
        <v>3500000</v>
      </c>
      <c r="AP132" s="3">
        <v>3500000</v>
      </c>
      <c r="AQ132" s="3"/>
      <c r="AR132" s="3"/>
      <c r="AS132" s="3"/>
      <c r="AT132" s="3"/>
      <c r="AU132" s="3"/>
      <c r="AV132" s="3"/>
      <c r="AW132" s="3">
        <f t="shared" si="9"/>
        <v>10500000</v>
      </c>
      <c r="AX132" s="3">
        <f t="shared" si="10"/>
        <v>21000000</v>
      </c>
      <c r="AY132" s="4">
        <f t="shared" si="11"/>
        <v>9</v>
      </c>
      <c r="BA132" s="4" t="s">
        <v>5727</v>
      </c>
      <c r="BB132" s="2"/>
      <c r="BC132" s="3"/>
      <c r="BD132" s="3"/>
    </row>
    <row r="133" spans="1:56" ht="16.8" customHeight="1">
      <c r="A133" s="1">
        <v>132</v>
      </c>
      <c r="B133" s="1" t="s">
        <v>42</v>
      </c>
      <c r="C133" s="1" t="s">
        <v>43</v>
      </c>
      <c r="D133" s="1" t="s">
        <v>590</v>
      </c>
      <c r="E133" s="1" t="s">
        <v>590</v>
      </c>
      <c r="F133" s="1" t="s">
        <v>591</v>
      </c>
      <c r="G133" s="1" t="s">
        <v>592</v>
      </c>
      <c r="H133" s="1" t="s">
        <v>4825</v>
      </c>
      <c r="I133" s="18">
        <v>45945</v>
      </c>
      <c r="J133" s="18">
        <v>45931</v>
      </c>
      <c r="K133" s="18" t="s">
        <v>4742</v>
      </c>
      <c r="L133" s="18" t="s">
        <v>4734</v>
      </c>
      <c r="M133" s="2">
        <v>1200000</v>
      </c>
      <c r="N133" s="2">
        <v>1200000</v>
      </c>
      <c r="O133" s="2"/>
      <c r="P133" s="2" t="str">
        <f t="shared" si="8"/>
        <v/>
      </c>
      <c r="Q133" s="2"/>
      <c r="R133" s="2"/>
      <c r="S133" s="48"/>
      <c r="T133" s="2">
        <v>3600000</v>
      </c>
      <c r="U133" s="2">
        <v>0</v>
      </c>
      <c r="V133" s="1" t="s">
        <v>592</v>
      </c>
      <c r="W133" s="6" t="s">
        <v>593</v>
      </c>
      <c r="X133" s="1" t="s">
        <v>106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1200000</v>
      </c>
      <c r="AI133" s="3">
        <v>1200000</v>
      </c>
      <c r="AJ133" s="3">
        <v>1200000</v>
      </c>
      <c r="AK133" s="3">
        <v>1200000</v>
      </c>
      <c r="AL133" s="3">
        <v>1200000</v>
      </c>
      <c r="AM133" s="3">
        <v>1200000</v>
      </c>
      <c r="AN133" s="3">
        <v>1200000</v>
      </c>
      <c r="AO133" s="3">
        <v>1200000</v>
      </c>
      <c r="AP133" s="3">
        <v>1200000</v>
      </c>
      <c r="AQ133" s="3"/>
      <c r="AR133" s="3"/>
      <c r="AS133" s="3"/>
      <c r="AT133" s="3"/>
      <c r="AU133" s="3"/>
      <c r="AV133" s="3"/>
      <c r="AW133" s="3">
        <f t="shared" si="9"/>
        <v>3600000</v>
      </c>
      <c r="AX133" s="3">
        <f t="shared" si="10"/>
        <v>7200000</v>
      </c>
      <c r="AY133" s="4">
        <f t="shared" si="11"/>
        <v>9</v>
      </c>
      <c r="AZ133" s="8">
        <v>0</v>
      </c>
      <c r="BA133" s="4" t="s">
        <v>5715</v>
      </c>
      <c r="BB133" s="2"/>
      <c r="BC133" s="3"/>
      <c r="BD133" s="3"/>
    </row>
    <row r="134" spans="1:56" ht="16.8" customHeight="1">
      <c r="A134" s="1">
        <v>133</v>
      </c>
      <c r="B134" s="1" t="s">
        <v>42</v>
      </c>
      <c r="C134" s="1" t="s">
        <v>43</v>
      </c>
      <c r="D134" s="1" t="s">
        <v>594</v>
      </c>
      <c r="E134" s="1" t="s">
        <v>594</v>
      </c>
      <c r="F134" s="1" t="s">
        <v>595</v>
      </c>
      <c r="G134" s="1" t="s">
        <v>596</v>
      </c>
      <c r="H134" s="1" t="s">
        <v>4826</v>
      </c>
      <c r="I134" s="18">
        <v>46023</v>
      </c>
      <c r="J134" s="18">
        <v>46023</v>
      </c>
      <c r="K134" s="18" t="s">
        <v>4827</v>
      </c>
      <c r="L134" s="18" t="s">
        <v>4734</v>
      </c>
      <c r="M134" s="2">
        <v>300000</v>
      </c>
      <c r="N134" s="2">
        <v>1000000</v>
      </c>
      <c r="O134" s="2">
        <v>1000000</v>
      </c>
      <c r="P134" s="2">
        <f t="shared" si="8"/>
        <v>700000</v>
      </c>
      <c r="Q134" s="2"/>
      <c r="R134" s="2"/>
      <c r="S134" s="48"/>
      <c r="T134" s="2">
        <v>900000</v>
      </c>
      <c r="U134" s="2">
        <v>0</v>
      </c>
      <c r="V134" s="1" t="s">
        <v>596</v>
      </c>
      <c r="W134" s="6" t="s">
        <v>597</v>
      </c>
      <c r="X134" s="1" t="s">
        <v>598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>
        <v>300000</v>
      </c>
      <c r="AI134" s="3">
        <v>300000</v>
      </c>
      <c r="AJ134" s="3">
        <v>300000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>
        <f t="shared" si="9"/>
        <v>900000</v>
      </c>
      <c r="AX134" s="3">
        <f t="shared" si="10"/>
        <v>0</v>
      </c>
      <c r="AY134" s="4">
        <f t="shared" si="11"/>
        <v>3</v>
      </c>
      <c r="AZ134" s="8" t="s">
        <v>5500</v>
      </c>
      <c r="BA134" s="4" t="s">
        <v>5726</v>
      </c>
      <c r="BB134" s="2"/>
      <c r="BC134" s="3"/>
      <c r="BD134" s="4"/>
    </row>
    <row r="135" spans="1:56" ht="16.8" customHeight="1">
      <c r="A135" s="1">
        <v>134</v>
      </c>
      <c r="B135" s="1" t="s">
        <v>42</v>
      </c>
      <c r="C135" s="1" t="s">
        <v>47</v>
      </c>
      <c r="D135" s="1" t="s">
        <v>599</v>
      </c>
      <c r="E135" s="1" t="s">
        <v>599</v>
      </c>
      <c r="F135" s="1" t="s">
        <v>600</v>
      </c>
      <c r="G135" s="1" t="s">
        <v>601</v>
      </c>
      <c r="H135" s="1" t="s">
        <v>4514</v>
      </c>
      <c r="I135" s="18">
        <v>45931</v>
      </c>
      <c r="J135" s="18">
        <v>45931</v>
      </c>
      <c r="K135" s="18" t="s">
        <v>4742</v>
      </c>
      <c r="L135" s="18" t="s">
        <v>4734</v>
      </c>
      <c r="M135" s="2">
        <v>1800000</v>
      </c>
      <c r="N135" s="2">
        <v>1800000</v>
      </c>
      <c r="O135" s="2"/>
      <c r="P135" s="2" t="str">
        <f t="shared" si="8"/>
        <v/>
      </c>
      <c r="Q135" s="2"/>
      <c r="R135" s="2"/>
      <c r="S135" s="48"/>
      <c r="T135" s="2">
        <v>5400000</v>
      </c>
      <c r="U135" s="2">
        <v>0</v>
      </c>
      <c r="V135" s="1" t="s">
        <v>602</v>
      </c>
      <c r="W135" s="6" t="s">
        <v>603</v>
      </c>
      <c r="X135" s="1" t="s">
        <v>115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1800000</v>
      </c>
      <c r="AI135" s="3">
        <v>1800000</v>
      </c>
      <c r="AJ135" s="3">
        <v>1800000</v>
      </c>
      <c r="AK135" s="3">
        <v>1800000</v>
      </c>
      <c r="AL135" s="3">
        <v>1800000</v>
      </c>
      <c r="AM135" s="3">
        <v>1800000</v>
      </c>
      <c r="AN135" s="3">
        <v>1800000</v>
      </c>
      <c r="AO135" s="3">
        <v>1800000</v>
      </c>
      <c r="AP135" s="3">
        <v>1800000</v>
      </c>
      <c r="AQ135" s="3"/>
      <c r="AR135" s="3"/>
      <c r="AS135" s="3"/>
      <c r="AT135" s="3"/>
      <c r="AU135" s="3"/>
      <c r="AV135" s="3"/>
      <c r="AW135" s="3">
        <f t="shared" si="9"/>
        <v>5400000</v>
      </c>
      <c r="AX135" s="3">
        <f t="shared" si="10"/>
        <v>10800000</v>
      </c>
      <c r="AY135" s="4">
        <f t="shared" si="11"/>
        <v>9</v>
      </c>
      <c r="AZ135" s="8" t="s">
        <v>5501</v>
      </c>
      <c r="BA135" s="4" t="s">
        <v>5726</v>
      </c>
      <c r="BB135" s="2"/>
      <c r="BC135" s="3"/>
      <c r="BD135" s="3"/>
    </row>
    <row r="136" spans="1:56" ht="16.8" customHeight="1">
      <c r="A136" s="1">
        <v>135</v>
      </c>
      <c r="B136" s="1" t="s">
        <v>42</v>
      </c>
      <c r="C136" s="1" t="s">
        <v>47</v>
      </c>
      <c r="D136" s="1" t="s">
        <v>604</v>
      </c>
      <c r="E136" s="1" t="s">
        <v>604</v>
      </c>
      <c r="F136" s="1" t="s">
        <v>605</v>
      </c>
      <c r="G136" s="1" t="s">
        <v>606</v>
      </c>
      <c r="H136" s="1" t="s">
        <v>4828</v>
      </c>
      <c r="I136" s="18">
        <v>45931</v>
      </c>
      <c r="J136" s="18">
        <v>45931</v>
      </c>
      <c r="K136" s="18" t="s">
        <v>4737</v>
      </c>
      <c r="L136" s="18" t="s">
        <v>4734</v>
      </c>
      <c r="M136" s="2">
        <v>1500000</v>
      </c>
      <c r="N136" s="2">
        <v>1500000</v>
      </c>
      <c r="O136" s="2"/>
      <c r="P136" s="2" t="str">
        <f t="shared" si="8"/>
        <v/>
      </c>
      <c r="Q136" s="2"/>
      <c r="R136" s="2"/>
      <c r="S136" s="48"/>
      <c r="T136" s="2">
        <v>4500000</v>
      </c>
      <c r="U136" s="2">
        <v>0</v>
      </c>
      <c r="V136" s="1" t="s">
        <v>606</v>
      </c>
      <c r="W136" s="6" t="s">
        <v>607</v>
      </c>
      <c r="X136" s="1" t="s">
        <v>106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>
        <v>1500000</v>
      </c>
      <c r="AI136" s="3">
        <v>1500000</v>
      </c>
      <c r="AJ136" s="3">
        <v>1500000</v>
      </c>
      <c r="AK136" s="3">
        <v>1500000</v>
      </c>
      <c r="AL136" s="3">
        <v>1500000</v>
      </c>
      <c r="AM136" s="3">
        <v>1500000</v>
      </c>
      <c r="AN136" s="3">
        <v>1500000</v>
      </c>
      <c r="AO136" s="3">
        <v>1500000</v>
      </c>
      <c r="AP136" s="3">
        <v>1500000</v>
      </c>
      <c r="AQ136" s="3"/>
      <c r="AR136" s="3"/>
      <c r="AS136" s="3"/>
      <c r="AT136" s="3"/>
      <c r="AU136" s="3"/>
      <c r="AV136" s="3"/>
      <c r="AW136" s="3">
        <f t="shared" si="9"/>
        <v>4500000</v>
      </c>
      <c r="AX136" s="3">
        <f t="shared" si="10"/>
        <v>9000000</v>
      </c>
      <c r="AY136" s="4">
        <f t="shared" si="11"/>
        <v>9</v>
      </c>
      <c r="AZ136" s="8" t="s">
        <v>5502</v>
      </c>
      <c r="BA136" s="4" t="s">
        <v>5726</v>
      </c>
      <c r="BB136" s="2"/>
      <c r="BC136" s="3"/>
      <c r="BD136" s="3"/>
    </row>
    <row r="137" spans="1:56" ht="16.8" customHeight="1">
      <c r="A137" s="1">
        <v>136</v>
      </c>
      <c r="B137" s="1" t="s">
        <v>42</v>
      </c>
      <c r="C137" s="1" t="s">
        <v>47</v>
      </c>
      <c r="D137" s="1" t="s">
        <v>608</v>
      </c>
      <c r="E137" s="1" t="s">
        <v>608</v>
      </c>
      <c r="F137" s="1" t="s">
        <v>609</v>
      </c>
      <c r="G137" s="1" t="s">
        <v>610</v>
      </c>
      <c r="H137" s="1" t="s">
        <v>3052</v>
      </c>
      <c r="I137" s="18">
        <v>45931</v>
      </c>
      <c r="J137" s="18">
        <v>45931</v>
      </c>
      <c r="K137" s="18" t="s">
        <v>4742</v>
      </c>
      <c r="L137" s="18" t="s">
        <v>4734</v>
      </c>
      <c r="M137" s="2">
        <v>1700000</v>
      </c>
      <c r="N137" s="2">
        <v>1700000</v>
      </c>
      <c r="O137" s="2"/>
      <c r="P137" s="2" t="str">
        <f t="shared" si="8"/>
        <v/>
      </c>
      <c r="Q137" s="2"/>
      <c r="R137" s="2"/>
      <c r="S137" s="48"/>
      <c r="T137" s="2">
        <v>5100000</v>
      </c>
      <c r="U137" s="2">
        <v>0</v>
      </c>
      <c r="V137" s="1" t="s">
        <v>611</v>
      </c>
      <c r="W137" s="6" t="s">
        <v>612</v>
      </c>
      <c r="X137" s="1" t="s">
        <v>333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>
        <v>1700000</v>
      </c>
      <c r="AI137" s="3">
        <v>1700000</v>
      </c>
      <c r="AJ137" s="3">
        <v>1700000</v>
      </c>
      <c r="AK137" s="3">
        <v>1700000</v>
      </c>
      <c r="AL137" s="3">
        <v>1700000</v>
      </c>
      <c r="AM137" s="3">
        <v>1700000</v>
      </c>
      <c r="AN137" s="3">
        <v>1700000</v>
      </c>
      <c r="AO137" s="3">
        <v>1700000</v>
      </c>
      <c r="AP137" s="3">
        <v>1700000</v>
      </c>
      <c r="AQ137" s="3"/>
      <c r="AR137" s="3"/>
      <c r="AS137" s="3"/>
      <c r="AT137" s="3"/>
      <c r="AU137" s="3"/>
      <c r="AV137" s="3"/>
      <c r="AW137" s="3">
        <f t="shared" si="9"/>
        <v>5100000</v>
      </c>
      <c r="AX137" s="3">
        <f t="shared" si="10"/>
        <v>10200000</v>
      </c>
      <c r="AY137" s="4">
        <f t="shared" si="11"/>
        <v>9</v>
      </c>
      <c r="BA137" s="4" t="s">
        <v>5726</v>
      </c>
      <c r="BB137" s="2"/>
      <c r="BC137" s="3"/>
      <c r="BD137" s="3"/>
    </row>
    <row r="138" spans="1:56" ht="16.8" customHeight="1">
      <c r="A138" s="1">
        <v>137</v>
      </c>
      <c r="B138" s="1" t="s">
        <v>42</v>
      </c>
      <c r="C138" s="1" t="s">
        <v>47</v>
      </c>
      <c r="D138" s="1" t="s">
        <v>613</v>
      </c>
      <c r="E138" s="1" t="s">
        <v>613</v>
      </c>
      <c r="F138" s="1" t="s">
        <v>614</v>
      </c>
      <c r="G138" s="1" t="s">
        <v>312</v>
      </c>
      <c r="H138" s="1" t="s">
        <v>4829</v>
      </c>
      <c r="I138" s="18">
        <v>45931</v>
      </c>
      <c r="J138" s="18">
        <v>45931</v>
      </c>
      <c r="K138" s="18" t="s">
        <v>4830</v>
      </c>
      <c r="L138" s="18" t="s">
        <v>4734</v>
      </c>
      <c r="M138" s="2">
        <v>7200000</v>
      </c>
      <c r="N138" s="2">
        <v>7200000</v>
      </c>
      <c r="O138" s="2"/>
      <c r="P138" s="2" t="str">
        <f t="shared" si="8"/>
        <v/>
      </c>
      <c r="Q138" s="2"/>
      <c r="R138" s="2"/>
      <c r="S138" s="48"/>
      <c r="T138" s="2">
        <v>23760000</v>
      </c>
      <c r="U138" s="2">
        <v>0</v>
      </c>
      <c r="V138" s="1" t="s">
        <v>312</v>
      </c>
      <c r="W138" s="6" t="s">
        <v>313</v>
      </c>
      <c r="X138" s="1" t="s">
        <v>314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7200000</v>
      </c>
      <c r="AL138" s="3">
        <v>7200000</v>
      </c>
      <c r="AM138" s="3">
        <v>7200000</v>
      </c>
      <c r="AN138" s="3">
        <v>7200000</v>
      </c>
      <c r="AO138" s="3">
        <v>7200000</v>
      </c>
      <c r="AP138" s="3">
        <v>7200000</v>
      </c>
      <c r="AQ138" s="3"/>
      <c r="AR138" s="3"/>
      <c r="AS138" s="3"/>
      <c r="AT138" s="3"/>
      <c r="AU138" s="3"/>
      <c r="AV138" s="3"/>
      <c r="AW138" s="3">
        <f t="shared" si="9"/>
        <v>0</v>
      </c>
      <c r="AX138" s="3">
        <f t="shared" si="10"/>
        <v>43200000</v>
      </c>
      <c r="AY138" s="4">
        <f t="shared" si="11"/>
        <v>6</v>
      </c>
      <c r="AZ138" s="8" t="s">
        <v>5484</v>
      </c>
      <c r="BA138" s="4" t="s">
        <v>5727</v>
      </c>
      <c r="BB138" s="2"/>
      <c r="BC138" s="3"/>
      <c r="BD138" s="3"/>
    </row>
    <row r="139" spans="1:56" ht="16.8" customHeight="1">
      <c r="A139" s="1">
        <v>138</v>
      </c>
      <c r="B139" s="1" t="s">
        <v>42</v>
      </c>
      <c r="C139" s="1" t="s">
        <v>47</v>
      </c>
      <c r="D139" s="1" t="s">
        <v>615</v>
      </c>
      <c r="E139" s="1" t="s">
        <v>615</v>
      </c>
      <c r="F139" s="1" t="s">
        <v>616</v>
      </c>
      <c r="G139" s="1" t="s">
        <v>617</v>
      </c>
      <c r="H139" s="1" t="s">
        <v>4831</v>
      </c>
      <c r="I139" s="18">
        <v>46113</v>
      </c>
      <c r="J139" s="18">
        <v>10</v>
      </c>
      <c r="K139" s="18">
        <v>1700000</v>
      </c>
      <c r="L139" s="18"/>
      <c r="M139" s="2">
        <v>1700000</v>
      </c>
      <c r="N139" s="2">
        <v>1700000</v>
      </c>
      <c r="O139" s="2"/>
      <c r="P139" s="2" t="str">
        <f t="shared" si="8"/>
        <v/>
      </c>
      <c r="Q139" s="2"/>
      <c r="R139" s="2"/>
      <c r="S139" s="48"/>
      <c r="T139" s="2">
        <v>0</v>
      </c>
      <c r="U139" s="2">
        <v>5100000</v>
      </c>
      <c r="V139" s="1"/>
      <c r="W139" s="6"/>
      <c r="X139" s="1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>
        <f t="shared" si="9"/>
        <v>0</v>
      </c>
      <c r="AX139" s="3">
        <f t="shared" si="10"/>
        <v>0</v>
      </c>
      <c r="AY139" s="4">
        <f t="shared" si="11"/>
        <v>0</v>
      </c>
      <c r="BA139" s="4" t="s">
        <v>5726</v>
      </c>
      <c r="BB139" s="2"/>
      <c r="BC139" s="3"/>
      <c r="BD139" s="4"/>
    </row>
    <row r="140" spans="1:56" ht="16.8" customHeight="1">
      <c r="A140" s="1">
        <v>139</v>
      </c>
      <c r="B140" s="1" t="s">
        <v>42</v>
      </c>
      <c r="C140" s="1" t="s">
        <v>185</v>
      </c>
      <c r="D140" s="1" t="s">
        <v>618</v>
      </c>
      <c r="E140" s="1" t="s">
        <v>618</v>
      </c>
      <c r="F140" s="1" t="s">
        <v>619</v>
      </c>
      <c r="G140" s="1" t="s">
        <v>620</v>
      </c>
      <c r="H140" s="1" t="s">
        <v>4515</v>
      </c>
      <c r="I140" s="18">
        <v>45931</v>
      </c>
      <c r="J140" s="18">
        <v>45931</v>
      </c>
      <c r="K140" s="18" t="s">
        <v>4742</v>
      </c>
      <c r="L140" s="18" t="s">
        <v>4734</v>
      </c>
      <c r="M140" s="2">
        <v>2500000</v>
      </c>
      <c r="N140" s="2">
        <v>3000000</v>
      </c>
      <c r="O140" s="2">
        <v>3000000</v>
      </c>
      <c r="P140" s="2">
        <f t="shared" si="8"/>
        <v>500000</v>
      </c>
      <c r="Q140" s="2"/>
      <c r="R140" s="2"/>
      <c r="S140" s="48"/>
      <c r="T140" s="2">
        <v>7500000</v>
      </c>
      <c r="U140" s="2">
        <v>0</v>
      </c>
      <c r="V140" s="1" t="s">
        <v>621</v>
      </c>
      <c r="W140" s="6" t="s">
        <v>622</v>
      </c>
      <c r="X140" s="1" t="s">
        <v>70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>
        <v>2500000</v>
      </c>
      <c r="AI140" s="3">
        <v>2500000</v>
      </c>
      <c r="AJ140" s="3">
        <v>2500000</v>
      </c>
      <c r="AK140" s="3">
        <v>2500000</v>
      </c>
      <c r="AL140" s="3">
        <v>2500000</v>
      </c>
      <c r="AM140" s="3">
        <v>2500000</v>
      </c>
      <c r="AN140" s="3">
        <v>2500000</v>
      </c>
      <c r="AO140" s="3">
        <v>2500000</v>
      </c>
      <c r="AP140" s="3">
        <v>2500000</v>
      </c>
      <c r="AQ140" s="3"/>
      <c r="AR140" s="3"/>
      <c r="AS140" s="3"/>
      <c r="AT140" s="3"/>
      <c r="AU140" s="3"/>
      <c r="AV140" s="3"/>
      <c r="AW140" s="3">
        <f t="shared" si="9"/>
        <v>7500000</v>
      </c>
      <c r="AX140" s="3">
        <f t="shared" si="10"/>
        <v>15000000</v>
      </c>
      <c r="AY140" s="4">
        <f t="shared" si="11"/>
        <v>9</v>
      </c>
      <c r="AZ140" s="8" t="s">
        <v>5503</v>
      </c>
      <c r="BA140" s="4" t="s">
        <v>5726</v>
      </c>
      <c r="BB140" s="2"/>
      <c r="BC140" s="3"/>
      <c r="BD140" s="3"/>
    </row>
    <row r="141" spans="1:56" ht="16.8" customHeight="1">
      <c r="A141" s="1">
        <v>140</v>
      </c>
      <c r="B141" s="1" t="s">
        <v>42</v>
      </c>
      <c r="C141" s="1" t="s">
        <v>43</v>
      </c>
      <c r="D141" s="1" t="s">
        <v>623</v>
      </c>
      <c r="E141" s="1" t="s">
        <v>623</v>
      </c>
      <c r="F141" s="1" t="s">
        <v>624</v>
      </c>
      <c r="G141" s="1" t="s">
        <v>625</v>
      </c>
      <c r="H141" s="1" t="s">
        <v>4832</v>
      </c>
      <c r="I141" s="18">
        <v>46113</v>
      </c>
      <c r="J141" s="18">
        <v>3</v>
      </c>
      <c r="K141" s="18">
        <v>300000</v>
      </c>
      <c r="L141" s="18"/>
      <c r="M141" s="2">
        <v>300000</v>
      </c>
      <c r="N141" s="2">
        <v>300000</v>
      </c>
      <c r="O141" s="2"/>
      <c r="P141" s="2" t="str">
        <f t="shared" si="8"/>
        <v/>
      </c>
      <c r="Q141" s="2"/>
      <c r="R141" s="2"/>
      <c r="S141" s="48"/>
      <c r="T141" s="2">
        <v>0</v>
      </c>
      <c r="U141" s="2">
        <v>1800000</v>
      </c>
      <c r="V141" s="1"/>
      <c r="W141" s="6"/>
      <c r="X141" s="1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>
        <f t="shared" si="9"/>
        <v>0</v>
      </c>
      <c r="AX141" s="3">
        <f t="shared" si="10"/>
        <v>0</v>
      </c>
      <c r="AY141" s="4">
        <f t="shared" si="11"/>
        <v>0</v>
      </c>
      <c r="BA141" s="4" t="s">
        <v>5726</v>
      </c>
      <c r="BB141" s="2"/>
      <c r="BC141" s="3"/>
      <c r="BD141" s="4"/>
    </row>
    <row r="142" spans="1:56" ht="16.8" customHeight="1">
      <c r="A142" s="1">
        <v>141</v>
      </c>
      <c r="B142" s="1" t="s">
        <v>42</v>
      </c>
      <c r="C142" s="1" t="s">
        <v>185</v>
      </c>
      <c r="D142" s="1" t="s">
        <v>626</v>
      </c>
      <c r="E142" s="1" t="s">
        <v>626</v>
      </c>
      <c r="F142" s="1" t="s">
        <v>627</v>
      </c>
      <c r="G142" s="1" t="s">
        <v>628</v>
      </c>
      <c r="H142" s="1" t="s">
        <v>4833</v>
      </c>
      <c r="I142" s="18">
        <v>48580</v>
      </c>
      <c r="J142" s="18">
        <v>10</v>
      </c>
      <c r="K142" s="18">
        <v>1500000</v>
      </c>
      <c r="L142" s="18"/>
      <c r="M142" s="2">
        <v>1500000</v>
      </c>
      <c r="N142" s="2">
        <v>1500000</v>
      </c>
      <c r="O142" s="2"/>
      <c r="P142" s="2" t="str">
        <f t="shared" si="8"/>
        <v/>
      </c>
      <c r="Q142" s="2"/>
      <c r="R142" s="2"/>
      <c r="S142" s="48"/>
      <c r="T142" s="2">
        <v>4500000</v>
      </c>
      <c r="U142" s="2">
        <v>0</v>
      </c>
      <c r="V142" s="1" t="s">
        <v>628</v>
      </c>
      <c r="W142" s="6" t="s">
        <v>629</v>
      </c>
      <c r="X142" s="1" t="s">
        <v>137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>
        <v>1500000</v>
      </c>
      <c r="AI142" s="3">
        <v>1500000</v>
      </c>
      <c r="AJ142" s="3">
        <v>1500000</v>
      </c>
      <c r="AK142" s="3">
        <v>1500000</v>
      </c>
      <c r="AL142" s="3">
        <v>1500000</v>
      </c>
      <c r="AM142" s="3">
        <v>1500000</v>
      </c>
      <c r="AN142" s="3">
        <v>1500000</v>
      </c>
      <c r="AO142" s="3">
        <v>1500000</v>
      </c>
      <c r="AP142" s="3">
        <v>1500000</v>
      </c>
      <c r="AQ142" s="3"/>
      <c r="AR142" s="3"/>
      <c r="AS142" s="3"/>
      <c r="AT142" s="3"/>
      <c r="AU142" s="3"/>
      <c r="AV142" s="3"/>
      <c r="AW142" s="3">
        <f t="shared" si="9"/>
        <v>4500000</v>
      </c>
      <c r="AX142" s="3">
        <f t="shared" si="10"/>
        <v>9000000</v>
      </c>
      <c r="AY142" s="4">
        <f t="shared" si="11"/>
        <v>9</v>
      </c>
      <c r="BA142" s="4" t="s">
        <v>5715</v>
      </c>
      <c r="BB142" s="2"/>
      <c r="BC142" s="3"/>
      <c r="BD142" s="3"/>
    </row>
    <row r="143" spans="1:56" ht="16.8" customHeight="1">
      <c r="A143" s="1">
        <v>142</v>
      </c>
      <c r="B143" s="1" t="s">
        <v>42</v>
      </c>
      <c r="C143" s="1" t="s">
        <v>185</v>
      </c>
      <c r="D143" s="1" t="s">
        <v>630</v>
      </c>
      <c r="E143" s="1" t="s">
        <v>630</v>
      </c>
      <c r="F143" s="1" t="s">
        <v>631</v>
      </c>
      <c r="G143" s="1" t="s">
        <v>632</v>
      </c>
      <c r="H143" s="1" t="s">
        <v>4516</v>
      </c>
      <c r="I143" s="18">
        <v>45931</v>
      </c>
      <c r="J143" s="18">
        <v>45931</v>
      </c>
      <c r="K143" s="18" t="s">
        <v>4742</v>
      </c>
      <c r="L143" s="18" t="s">
        <v>4734</v>
      </c>
      <c r="M143" s="2">
        <v>1500000</v>
      </c>
      <c r="N143" s="2">
        <v>1500000</v>
      </c>
      <c r="O143" s="2"/>
      <c r="P143" s="2" t="str">
        <f t="shared" si="8"/>
        <v/>
      </c>
      <c r="Q143" s="2"/>
      <c r="R143" s="2"/>
      <c r="S143" s="48"/>
      <c r="T143" s="2">
        <v>4500000</v>
      </c>
      <c r="U143" s="2">
        <v>0</v>
      </c>
      <c r="V143" s="1" t="s">
        <v>633</v>
      </c>
      <c r="W143" s="6" t="s">
        <v>634</v>
      </c>
      <c r="X143" s="1" t="s">
        <v>635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>
        <v>1500000</v>
      </c>
      <c r="AI143" s="3">
        <v>1500000</v>
      </c>
      <c r="AJ143" s="3">
        <v>1500000</v>
      </c>
      <c r="AK143" s="3">
        <v>1500000</v>
      </c>
      <c r="AL143" s="3">
        <v>1500000</v>
      </c>
      <c r="AM143" s="3">
        <v>1500000</v>
      </c>
      <c r="AN143" s="3">
        <v>1500000</v>
      </c>
      <c r="AO143" s="3">
        <v>1500000</v>
      </c>
      <c r="AP143" s="3">
        <v>1500000</v>
      </c>
      <c r="AQ143" s="3"/>
      <c r="AR143" s="3"/>
      <c r="AS143" s="3"/>
      <c r="AT143" s="3"/>
      <c r="AU143" s="3"/>
      <c r="AV143" s="3"/>
      <c r="AW143" s="3">
        <f t="shared" si="9"/>
        <v>4500000</v>
      </c>
      <c r="AX143" s="3">
        <f t="shared" si="10"/>
        <v>9000000</v>
      </c>
      <c r="AY143" s="4">
        <f t="shared" si="11"/>
        <v>9</v>
      </c>
      <c r="AZ143" s="8" t="s">
        <v>5495</v>
      </c>
      <c r="BA143" s="4" t="s">
        <v>5715</v>
      </c>
      <c r="BB143" s="2"/>
      <c r="BC143" s="3"/>
      <c r="BD143" s="3"/>
    </row>
    <row r="144" spans="1:56" s="45" customFormat="1" ht="16.8" customHeight="1">
      <c r="A144" s="16">
        <v>143</v>
      </c>
      <c r="B144" s="16" t="s">
        <v>42</v>
      </c>
      <c r="C144" s="1" t="s">
        <v>185</v>
      </c>
      <c r="D144" s="16" t="s">
        <v>636</v>
      </c>
      <c r="E144" s="16" t="s">
        <v>636</v>
      </c>
      <c r="F144" s="16" t="s">
        <v>637</v>
      </c>
      <c r="G144" s="16" t="s">
        <v>638</v>
      </c>
      <c r="H144" s="16" t="s">
        <v>4834</v>
      </c>
      <c r="I144" s="40">
        <v>45962</v>
      </c>
      <c r="J144" s="40">
        <v>45962</v>
      </c>
      <c r="K144" s="40" t="s">
        <v>4835</v>
      </c>
      <c r="L144" s="40" t="s">
        <v>4734</v>
      </c>
      <c r="M144" s="41">
        <v>2500000</v>
      </c>
      <c r="N144" s="41">
        <v>2500000</v>
      </c>
      <c r="O144" s="41"/>
      <c r="P144" s="41" t="str">
        <f t="shared" si="8"/>
        <v/>
      </c>
      <c r="Q144" s="2"/>
      <c r="R144" s="2"/>
      <c r="S144" s="48"/>
      <c r="T144" s="41">
        <v>0</v>
      </c>
      <c r="U144" s="41">
        <v>0</v>
      </c>
      <c r="V144" s="16"/>
      <c r="W144" s="42"/>
      <c r="X144" s="16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>
        <v>2500000</v>
      </c>
      <c r="AL144" s="43">
        <v>2500000</v>
      </c>
      <c r="AM144" s="43">
        <v>2500000</v>
      </c>
      <c r="AN144" s="43">
        <v>2500000</v>
      </c>
      <c r="AO144" s="43">
        <v>2500000</v>
      </c>
      <c r="AP144" s="43">
        <v>2500000</v>
      </c>
      <c r="AQ144" s="43"/>
      <c r="AR144" s="43"/>
      <c r="AS144" s="43"/>
      <c r="AT144" s="43"/>
      <c r="AU144" s="43"/>
      <c r="AV144" s="43"/>
      <c r="AW144" s="43">
        <f t="shared" si="9"/>
        <v>0</v>
      </c>
      <c r="AX144" s="43">
        <f t="shared" si="10"/>
        <v>15000000</v>
      </c>
      <c r="AY144" s="44">
        <f t="shared" si="11"/>
        <v>6</v>
      </c>
      <c r="AZ144" s="45" t="s">
        <v>5504</v>
      </c>
      <c r="BA144" s="4" t="s">
        <v>5715</v>
      </c>
      <c r="BB144" s="41"/>
      <c r="BC144" s="43"/>
      <c r="BD144" s="43"/>
    </row>
    <row r="145" spans="1:56" s="45" customFormat="1" ht="16.8" customHeight="1">
      <c r="A145" s="16">
        <v>144</v>
      </c>
      <c r="B145" s="16" t="s">
        <v>42</v>
      </c>
      <c r="C145" s="1" t="s">
        <v>185</v>
      </c>
      <c r="D145" s="16" t="s">
        <v>639</v>
      </c>
      <c r="E145" s="16" t="s">
        <v>639</v>
      </c>
      <c r="F145" s="16" t="s">
        <v>640</v>
      </c>
      <c r="G145" s="16" t="s">
        <v>641</v>
      </c>
      <c r="H145" s="16" t="s">
        <v>4517</v>
      </c>
      <c r="I145" s="40">
        <v>45931</v>
      </c>
      <c r="J145" s="40">
        <v>45931</v>
      </c>
      <c r="K145" s="40" t="s">
        <v>4836</v>
      </c>
      <c r="L145" s="40" t="s">
        <v>4734</v>
      </c>
      <c r="M145" s="41">
        <v>1200000</v>
      </c>
      <c r="N145" s="41">
        <v>1200000</v>
      </c>
      <c r="O145" s="41"/>
      <c r="P145" s="41" t="str">
        <f t="shared" si="8"/>
        <v/>
      </c>
      <c r="Q145" s="2"/>
      <c r="R145" s="2"/>
      <c r="S145" s="48"/>
      <c r="T145" s="41">
        <v>1200000</v>
      </c>
      <c r="U145" s="41">
        <v>2400000</v>
      </c>
      <c r="V145" s="16" t="s">
        <v>633</v>
      </c>
      <c r="W145" s="42" t="s">
        <v>634</v>
      </c>
      <c r="X145" s="16" t="s">
        <v>635</v>
      </c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>
        <v>1200000</v>
      </c>
      <c r="AL145" s="43">
        <v>1200000</v>
      </c>
      <c r="AM145" s="43">
        <v>1200000</v>
      </c>
      <c r="AN145" s="43">
        <v>1200000</v>
      </c>
      <c r="AO145" s="43">
        <v>1200000</v>
      </c>
      <c r="AP145" s="43">
        <v>1200000</v>
      </c>
      <c r="AQ145" s="43"/>
      <c r="AR145" s="43"/>
      <c r="AS145" s="43"/>
      <c r="AT145" s="43"/>
      <c r="AU145" s="43"/>
      <c r="AV145" s="43"/>
      <c r="AW145" s="43">
        <f t="shared" si="9"/>
        <v>0</v>
      </c>
      <c r="AX145" s="43">
        <f t="shared" si="10"/>
        <v>7200000</v>
      </c>
      <c r="AY145" s="44">
        <f t="shared" si="11"/>
        <v>6</v>
      </c>
      <c r="BA145" s="4" t="s">
        <v>5730</v>
      </c>
      <c r="BB145" s="41"/>
      <c r="BC145" s="43"/>
      <c r="BD145" s="43"/>
    </row>
    <row r="146" spans="1:56" ht="16.8" customHeight="1">
      <c r="A146" s="1">
        <v>145</v>
      </c>
      <c r="B146" s="1" t="s">
        <v>42</v>
      </c>
      <c r="C146" s="1" t="s">
        <v>47</v>
      </c>
      <c r="D146" s="1" t="s">
        <v>642</v>
      </c>
      <c r="E146" s="1" t="s">
        <v>642</v>
      </c>
      <c r="F146" s="1" t="s">
        <v>643</v>
      </c>
      <c r="G146" s="1" t="s">
        <v>644</v>
      </c>
      <c r="H146" s="1" t="s">
        <v>4837</v>
      </c>
      <c r="I146" s="18">
        <v>45931</v>
      </c>
      <c r="J146" s="18">
        <v>45931</v>
      </c>
      <c r="K146" s="18" t="s">
        <v>4795</v>
      </c>
      <c r="L146" s="18" t="s">
        <v>4734</v>
      </c>
      <c r="M146" s="2">
        <v>1200000</v>
      </c>
      <c r="N146" s="2">
        <v>1200000</v>
      </c>
      <c r="O146" s="2"/>
      <c r="P146" s="2" t="str">
        <f t="shared" si="8"/>
        <v/>
      </c>
      <c r="Q146" s="2">
        <v>2500000</v>
      </c>
      <c r="R146" s="2"/>
      <c r="S146" s="48"/>
      <c r="T146" s="2">
        <v>3600000</v>
      </c>
      <c r="U146" s="2">
        <v>0</v>
      </c>
      <c r="V146" s="1" t="s">
        <v>328</v>
      </c>
      <c r="W146" s="6" t="s">
        <v>329</v>
      </c>
      <c r="X146" s="1" t="s">
        <v>89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>
        <v>1200000</v>
      </c>
      <c r="AI146" s="3">
        <v>1200000</v>
      </c>
      <c r="AJ146" s="3">
        <v>1200000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>
        <f t="shared" si="9"/>
        <v>3600000</v>
      </c>
      <c r="AX146" s="3">
        <f t="shared" si="10"/>
        <v>0</v>
      </c>
      <c r="AY146" s="4">
        <f t="shared" si="11"/>
        <v>3</v>
      </c>
      <c r="AZ146" s="8" t="s">
        <v>5664</v>
      </c>
      <c r="BA146" s="4" t="s">
        <v>5726</v>
      </c>
      <c r="BB146" s="2"/>
      <c r="BC146" s="3"/>
      <c r="BD146" s="4"/>
    </row>
    <row r="147" spans="1:56" s="33" customFormat="1" ht="16.8" customHeight="1">
      <c r="A147" s="29">
        <v>146</v>
      </c>
      <c r="B147" s="29" t="s">
        <v>42</v>
      </c>
      <c r="C147" s="29" t="s">
        <v>43</v>
      </c>
      <c r="D147" s="29" t="s">
        <v>645</v>
      </c>
      <c r="E147" s="29" t="s">
        <v>645</v>
      </c>
      <c r="F147" s="1" t="s">
        <v>646</v>
      </c>
      <c r="G147" s="1" t="s">
        <v>647</v>
      </c>
      <c r="H147" s="1" t="s">
        <v>4518</v>
      </c>
      <c r="I147" s="18">
        <v>45931</v>
      </c>
      <c r="J147" s="18">
        <v>45931</v>
      </c>
      <c r="K147" s="18" t="s">
        <v>4737</v>
      </c>
      <c r="L147" s="18" t="s">
        <v>4734</v>
      </c>
      <c r="M147" s="30">
        <v>300000</v>
      </c>
      <c r="N147" s="30">
        <v>1000000</v>
      </c>
      <c r="O147" s="30">
        <v>1000000</v>
      </c>
      <c r="P147" s="2">
        <f t="shared" si="8"/>
        <v>700000</v>
      </c>
      <c r="Q147" s="2"/>
      <c r="R147" s="2"/>
      <c r="S147" s="48"/>
      <c r="T147" s="2">
        <v>3600000</v>
      </c>
      <c r="U147" s="2">
        <v>0</v>
      </c>
      <c r="V147" s="1" t="s">
        <v>647</v>
      </c>
      <c r="W147" s="6" t="s">
        <v>648</v>
      </c>
      <c r="X147" s="1" t="s">
        <v>106</v>
      </c>
      <c r="Y147" s="3">
        <v>300000</v>
      </c>
      <c r="Z147" s="3">
        <v>300000</v>
      </c>
      <c r="AA147" s="3">
        <v>300000</v>
      </c>
      <c r="AB147" s="3">
        <v>300000</v>
      </c>
      <c r="AC147" s="3">
        <v>300000</v>
      </c>
      <c r="AD147" s="3">
        <v>300000</v>
      </c>
      <c r="AE147" s="3">
        <v>300000</v>
      </c>
      <c r="AF147" s="3">
        <v>300000</v>
      </c>
      <c r="AG147" s="3">
        <v>300000</v>
      </c>
      <c r="AH147" s="3">
        <v>300000</v>
      </c>
      <c r="AI147" s="3">
        <v>300000</v>
      </c>
      <c r="AJ147" s="3">
        <v>300000</v>
      </c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>
        <f t="shared" si="9"/>
        <v>3600000</v>
      </c>
      <c r="AX147" s="31">
        <f t="shared" si="10"/>
        <v>0</v>
      </c>
      <c r="AY147" s="32">
        <f t="shared" si="11"/>
        <v>12</v>
      </c>
      <c r="BA147" s="4" t="s">
        <v>5726</v>
      </c>
      <c r="BB147" s="30"/>
      <c r="BC147" s="3"/>
      <c r="BD147" s="32"/>
    </row>
    <row r="148" spans="1:56" ht="16.8" customHeight="1">
      <c r="A148" s="1">
        <v>147</v>
      </c>
      <c r="B148" s="1" t="s">
        <v>42</v>
      </c>
      <c r="C148" s="1" t="s">
        <v>185</v>
      </c>
      <c r="D148" s="1" t="s">
        <v>649</v>
      </c>
      <c r="E148" s="1" t="s">
        <v>649</v>
      </c>
      <c r="F148" s="1" t="s">
        <v>650</v>
      </c>
      <c r="G148" s="1" t="s">
        <v>651</v>
      </c>
      <c r="H148" s="1" t="s">
        <v>4838</v>
      </c>
      <c r="I148" s="18">
        <v>45662</v>
      </c>
      <c r="J148" s="18">
        <v>12</v>
      </c>
      <c r="K148" s="18">
        <v>2500000</v>
      </c>
      <c r="L148" s="18"/>
      <c r="M148" s="2">
        <v>2500000</v>
      </c>
      <c r="N148" s="2">
        <v>2500000</v>
      </c>
      <c r="O148" s="2"/>
      <c r="P148" s="2" t="str">
        <f t="shared" si="8"/>
        <v/>
      </c>
      <c r="Q148" s="2"/>
      <c r="R148" s="2"/>
      <c r="S148" s="48"/>
      <c r="T148" s="2">
        <v>7500000</v>
      </c>
      <c r="U148" s="2">
        <v>0</v>
      </c>
      <c r="V148" s="1" t="s">
        <v>652</v>
      </c>
      <c r="W148" s="6" t="s">
        <v>653</v>
      </c>
      <c r="X148" s="1" t="s">
        <v>89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>
        <v>2500000</v>
      </c>
      <c r="AI148" s="3">
        <v>2500000</v>
      </c>
      <c r="AJ148" s="3">
        <v>2500000</v>
      </c>
      <c r="AK148" s="3">
        <v>2500000</v>
      </c>
      <c r="AL148" s="3">
        <v>2500000</v>
      </c>
      <c r="AM148" s="3">
        <v>2500000</v>
      </c>
      <c r="AN148" s="3">
        <v>2500000</v>
      </c>
      <c r="AO148" s="3">
        <v>2500000</v>
      </c>
      <c r="AP148" s="3">
        <v>2500000</v>
      </c>
      <c r="AQ148" s="3"/>
      <c r="AR148" s="3"/>
      <c r="AS148" s="3"/>
      <c r="AT148" s="3"/>
      <c r="AU148" s="3"/>
      <c r="AV148" s="3"/>
      <c r="AW148" s="3">
        <f t="shared" si="9"/>
        <v>7500000</v>
      </c>
      <c r="AX148" s="3">
        <f t="shared" si="10"/>
        <v>15000000</v>
      </c>
      <c r="AY148" s="4">
        <f t="shared" si="11"/>
        <v>9</v>
      </c>
      <c r="BA148" s="4" t="s">
        <v>5715</v>
      </c>
      <c r="BB148" s="2"/>
      <c r="BC148" s="3"/>
      <c r="BD148" s="3"/>
    </row>
    <row r="149" spans="1:56" ht="16.8" customHeight="1">
      <c r="A149" s="1">
        <v>148</v>
      </c>
      <c r="B149" s="1" t="s">
        <v>42</v>
      </c>
      <c r="C149" s="1" t="s">
        <v>47</v>
      </c>
      <c r="D149" s="1" t="s">
        <v>654</v>
      </c>
      <c r="E149" s="1" t="s">
        <v>654</v>
      </c>
      <c r="F149" s="1" t="s">
        <v>655</v>
      </c>
      <c r="G149" s="1" t="s">
        <v>656</v>
      </c>
      <c r="H149" s="1" t="s">
        <v>4839</v>
      </c>
      <c r="I149" s="18">
        <v>45931</v>
      </c>
      <c r="J149" s="18">
        <v>45931</v>
      </c>
      <c r="K149" s="18" t="s">
        <v>4742</v>
      </c>
      <c r="L149" s="18" t="s">
        <v>4734</v>
      </c>
      <c r="M149" s="2">
        <v>1600000</v>
      </c>
      <c r="N149" s="2">
        <v>1600000</v>
      </c>
      <c r="O149" s="2"/>
      <c r="P149" s="2" t="str">
        <f t="shared" si="8"/>
        <v/>
      </c>
      <c r="Q149" s="2"/>
      <c r="R149" s="2"/>
      <c r="S149" s="48"/>
      <c r="T149" s="2">
        <v>4800000</v>
      </c>
      <c r="U149" s="2">
        <v>0</v>
      </c>
      <c r="V149" s="1" t="s">
        <v>583</v>
      </c>
      <c r="W149" s="6" t="s">
        <v>584</v>
      </c>
      <c r="X149" s="1" t="s">
        <v>170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>
        <v>1600000</v>
      </c>
      <c r="AI149" s="3">
        <v>1600000</v>
      </c>
      <c r="AJ149" s="3">
        <v>1600000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>
        <f t="shared" si="9"/>
        <v>4800000</v>
      </c>
      <c r="AX149" s="3">
        <f t="shared" si="10"/>
        <v>0</v>
      </c>
      <c r="AY149" s="4">
        <f t="shared" si="11"/>
        <v>3</v>
      </c>
      <c r="AZ149" s="8" t="s">
        <v>5505</v>
      </c>
      <c r="BA149" s="4" t="s">
        <v>5726</v>
      </c>
      <c r="BB149" s="2"/>
      <c r="BC149" s="3"/>
      <c r="BD149" s="4"/>
    </row>
    <row r="150" spans="1:56" ht="16.8" customHeight="1">
      <c r="A150" s="1">
        <v>149</v>
      </c>
      <c r="B150" s="1" t="s">
        <v>42</v>
      </c>
      <c r="C150" s="1" t="s">
        <v>43</v>
      </c>
      <c r="D150" s="1" t="s">
        <v>657</v>
      </c>
      <c r="E150" s="1" t="s">
        <v>657</v>
      </c>
      <c r="F150" s="1" t="s">
        <v>658</v>
      </c>
      <c r="G150" s="1" t="s">
        <v>659</v>
      </c>
      <c r="H150" s="1" t="s">
        <v>4519</v>
      </c>
      <c r="I150" s="18">
        <v>45931</v>
      </c>
      <c r="J150" s="18">
        <v>45931</v>
      </c>
      <c r="K150" s="18" t="s">
        <v>4737</v>
      </c>
      <c r="L150" s="18" t="s">
        <v>4734</v>
      </c>
      <c r="M150" s="2">
        <v>500000</v>
      </c>
      <c r="N150" s="2">
        <v>500000</v>
      </c>
      <c r="O150" s="2"/>
      <c r="P150" s="2" t="str">
        <f t="shared" si="8"/>
        <v/>
      </c>
      <c r="Q150" s="2"/>
      <c r="R150" s="2"/>
      <c r="S150" s="48"/>
      <c r="T150" s="2">
        <v>6000000</v>
      </c>
      <c r="U150" s="2">
        <v>0</v>
      </c>
      <c r="V150" s="1" t="s">
        <v>87</v>
      </c>
      <c r="W150" s="6" t="s">
        <v>88</v>
      </c>
      <c r="X150" s="1" t="s">
        <v>89</v>
      </c>
      <c r="Y150" s="3">
        <v>500000</v>
      </c>
      <c r="Z150" s="3">
        <v>500000</v>
      </c>
      <c r="AA150" s="3">
        <v>500000</v>
      </c>
      <c r="AB150" s="3">
        <v>500000</v>
      </c>
      <c r="AC150" s="3">
        <v>500000</v>
      </c>
      <c r="AD150" s="3">
        <v>500000</v>
      </c>
      <c r="AE150" s="3">
        <v>500000</v>
      </c>
      <c r="AF150" s="3">
        <v>500000</v>
      </c>
      <c r="AG150" s="3">
        <v>500000</v>
      </c>
      <c r="AH150" s="3">
        <v>500000</v>
      </c>
      <c r="AI150" s="3">
        <v>500000</v>
      </c>
      <c r="AJ150" s="3">
        <v>500000</v>
      </c>
      <c r="AK150" s="3">
        <v>500000</v>
      </c>
      <c r="AL150" s="3">
        <v>500000</v>
      </c>
      <c r="AM150" s="3">
        <v>500000</v>
      </c>
      <c r="AN150" s="3">
        <v>500000</v>
      </c>
      <c r="AO150" s="3">
        <v>500000</v>
      </c>
      <c r="AP150" s="3">
        <v>500000</v>
      </c>
      <c r="AQ150" s="3"/>
      <c r="AR150" s="3"/>
      <c r="AS150" s="3"/>
      <c r="AT150" s="3"/>
      <c r="AU150" s="3"/>
      <c r="AV150" s="3"/>
      <c r="AW150" s="3">
        <f t="shared" si="9"/>
        <v>6000000</v>
      </c>
      <c r="AX150" s="3">
        <f t="shared" si="10"/>
        <v>3000000</v>
      </c>
      <c r="AY150" s="4">
        <f t="shared" si="11"/>
        <v>18</v>
      </c>
      <c r="AZ150" s="8" t="s">
        <v>5678</v>
      </c>
      <c r="BA150" s="4" t="s">
        <v>5715</v>
      </c>
      <c r="BB150" s="2"/>
      <c r="BC150" s="3"/>
      <c r="BD150" s="3"/>
    </row>
    <row r="151" spans="1:56" s="33" customFormat="1" ht="16.8" customHeight="1">
      <c r="A151" s="29">
        <v>150</v>
      </c>
      <c r="B151" s="29" t="s">
        <v>42</v>
      </c>
      <c r="C151" s="29" t="s">
        <v>43</v>
      </c>
      <c r="D151" s="29" t="s">
        <v>660</v>
      </c>
      <c r="E151" s="29" t="s">
        <v>660</v>
      </c>
      <c r="F151" s="1" t="s">
        <v>661</v>
      </c>
      <c r="G151" s="1" t="s">
        <v>662</v>
      </c>
      <c r="H151" s="1" t="s">
        <v>4520</v>
      </c>
      <c r="I151" s="18">
        <v>45931</v>
      </c>
      <c r="J151" s="18">
        <v>45931</v>
      </c>
      <c r="K151" s="18" t="s">
        <v>4737</v>
      </c>
      <c r="L151" s="18" t="s">
        <v>4734</v>
      </c>
      <c r="M151" s="30">
        <v>300000</v>
      </c>
      <c r="N151" s="30">
        <v>500000</v>
      </c>
      <c r="O151" s="30">
        <v>500000</v>
      </c>
      <c r="P151" s="2">
        <f t="shared" si="8"/>
        <v>200000</v>
      </c>
      <c r="Q151" s="2"/>
      <c r="R151" s="2"/>
      <c r="S151" s="48"/>
      <c r="T151" s="2">
        <v>1800000</v>
      </c>
      <c r="U151" s="2">
        <v>0</v>
      </c>
      <c r="V151" s="1" t="s">
        <v>663</v>
      </c>
      <c r="W151" s="6" t="s">
        <v>664</v>
      </c>
      <c r="X151" s="1" t="s">
        <v>115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>
        <f t="shared" si="9"/>
        <v>0</v>
      </c>
      <c r="AX151" s="31">
        <f t="shared" si="10"/>
        <v>0</v>
      </c>
      <c r="AY151" s="32">
        <f t="shared" si="11"/>
        <v>0</v>
      </c>
      <c r="AZ151" s="33" t="s">
        <v>5679</v>
      </c>
      <c r="BA151" s="4" t="s">
        <v>5726</v>
      </c>
      <c r="BB151" s="30"/>
      <c r="BC151" s="3"/>
      <c r="BD151" s="32"/>
    </row>
    <row r="152" spans="1:56" ht="16.8" customHeight="1">
      <c r="A152" s="1">
        <v>151</v>
      </c>
      <c r="B152" s="1" t="s">
        <v>42</v>
      </c>
      <c r="C152" s="1" t="s">
        <v>43</v>
      </c>
      <c r="D152" s="1" t="s">
        <v>665</v>
      </c>
      <c r="E152" s="1" t="s">
        <v>665</v>
      </c>
      <c r="F152" s="1" t="s">
        <v>666</v>
      </c>
      <c r="G152" s="1" t="s">
        <v>667</v>
      </c>
      <c r="H152" s="1" t="s">
        <v>4840</v>
      </c>
      <c r="I152" s="18">
        <v>46752</v>
      </c>
      <c r="J152" s="18">
        <v>15</v>
      </c>
      <c r="K152" s="18">
        <v>1200000</v>
      </c>
      <c r="L152" s="18"/>
      <c r="M152" s="2">
        <v>1200000</v>
      </c>
      <c r="N152" s="2">
        <v>1200000</v>
      </c>
      <c r="O152" s="2"/>
      <c r="P152" s="2" t="str">
        <f t="shared" si="8"/>
        <v/>
      </c>
      <c r="Q152" s="2"/>
      <c r="R152" s="2"/>
      <c r="S152" s="48"/>
      <c r="T152" s="2">
        <v>0</v>
      </c>
      <c r="U152" s="2">
        <v>3600000</v>
      </c>
      <c r="V152" s="1"/>
      <c r="W152" s="6"/>
      <c r="X152" s="1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>
        <f t="shared" si="9"/>
        <v>0</v>
      </c>
      <c r="AX152" s="3">
        <f t="shared" si="10"/>
        <v>0</v>
      </c>
      <c r="AY152" s="4">
        <f t="shared" si="11"/>
        <v>0</v>
      </c>
      <c r="BA152" s="4" t="s">
        <v>5726</v>
      </c>
      <c r="BB152" s="2"/>
      <c r="BC152" s="3"/>
      <c r="BD152" s="4"/>
    </row>
    <row r="153" spans="1:56" ht="16.8" customHeight="1">
      <c r="A153" s="1">
        <v>152</v>
      </c>
      <c r="B153" s="1" t="s">
        <v>42</v>
      </c>
      <c r="C153" s="1" t="s">
        <v>185</v>
      </c>
      <c r="D153" s="1" t="s">
        <v>668</v>
      </c>
      <c r="E153" s="1" t="s">
        <v>668</v>
      </c>
      <c r="F153" s="1" t="s">
        <v>669</v>
      </c>
      <c r="G153" s="1" t="s">
        <v>670</v>
      </c>
      <c r="H153" s="1" t="s">
        <v>4841</v>
      </c>
      <c r="I153" s="18">
        <v>49491</v>
      </c>
      <c r="J153" s="18">
        <v>20</v>
      </c>
      <c r="K153" s="18">
        <v>1000000</v>
      </c>
      <c r="L153" s="18"/>
      <c r="M153" s="2">
        <v>1000000</v>
      </c>
      <c r="N153" s="2">
        <v>1500000</v>
      </c>
      <c r="O153" s="2">
        <v>1500000</v>
      </c>
      <c r="P153" s="2">
        <f t="shared" si="8"/>
        <v>500000</v>
      </c>
      <c r="Q153" s="2"/>
      <c r="R153" s="2"/>
      <c r="S153" s="48"/>
      <c r="T153" s="2">
        <v>3000000</v>
      </c>
      <c r="U153" s="2">
        <v>0</v>
      </c>
      <c r="V153" s="1" t="s">
        <v>670</v>
      </c>
      <c r="W153" s="6" t="s">
        <v>671</v>
      </c>
      <c r="X153" s="1" t="s">
        <v>672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>
        <v>1000000</v>
      </c>
      <c r="AI153" s="3">
        <v>1000000</v>
      </c>
      <c r="AJ153" s="3">
        <v>1000000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>
        <f t="shared" si="9"/>
        <v>3000000</v>
      </c>
      <c r="AX153" s="3">
        <f t="shared" si="10"/>
        <v>0</v>
      </c>
      <c r="AY153" s="4">
        <f t="shared" si="11"/>
        <v>3</v>
      </c>
      <c r="BA153" s="4" t="s">
        <v>5726</v>
      </c>
      <c r="BB153" s="2"/>
      <c r="BC153" s="3"/>
      <c r="BD153" s="4"/>
    </row>
    <row r="154" spans="1:56" ht="16.8" customHeight="1">
      <c r="A154" s="1">
        <v>153</v>
      </c>
      <c r="B154" s="1" t="s">
        <v>42</v>
      </c>
      <c r="C154" s="1" t="s">
        <v>47</v>
      </c>
      <c r="D154" s="1" t="s">
        <v>673</v>
      </c>
      <c r="E154" s="1" t="s">
        <v>673</v>
      </c>
      <c r="F154" s="1" t="s">
        <v>674</v>
      </c>
      <c r="G154" s="1" t="s">
        <v>675</v>
      </c>
      <c r="H154" s="1" t="s">
        <v>4521</v>
      </c>
      <c r="I154" s="18">
        <v>45931</v>
      </c>
      <c r="J154" s="18">
        <v>45931</v>
      </c>
      <c r="K154" s="18" t="s">
        <v>4753</v>
      </c>
      <c r="L154" s="18" t="s">
        <v>4734</v>
      </c>
      <c r="M154" s="2">
        <v>1200000</v>
      </c>
      <c r="N154" s="2">
        <v>1200000</v>
      </c>
      <c r="O154" s="2"/>
      <c r="P154" s="2" t="str">
        <f t="shared" si="8"/>
        <v/>
      </c>
      <c r="Q154" s="2"/>
      <c r="R154" s="2"/>
      <c r="S154" s="48"/>
      <c r="T154" s="2">
        <v>3600000</v>
      </c>
      <c r="U154" s="2">
        <v>0</v>
      </c>
      <c r="V154" s="1" t="s">
        <v>675</v>
      </c>
      <c r="W154" s="6" t="s">
        <v>676</v>
      </c>
      <c r="X154" s="1" t="s">
        <v>677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>
        <v>1200000</v>
      </c>
      <c r="AI154" s="3">
        <v>1200000</v>
      </c>
      <c r="AJ154" s="3">
        <v>1200000</v>
      </c>
      <c r="AK154" s="3">
        <v>1200000</v>
      </c>
      <c r="AL154" s="3">
        <v>1200000</v>
      </c>
      <c r="AM154" s="3">
        <v>1200000</v>
      </c>
      <c r="AN154" s="3">
        <v>1200000</v>
      </c>
      <c r="AO154" s="3">
        <v>1200000</v>
      </c>
      <c r="AP154" s="3">
        <v>1200000</v>
      </c>
      <c r="AQ154" s="3"/>
      <c r="AR154" s="3"/>
      <c r="AS154" s="3"/>
      <c r="AT154" s="3"/>
      <c r="AU154" s="3"/>
      <c r="AV154" s="3"/>
      <c r="AW154" s="3">
        <f t="shared" si="9"/>
        <v>3600000</v>
      </c>
      <c r="AX154" s="3">
        <f t="shared" si="10"/>
        <v>7200000</v>
      </c>
      <c r="AY154" s="4">
        <f t="shared" si="11"/>
        <v>9</v>
      </c>
      <c r="AZ154" s="8">
        <v>0</v>
      </c>
      <c r="BA154" s="4" t="s">
        <v>5726</v>
      </c>
      <c r="BB154" s="2"/>
      <c r="BC154" s="3"/>
      <c r="BD154" s="3"/>
    </row>
    <row r="155" spans="1:56" ht="16.8" customHeight="1">
      <c r="A155" s="1">
        <v>154</v>
      </c>
      <c r="B155" s="1" t="s">
        <v>42</v>
      </c>
      <c r="C155" s="1" t="s">
        <v>43</v>
      </c>
      <c r="D155" s="1" t="s">
        <v>678</v>
      </c>
      <c r="E155" s="1" t="s">
        <v>678</v>
      </c>
      <c r="F155" s="1" t="s">
        <v>679</v>
      </c>
      <c r="G155" s="1" t="s">
        <v>680</v>
      </c>
      <c r="H155" s="1" t="s">
        <v>4842</v>
      </c>
      <c r="I155" s="18">
        <v>46023</v>
      </c>
      <c r="J155" s="18">
        <v>46023</v>
      </c>
      <c r="K155" s="18" t="s">
        <v>4843</v>
      </c>
      <c r="L155" s="18" t="s">
        <v>4734</v>
      </c>
      <c r="M155" s="2">
        <v>300000</v>
      </c>
      <c r="N155" s="2">
        <v>500000</v>
      </c>
      <c r="O155" s="2">
        <v>500000</v>
      </c>
      <c r="P155" s="2">
        <f t="shared" si="8"/>
        <v>200000</v>
      </c>
      <c r="Q155" s="2"/>
      <c r="R155" s="2"/>
      <c r="S155" s="48"/>
      <c r="T155" s="2">
        <v>900000</v>
      </c>
      <c r="U155" s="2">
        <v>0</v>
      </c>
      <c r="V155" s="1" t="s">
        <v>87</v>
      </c>
      <c r="W155" s="6" t="s">
        <v>88</v>
      </c>
      <c r="X155" s="1" t="s">
        <v>89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>
        <v>300000</v>
      </c>
      <c r="AI155" s="3">
        <v>300000</v>
      </c>
      <c r="AJ155" s="3">
        <v>300000</v>
      </c>
      <c r="AK155" s="3">
        <v>500000</v>
      </c>
      <c r="AL155" s="3">
        <v>500000</v>
      </c>
      <c r="AM155" s="3">
        <v>500000</v>
      </c>
      <c r="AN155" s="3">
        <v>500000</v>
      </c>
      <c r="AO155" s="3">
        <v>500000</v>
      </c>
      <c r="AP155" s="3">
        <v>500000</v>
      </c>
      <c r="AQ155" s="3"/>
      <c r="AR155" s="3"/>
      <c r="AS155" s="3"/>
      <c r="AT155" s="3"/>
      <c r="AU155" s="3"/>
      <c r="AV155" s="3"/>
      <c r="AW155" s="3">
        <f t="shared" si="9"/>
        <v>900000</v>
      </c>
      <c r="AX155" s="3">
        <f t="shared" si="10"/>
        <v>3000000</v>
      </c>
      <c r="AY155" s="4">
        <f t="shared" si="11"/>
        <v>9</v>
      </c>
      <c r="AZ155" s="8" t="s">
        <v>5500</v>
      </c>
      <c r="BA155" s="4" t="s">
        <v>5715</v>
      </c>
      <c r="BB155" s="2"/>
      <c r="BC155" s="3"/>
      <c r="BD155" s="3"/>
    </row>
    <row r="156" spans="1:56" ht="16.8" customHeight="1">
      <c r="A156" s="1">
        <v>155</v>
      </c>
      <c r="B156" s="1" t="s">
        <v>42</v>
      </c>
      <c r="C156" s="1" t="s">
        <v>185</v>
      </c>
      <c r="D156" s="1" t="s">
        <v>681</v>
      </c>
      <c r="E156" s="1" t="s">
        <v>681</v>
      </c>
      <c r="F156" s="1" t="s">
        <v>682</v>
      </c>
      <c r="G156" s="1" t="s">
        <v>683</v>
      </c>
      <c r="H156" s="1" t="s">
        <v>4522</v>
      </c>
      <c r="I156" s="18">
        <v>45931</v>
      </c>
      <c r="J156" s="18">
        <v>45931</v>
      </c>
      <c r="K156" s="18" t="s">
        <v>4830</v>
      </c>
      <c r="L156" s="18" t="s">
        <v>4734</v>
      </c>
      <c r="M156" s="2">
        <v>1700000</v>
      </c>
      <c r="N156" s="2">
        <v>1700000</v>
      </c>
      <c r="O156" s="2"/>
      <c r="P156" s="2" t="str">
        <f t="shared" si="8"/>
        <v/>
      </c>
      <c r="Q156" s="2"/>
      <c r="R156" s="2"/>
      <c r="S156" s="48"/>
      <c r="T156" s="2">
        <v>5100000</v>
      </c>
      <c r="U156" s="2">
        <v>0</v>
      </c>
      <c r="V156" s="1" t="s">
        <v>684</v>
      </c>
      <c r="W156" s="6" t="s">
        <v>685</v>
      </c>
      <c r="X156" s="1" t="s">
        <v>324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>
        <v>1700000</v>
      </c>
      <c r="AI156" s="3">
        <v>1700000</v>
      </c>
      <c r="AJ156" s="3">
        <v>1700000</v>
      </c>
      <c r="AK156" s="3">
        <v>1700000</v>
      </c>
      <c r="AL156" s="3">
        <v>1700000</v>
      </c>
      <c r="AM156" s="3">
        <v>1700000</v>
      </c>
      <c r="AN156" s="3">
        <v>1700000</v>
      </c>
      <c r="AO156" s="3">
        <v>1700000</v>
      </c>
      <c r="AP156" s="3">
        <v>1700000</v>
      </c>
      <c r="AQ156" s="3">
        <v>1700000</v>
      </c>
      <c r="AR156" s="3">
        <v>1700000</v>
      </c>
      <c r="AS156" s="3">
        <v>1700000</v>
      </c>
      <c r="AT156" s="3">
        <v>1700000</v>
      </c>
      <c r="AU156" s="3">
        <v>1700000</v>
      </c>
      <c r="AV156" s="3">
        <v>1700000</v>
      </c>
      <c r="AW156" s="3">
        <f t="shared" si="9"/>
        <v>5100000</v>
      </c>
      <c r="AX156" s="3">
        <f t="shared" si="10"/>
        <v>20400000</v>
      </c>
      <c r="AY156" s="4">
        <f t="shared" si="11"/>
        <v>15</v>
      </c>
      <c r="AZ156" s="8" t="s">
        <v>5493</v>
      </c>
      <c r="BA156" s="4" t="s">
        <v>5726</v>
      </c>
      <c r="BB156" s="2"/>
      <c r="BC156" s="3"/>
      <c r="BD156" s="3"/>
    </row>
    <row r="157" spans="1:56" ht="16.8" customHeight="1">
      <c r="A157" s="1">
        <v>156</v>
      </c>
      <c r="B157" s="1" t="s">
        <v>42</v>
      </c>
      <c r="C157" s="1" t="s">
        <v>43</v>
      </c>
      <c r="D157" s="1" t="s">
        <v>686</v>
      </c>
      <c r="E157" s="1" t="s">
        <v>686</v>
      </c>
      <c r="F157" s="1" t="s">
        <v>687</v>
      </c>
      <c r="G157" s="1" t="s">
        <v>688</v>
      </c>
      <c r="H157" s="1" t="s">
        <v>4844</v>
      </c>
      <c r="I157" s="18">
        <v>45931</v>
      </c>
      <c r="J157" s="18">
        <v>45931</v>
      </c>
      <c r="K157" s="18" t="s">
        <v>4742</v>
      </c>
      <c r="L157" s="18" t="s">
        <v>4734</v>
      </c>
      <c r="M157" s="2">
        <v>3000000</v>
      </c>
      <c r="N157" s="2">
        <v>3000000</v>
      </c>
      <c r="O157" s="2"/>
      <c r="P157" s="2" t="str">
        <f t="shared" si="8"/>
        <v/>
      </c>
      <c r="Q157" s="2"/>
      <c r="R157" s="2"/>
      <c r="S157" s="48"/>
      <c r="T157" s="2">
        <v>9000000</v>
      </c>
      <c r="U157" s="2">
        <v>0</v>
      </c>
      <c r="V157" s="1" t="s">
        <v>688</v>
      </c>
      <c r="W157" s="6" t="s">
        <v>689</v>
      </c>
      <c r="X157" s="1" t="s">
        <v>106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>
        <v>3000000</v>
      </c>
      <c r="AI157" s="3">
        <v>3000000</v>
      </c>
      <c r="AJ157" s="3">
        <v>3000000</v>
      </c>
      <c r="AK157" s="3">
        <v>3000000</v>
      </c>
      <c r="AL157" s="3">
        <v>3000000</v>
      </c>
      <c r="AM157" s="3">
        <v>3000000</v>
      </c>
      <c r="AN157" s="3">
        <v>3000000</v>
      </c>
      <c r="AO157" s="3">
        <v>3000000</v>
      </c>
      <c r="AP157" s="3">
        <v>3000000</v>
      </c>
      <c r="AQ157" s="3"/>
      <c r="AR157" s="3"/>
      <c r="AS157" s="3"/>
      <c r="AT157" s="3"/>
      <c r="AU157" s="3"/>
      <c r="AV157" s="3"/>
      <c r="AW157" s="3">
        <f t="shared" si="9"/>
        <v>9000000</v>
      </c>
      <c r="AX157" s="3">
        <f t="shared" si="10"/>
        <v>18000000</v>
      </c>
      <c r="AY157" s="4">
        <f t="shared" si="11"/>
        <v>9</v>
      </c>
      <c r="AZ157" s="8" t="s">
        <v>5680</v>
      </c>
      <c r="BA157" s="4" t="s">
        <v>5715</v>
      </c>
      <c r="BB157" s="2"/>
      <c r="BC157" s="3"/>
      <c r="BD157" s="3"/>
    </row>
    <row r="158" spans="1:56" ht="16.8" customHeight="1">
      <c r="A158" s="1">
        <v>157</v>
      </c>
      <c r="B158" s="1" t="s">
        <v>42</v>
      </c>
      <c r="C158" s="1" t="s">
        <v>185</v>
      </c>
      <c r="D158" s="1" t="s">
        <v>690</v>
      </c>
      <c r="E158" s="1" t="s">
        <v>690</v>
      </c>
      <c r="F158" s="1" t="s">
        <v>691</v>
      </c>
      <c r="G158" s="1" t="s">
        <v>63</v>
      </c>
      <c r="H158" s="1" t="s">
        <v>4735</v>
      </c>
      <c r="I158" s="18">
        <v>45945</v>
      </c>
      <c r="J158" s="18">
        <v>45931</v>
      </c>
      <c r="K158" s="18" t="s">
        <v>4733</v>
      </c>
      <c r="L158" s="18" t="s">
        <v>4734</v>
      </c>
      <c r="M158" s="2">
        <v>5636364</v>
      </c>
      <c r="N158" s="2">
        <v>5636364</v>
      </c>
      <c r="O158" s="2"/>
      <c r="P158" s="2" t="str">
        <f t="shared" si="8"/>
        <v/>
      </c>
      <c r="Q158" s="2"/>
      <c r="R158" s="2"/>
      <c r="S158" s="48"/>
      <c r="T158" s="2">
        <v>18600001</v>
      </c>
      <c r="U158" s="2">
        <v>0</v>
      </c>
      <c r="V158" s="1" t="s">
        <v>63</v>
      </c>
      <c r="W158" s="6" t="s">
        <v>64</v>
      </c>
      <c r="X158" s="1" t="s">
        <v>65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>
        <v>5636364</v>
      </c>
      <c r="AL158" s="3">
        <v>5636364</v>
      </c>
      <c r="AM158" s="3">
        <v>5636364</v>
      </c>
      <c r="AN158" s="3">
        <v>5636364</v>
      </c>
      <c r="AO158" s="3">
        <v>5636364</v>
      </c>
      <c r="AP158" s="3">
        <v>5636364</v>
      </c>
      <c r="AQ158" s="3"/>
      <c r="AR158" s="3"/>
      <c r="AS158" s="3"/>
      <c r="AT158" s="3"/>
      <c r="AU158" s="3"/>
      <c r="AV158" s="3"/>
      <c r="AW158" s="3">
        <f t="shared" si="9"/>
        <v>0</v>
      </c>
      <c r="AX158" s="3">
        <f t="shared" si="10"/>
        <v>33818184</v>
      </c>
      <c r="AY158" s="4">
        <f t="shared" si="11"/>
        <v>6</v>
      </c>
      <c r="AZ158" s="8" t="s">
        <v>5484</v>
      </c>
      <c r="BA158" s="4" t="s">
        <v>5727</v>
      </c>
      <c r="BB158" s="2"/>
      <c r="BC158" s="3"/>
      <c r="BD158" s="3"/>
    </row>
    <row r="159" spans="1:56" ht="16.8" customHeight="1">
      <c r="A159" s="1">
        <v>158</v>
      </c>
      <c r="B159" s="1" t="s">
        <v>42</v>
      </c>
      <c r="C159" s="1" t="s">
        <v>43</v>
      </c>
      <c r="D159" s="1" t="s">
        <v>692</v>
      </c>
      <c r="E159" s="1" t="s">
        <v>692</v>
      </c>
      <c r="F159" s="1" t="s">
        <v>693</v>
      </c>
      <c r="G159" s="1" t="s">
        <v>694</v>
      </c>
      <c r="H159" s="1" t="s">
        <v>4584</v>
      </c>
      <c r="I159" s="18">
        <v>45931</v>
      </c>
      <c r="J159" s="18">
        <v>45931</v>
      </c>
      <c r="K159" s="18" t="s">
        <v>4752</v>
      </c>
      <c r="L159" s="18" t="s">
        <v>4734</v>
      </c>
      <c r="M159" s="2">
        <v>1200000</v>
      </c>
      <c r="N159" s="2">
        <v>1200000</v>
      </c>
      <c r="O159" s="2"/>
      <c r="P159" s="2" t="str">
        <f t="shared" si="8"/>
        <v/>
      </c>
      <c r="Q159" s="2"/>
      <c r="R159" s="2"/>
      <c r="S159" s="48"/>
      <c r="T159" s="2">
        <v>3600000</v>
      </c>
      <c r="U159" s="2">
        <v>0</v>
      </c>
      <c r="V159" s="1" t="s">
        <v>694</v>
      </c>
      <c r="W159" s="6" t="s">
        <v>695</v>
      </c>
      <c r="X159" s="1" t="s">
        <v>696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>
        <v>1200000</v>
      </c>
      <c r="AI159" s="3">
        <v>1200000</v>
      </c>
      <c r="AJ159" s="3">
        <v>1200000</v>
      </c>
      <c r="AK159" s="3">
        <v>1200000</v>
      </c>
      <c r="AL159" s="3">
        <v>1200000</v>
      </c>
      <c r="AM159" s="3">
        <v>1200000</v>
      </c>
      <c r="AN159" s="3">
        <v>1200000</v>
      </c>
      <c r="AO159" s="3">
        <v>1200000</v>
      </c>
      <c r="AP159" s="3">
        <v>1200000</v>
      </c>
      <c r="AQ159" s="3"/>
      <c r="AR159" s="3"/>
      <c r="AS159" s="3"/>
      <c r="AT159" s="3"/>
      <c r="AU159" s="3"/>
      <c r="AV159" s="3"/>
      <c r="AW159" s="3">
        <f t="shared" si="9"/>
        <v>3600000</v>
      </c>
      <c r="AX159" s="3">
        <f t="shared" si="10"/>
        <v>7200000</v>
      </c>
      <c r="AY159" s="4">
        <f t="shared" si="11"/>
        <v>9</v>
      </c>
      <c r="AZ159" s="8" t="s">
        <v>5506</v>
      </c>
      <c r="BA159" s="4" t="s">
        <v>5715</v>
      </c>
      <c r="BB159" s="2"/>
      <c r="BC159" s="3"/>
      <c r="BD159" s="3"/>
    </row>
    <row r="160" spans="1:56" ht="16.8" customHeight="1">
      <c r="A160" s="1">
        <v>159</v>
      </c>
      <c r="B160" s="1" t="s">
        <v>42</v>
      </c>
      <c r="C160" s="1" t="s">
        <v>43</v>
      </c>
      <c r="D160" s="1" t="s">
        <v>697</v>
      </c>
      <c r="E160" s="1" t="s">
        <v>697</v>
      </c>
      <c r="F160" s="1" t="s">
        <v>698</v>
      </c>
      <c r="G160" s="1" t="s">
        <v>699</v>
      </c>
      <c r="H160" s="1" t="s">
        <v>4845</v>
      </c>
      <c r="I160" s="18">
        <v>45931</v>
      </c>
      <c r="J160" s="18">
        <v>45931</v>
      </c>
      <c r="K160" s="18" t="s">
        <v>4742</v>
      </c>
      <c r="L160" s="18" t="s">
        <v>4734</v>
      </c>
      <c r="M160" s="2">
        <v>2800000</v>
      </c>
      <c r="N160" s="2">
        <v>2800000</v>
      </c>
      <c r="O160" s="2"/>
      <c r="P160" s="2" t="str">
        <f t="shared" si="8"/>
        <v/>
      </c>
      <c r="Q160" s="2"/>
      <c r="R160" s="2"/>
      <c r="S160" s="48"/>
      <c r="T160" s="2">
        <v>8400000</v>
      </c>
      <c r="U160" s="2">
        <v>0</v>
      </c>
      <c r="V160" s="1" t="s">
        <v>699</v>
      </c>
      <c r="W160" s="6" t="s">
        <v>700</v>
      </c>
      <c r="X160" s="1" t="s">
        <v>106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>
        <v>2800000</v>
      </c>
      <c r="AI160" s="3">
        <v>2800000</v>
      </c>
      <c r="AJ160" s="3">
        <v>2800000</v>
      </c>
      <c r="AK160" s="3">
        <v>2800000</v>
      </c>
      <c r="AL160" s="3">
        <v>2800000</v>
      </c>
      <c r="AM160" s="3">
        <v>2800000</v>
      </c>
      <c r="AN160" s="3">
        <v>2800000</v>
      </c>
      <c r="AO160" s="3">
        <v>2800000</v>
      </c>
      <c r="AP160" s="3">
        <v>2800000</v>
      </c>
      <c r="AQ160" s="3"/>
      <c r="AR160" s="3"/>
      <c r="AS160" s="3"/>
      <c r="AT160" s="3"/>
      <c r="AU160" s="3"/>
      <c r="AV160" s="3"/>
      <c r="AW160" s="3">
        <f t="shared" si="9"/>
        <v>8400000</v>
      </c>
      <c r="AX160" s="3">
        <f t="shared" si="10"/>
        <v>16800000</v>
      </c>
      <c r="AY160" s="4">
        <f t="shared" si="11"/>
        <v>9</v>
      </c>
      <c r="AZ160" s="8" t="s">
        <v>5681</v>
      </c>
      <c r="BA160" s="4" t="s">
        <v>5715</v>
      </c>
      <c r="BB160" s="2"/>
      <c r="BC160" s="3"/>
      <c r="BD160" s="3"/>
    </row>
    <row r="161" spans="1:56" ht="16.8" customHeight="1">
      <c r="A161" s="1">
        <v>160</v>
      </c>
      <c r="B161" s="1" t="s">
        <v>42</v>
      </c>
      <c r="C161" s="1" t="s">
        <v>47</v>
      </c>
      <c r="D161" s="1" t="s">
        <v>701</v>
      </c>
      <c r="E161" s="1" t="s">
        <v>701</v>
      </c>
      <c r="F161" s="1" t="s">
        <v>702</v>
      </c>
      <c r="G161" s="1" t="s">
        <v>703</v>
      </c>
      <c r="H161" s="1" t="s">
        <v>4846</v>
      </c>
      <c r="I161" s="18">
        <v>46387</v>
      </c>
      <c r="J161" s="18">
        <v>10</v>
      </c>
      <c r="K161" s="18">
        <v>1500000</v>
      </c>
      <c r="L161" s="18"/>
      <c r="M161" s="2">
        <v>1500000</v>
      </c>
      <c r="N161" s="2">
        <v>1500000</v>
      </c>
      <c r="O161" s="2"/>
      <c r="P161" s="2" t="str">
        <f t="shared" si="8"/>
        <v/>
      </c>
      <c r="Q161" s="2"/>
      <c r="R161" s="2"/>
      <c r="S161" s="48"/>
      <c r="T161" s="2">
        <v>0</v>
      </c>
      <c r="U161" s="2">
        <v>4500000</v>
      </c>
      <c r="V161" s="1"/>
      <c r="W161" s="6"/>
      <c r="X161" s="1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>
        <f t="shared" si="9"/>
        <v>0</v>
      </c>
      <c r="AX161" s="3">
        <f t="shared" si="10"/>
        <v>0</v>
      </c>
      <c r="AY161" s="4">
        <f t="shared" si="11"/>
        <v>0</v>
      </c>
      <c r="BA161" s="4" t="s">
        <v>5726</v>
      </c>
      <c r="BB161" s="2"/>
      <c r="BC161" s="3"/>
      <c r="BD161" s="4"/>
    </row>
    <row r="162" spans="1:56" ht="16.8" customHeight="1">
      <c r="A162" s="1">
        <v>161</v>
      </c>
      <c r="B162" s="1" t="s">
        <v>42</v>
      </c>
      <c r="C162" s="1" t="s">
        <v>43</v>
      </c>
      <c r="D162" s="1" t="s">
        <v>704</v>
      </c>
      <c r="E162" s="1" t="s">
        <v>704</v>
      </c>
      <c r="F162" s="1" t="s">
        <v>705</v>
      </c>
      <c r="G162" s="1" t="s">
        <v>706</v>
      </c>
      <c r="H162" s="1" t="s">
        <v>4847</v>
      </c>
      <c r="I162" s="18">
        <v>47818</v>
      </c>
      <c r="J162" s="18">
        <v>15</v>
      </c>
      <c r="K162" s="18">
        <v>1000000</v>
      </c>
      <c r="L162" s="18"/>
      <c r="M162" s="2">
        <v>1000000</v>
      </c>
      <c r="N162" s="2">
        <v>1000000</v>
      </c>
      <c r="O162" s="2"/>
      <c r="P162" s="2" t="str">
        <f t="shared" si="8"/>
        <v/>
      </c>
      <c r="Q162" s="2"/>
      <c r="R162" s="2"/>
      <c r="S162" s="48"/>
      <c r="T162" s="2">
        <v>0</v>
      </c>
      <c r="U162" s="2">
        <v>3000000</v>
      </c>
      <c r="V162" s="1"/>
      <c r="W162" s="6"/>
      <c r="X162" s="1"/>
      <c r="Y162" s="3"/>
      <c r="Z162" s="3"/>
      <c r="AA162" s="3"/>
      <c r="AB162" s="3"/>
      <c r="AC162" s="3"/>
      <c r="AD162" s="3"/>
      <c r="AE162" s="3"/>
      <c r="AF162" s="3"/>
      <c r="AG162" s="3"/>
      <c r="AH162" s="3">
        <v>1000000</v>
      </c>
      <c r="AI162" s="3">
        <v>1000000</v>
      </c>
      <c r="AJ162" s="3">
        <v>1000000</v>
      </c>
      <c r="AK162" s="3">
        <v>1000000</v>
      </c>
      <c r="AL162" s="3">
        <v>1000000</v>
      </c>
      <c r="AM162" s="3">
        <v>1000000</v>
      </c>
      <c r="AN162" s="3">
        <v>1000000</v>
      </c>
      <c r="AO162" s="3">
        <v>1000000</v>
      </c>
      <c r="AP162" s="3">
        <v>1000000</v>
      </c>
      <c r="AQ162" s="3"/>
      <c r="AR162" s="3"/>
      <c r="AS162" s="3"/>
      <c r="AT162" s="3"/>
      <c r="AU162" s="3"/>
      <c r="AV162" s="3"/>
      <c r="AW162" s="3">
        <f t="shared" si="9"/>
        <v>3000000</v>
      </c>
      <c r="AX162" s="3">
        <f t="shared" si="10"/>
        <v>6000000</v>
      </c>
      <c r="AY162" s="4">
        <f t="shared" si="11"/>
        <v>9</v>
      </c>
      <c r="BA162" s="4" t="s">
        <v>5728</v>
      </c>
      <c r="BB162" s="2"/>
      <c r="BC162" s="3"/>
      <c r="BD162" s="3"/>
    </row>
    <row r="163" spans="1:56" ht="16.8" customHeight="1">
      <c r="A163" s="1">
        <v>162</v>
      </c>
      <c r="B163" s="1" t="s">
        <v>42</v>
      </c>
      <c r="C163" s="1" t="s">
        <v>43</v>
      </c>
      <c r="D163" s="1" t="s">
        <v>707</v>
      </c>
      <c r="E163" s="1" t="s">
        <v>707</v>
      </c>
      <c r="F163" s="1" t="s">
        <v>708</v>
      </c>
      <c r="G163" s="1" t="s">
        <v>709</v>
      </c>
      <c r="H163" s="1" t="s">
        <v>4523</v>
      </c>
      <c r="I163" s="18">
        <v>45931</v>
      </c>
      <c r="J163" s="18">
        <v>45931</v>
      </c>
      <c r="K163" s="18" t="s">
        <v>4742</v>
      </c>
      <c r="L163" s="18" t="s">
        <v>4734</v>
      </c>
      <c r="M163" s="2">
        <v>700000</v>
      </c>
      <c r="N163" s="2">
        <v>700000</v>
      </c>
      <c r="O163" s="2"/>
      <c r="P163" s="2" t="str">
        <f t="shared" si="8"/>
        <v/>
      </c>
      <c r="Q163" s="2"/>
      <c r="R163" s="2"/>
      <c r="S163" s="48"/>
      <c r="T163" s="2">
        <v>4200000</v>
      </c>
      <c r="U163" s="2">
        <v>0</v>
      </c>
      <c r="V163" s="1" t="s">
        <v>709</v>
      </c>
      <c r="W163" s="6" t="s">
        <v>710</v>
      </c>
      <c r="X163" s="1" t="s">
        <v>106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>
        <v>700000</v>
      </c>
      <c r="AL163" s="3">
        <v>700000</v>
      </c>
      <c r="AM163" s="3">
        <v>700000</v>
      </c>
      <c r="AN163" s="3">
        <v>700000</v>
      </c>
      <c r="AO163" s="3">
        <v>700000</v>
      </c>
      <c r="AP163" s="3">
        <v>700000</v>
      </c>
      <c r="AQ163" s="3"/>
      <c r="AR163" s="3"/>
      <c r="AS163" s="3"/>
      <c r="AT163" s="3"/>
      <c r="AU163" s="3"/>
      <c r="AV163" s="3"/>
      <c r="AW163" s="3">
        <f t="shared" si="9"/>
        <v>0</v>
      </c>
      <c r="AX163" s="3">
        <f t="shared" si="10"/>
        <v>4200000</v>
      </c>
      <c r="AY163" s="4">
        <f t="shared" si="11"/>
        <v>6</v>
      </c>
      <c r="AZ163" s="8" t="s">
        <v>5682</v>
      </c>
      <c r="BA163" s="4" t="s">
        <v>5715</v>
      </c>
      <c r="BB163" s="2"/>
      <c r="BC163" s="3"/>
      <c r="BD163" s="3"/>
    </row>
    <row r="164" spans="1:56" ht="16.8" customHeight="1">
      <c r="A164" s="1">
        <v>163</v>
      </c>
      <c r="B164" s="1" t="s">
        <v>42</v>
      </c>
      <c r="C164" s="1" t="s">
        <v>185</v>
      </c>
      <c r="D164" s="1" t="s">
        <v>711</v>
      </c>
      <c r="E164" s="1" t="s">
        <v>711</v>
      </c>
      <c r="F164" s="1" t="s">
        <v>712</v>
      </c>
      <c r="G164" s="1" t="s">
        <v>713</v>
      </c>
      <c r="H164" s="1" t="s">
        <v>4524</v>
      </c>
      <c r="I164" s="18">
        <v>45931</v>
      </c>
      <c r="J164" s="18">
        <v>45931</v>
      </c>
      <c r="K164" s="18" t="s">
        <v>4848</v>
      </c>
      <c r="L164" s="18" t="s">
        <v>4734</v>
      </c>
      <c r="M164" s="2">
        <v>1800000</v>
      </c>
      <c r="N164" s="2">
        <v>1800000</v>
      </c>
      <c r="O164" s="2"/>
      <c r="P164" s="2" t="str">
        <f t="shared" si="8"/>
        <v/>
      </c>
      <c r="Q164" s="2"/>
      <c r="R164" s="2"/>
      <c r="S164" s="48"/>
      <c r="T164" s="2">
        <v>5400000</v>
      </c>
      <c r="U164" s="2">
        <v>0</v>
      </c>
      <c r="V164" s="1" t="s">
        <v>713</v>
      </c>
      <c r="W164" s="6" t="s">
        <v>714</v>
      </c>
      <c r="X164" s="1" t="s">
        <v>333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>
        <v>1800000</v>
      </c>
      <c r="AI164" s="3">
        <v>1800000</v>
      </c>
      <c r="AJ164" s="3">
        <v>1800000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>
        <f t="shared" si="9"/>
        <v>5400000</v>
      </c>
      <c r="AX164" s="3">
        <f t="shared" si="10"/>
        <v>0</v>
      </c>
      <c r="AY164" s="4">
        <f t="shared" si="11"/>
        <v>3</v>
      </c>
      <c r="AZ164" s="8" t="s">
        <v>5507</v>
      </c>
      <c r="BA164" s="4" t="s">
        <v>5726</v>
      </c>
      <c r="BB164" s="2"/>
      <c r="BC164" s="3"/>
      <c r="BD164" s="4"/>
    </row>
    <row r="165" spans="1:56" ht="16.8" customHeight="1">
      <c r="A165" s="1">
        <v>164</v>
      </c>
      <c r="B165" s="1" t="s">
        <v>42</v>
      </c>
      <c r="C165" s="1" t="s">
        <v>47</v>
      </c>
      <c r="D165" s="1" t="s">
        <v>715</v>
      </c>
      <c r="E165" s="1" t="s">
        <v>715</v>
      </c>
      <c r="F165" s="1" t="s">
        <v>716</v>
      </c>
      <c r="G165" s="1" t="s">
        <v>58</v>
      </c>
      <c r="H165" s="1" t="s">
        <v>4732</v>
      </c>
      <c r="I165" s="18">
        <v>45940</v>
      </c>
      <c r="J165" s="18">
        <v>45931</v>
      </c>
      <c r="K165" s="18" t="s">
        <v>4733</v>
      </c>
      <c r="L165" s="18" t="s">
        <v>4734</v>
      </c>
      <c r="M165" s="2">
        <v>8200000</v>
      </c>
      <c r="N165" s="2">
        <v>8200000</v>
      </c>
      <c r="O165" s="2"/>
      <c r="P165" s="2" t="str">
        <f t="shared" si="8"/>
        <v/>
      </c>
      <c r="Q165" s="2"/>
      <c r="R165" s="2"/>
      <c r="S165" s="48"/>
      <c r="T165" s="2">
        <v>27060000</v>
      </c>
      <c r="U165" s="2">
        <v>0</v>
      </c>
      <c r="V165" s="1" t="s">
        <v>58</v>
      </c>
      <c r="W165" s="6" t="s">
        <v>59</v>
      </c>
      <c r="X165" s="1" t="s">
        <v>60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>
        <v>8200000</v>
      </c>
      <c r="AL165" s="3">
        <v>8200000</v>
      </c>
      <c r="AM165" s="3">
        <v>8200000</v>
      </c>
      <c r="AN165" s="3">
        <v>8200000</v>
      </c>
      <c r="AO165" s="3">
        <v>8200000</v>
      </c>
      <c r="AP165" s="3">
        <v>8200000</v>
      </c>
      <c r="AQ165" s="3"/>
      <c r="AR165" s="3"/>
      <c r="AS165" s="3"/>
      <c r="AT165" s="3"/>
      <c r="AU165" s="3"/>
      <c r="AV165" s="3"/>
      <c r="AW165" s="3">
        <f t="shared" si="9"/>
        <v>0</v>
      </c>
      <c r="AX165" s="3">
        <f t="shared" si="10"/>
        <v>49200000</v>
      </c>
      <c r="AY165" s="4">
        <f t="shared" si="11"/>
        <v>6</v>
      </c>
      <c r="AZ165" s="8" t="s">
        <v>5483</v>
      </c>
      <c r="BA165" s="4" t="s">
        <v>5727</v>
      </c>
      <c r="BB165" s="2"/>
      <c r="BC165" s="3"/>
      <c r="BD165" s="3"/>
    </row>
    <row r="166" spans="1:56" s="33" customFormat="1" ht="16.8" customHeight="1">
      <c r="A166" s="29">
        <v>165</v>
      </c>
      <c r="B166" s="29" t="s">
        <v>42</v>
      </c>
      <c r="C166" s="29" t="s">
        <v>43</v>
      </c>
      <c r="D166" s="29" t="s">
        <v>717</v>
      </c>
      <c r="E166" s="29" t="s">
        <v>717</v>
      </c>
      <c r="F166" s="1" t="s">
        <v>718</v>
      </c>
      <c r="G166" s="1" t="s">
        <v>719</v>
      </c>
      <c r="H166" s="1" t="s">
        <v>4525</v>
      </c>
      <c r="I166" s="18">
        <v>45931</v>
      </c>
      <c r="J166" s="18">
        <v>45931</v>
      </c>
      <c r="K166" s="18" t="s">
        <v>4742</v>
      </c>
      <c r="L166" s="18" t="s">
        <v>4734</v>
      </c>
      <c r="M166" s="30">
        <v>700000</v>
      </c>
      <c r="N166" s="30">
        <v>1000000</v>
      </c>
      <c r="O166" s="30">
        <v>1000000</v>
      </c>
      <c r="P166" s="2">
        <f t="shared" si="8"/>
        <v>300000</v>
      </c>
      <c r="Q166" s="2"/>
      <c r="R166" s="2"/>
      <c r="S166" s="48"/>
      <c r="T166" s="2">
        <v>4200000</v>
      </c>
      <c r="U166" s="2">
        <v>0</v>
      </c>
      <c r="V166" s="1" t="s">
        <v>720</v>
      </c>
      <c r="W166" s="6" t="s">
        <v>721</v>
      </c>
      <c r="X166" s="1" t="s">
        <v>106</v>
      </c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>
        <f t="shared" si="9"/>
        <v>0</v>
      </c>
      <c r="AX166" s="31">
        <f t="shared" si="10"/>
        <v>0</v>
      </c>
      <c r="AY166" s="32">
        <f t="shared" si="11"/>
        <v>0</v>
      </c>
      <c r="BA166" s="4" t="s">
        <v>5726</v>
      </c>
      <c r="BB166" s="30"/>
      <c r="BC166" s="3"/>
      <c r="BD166" s="32"/>
    </row>
    <row r="167" spans="1:56" ht="16.8" customHeight="1">
      <c r="A167" s="1">
        <v>166</v>
      </c>
      <c r="B167" s="1" t="s">
        <v>42</v>
      </c>
      <c r="C167" s="1" t="s">
        <v>47</v>
      </c>
      <c r="D167" s="1" t="s">
        <v>722</v>
      </c>
      <c r="E167" s="1" t="s">
        <v>722</v>
      </c>
      <c r="F167" s="1" t="s">
        <v>723</v>
      </c>
      <c r="G167" s="1" t="s">
        <v>724</v>
      </c>
      <c r="H167" s="1" t="s">
        <v>4849</v>
      </c>
      <c r="I167" s="18">
        <v>45931</v>
      </c>
      <c r="J167" s="18">
        <v>45931</v>
      </c>
      <c r="K167" s="18" t="s">
        <v>4753</v>
      </c>
      <c r="L167" s="18" t="s">
        <v>4734</v>
      </c>
      <c r="M167" s="2">
        <v>1800000</v>
      </c>
      <c r="N167" s="2">
        <v>1800000</v>
      </c>
      <c r="O167" s="2"/>
      <c r="P167" s="2" t="str">
        <f t="shared" si="8"/>
        <v/>
      </c>
      <c r="Q167" s="2"/>
      <c r="R167" s="2"/>
      <c r="S167" s="48"/>
      <c r="T167" s="2">
        <v>5400000</v>
      </c>
      <c r="U167" s="2">
        <v>0</v>
      </c>
      <c r="V167" s="1" t="s">
        <v>725</v>
      </c>
      <c r="W167" s="6" t="s">
        <v>726</v>
      </c>
      <c r="X167" s="1" t="s">
        <v>170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>
        <v>1800000</v>
      </c>
      <c r="AI167" s="3">
        <v>1800000</v>
      </c>
      <c r="AJ167" s="3">
        <v>1800000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>
        <f t="shared" si="9"/>
        <v>5400000</v>
      </c>
      <c r="AX167" s="3">
        <f t="shared" si="10"/>
        <v>0</v>
      </c>
      <c r="AY167" s="4">
        <f t="shared" si="11"/>
        <v>3</v>
      </c>
      <c r="BA167" s="4" t="s">
        <v>5726</v>
      </c>
      <c r="BB167" s="2"/>
      <c r="BC167" s="3"/>
      <c r="BD167" s="4"/>
    </row>
    <row r="168" spans="1:56" s="33" customFormat="1" ht="16.8" customHeight="1">
      <c r="A168" s="29">
        <v>167</v>
      </c>
      <c r="B168" s="29" t="s">
        <v>42</v>
      </c>
      <c r="C168" s="29" t="s">
        <v>43</v>
      </c>
      <c r="D168" s="29" t="s">
        <v>727</v>
      </c>
      <c r="E168" s="29" t="s">
        <v>727</v>
      </c>
      <c r="F168" s="1" t="s">
        <v>728</v>
      </c>
      <c r="G168" s="1" t="s">
        <v>729</v>
      </c>
      <c r="H168" s="1" t="s">
        <v>4526</v>
      </c>
      <c r="I168" s="18">
        <v>45931</v>
      </c>
      <c r="J168" s="18">
        <v>45931</v>
      </c>
      <c r="K168" s="18" t="s">
        <v>4742</v>
      </c>
      <c r="L168" s="18" t="s">
        <v>4734</v>
      </c>
      <c r="M168" s="30">
        <v>500000</v>
      </c>
      <c r="N168" s="30">
        <v>1000000</v>
      </c>
      <c r="O168" s="30">
        <v>1000000</v>
      </c>
      <c r="P168" s="2">
        <f t="shared" si="8"/>
        <v>500000</v>
      </c>
      <c r="Q168" s="2"/>
      <c r="R168" s="2"/>
      <c r="S168" s="48"/>
      <c r="T168" s="2">
        <v>1500000</v>
      </c>
      <c r="U168" s="2">
        <v>0</v>
      </c>
      <c r="V168" s="1" t="s">
        <v>729</v>
      </c>
      <c r="W168" s="6" t="s">
        <v>730</v>
      </c>
      <c r="X168" s="1" t="s">
        <v>210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>
        <v>500000</v>
      </c>
      <c r="AI168" s="3">
        <v>500000</v>
      </c>
      <c r="AJ168" s="3">
        <v>500000</v>
      </c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>
        <f t="shared" si="9"/>
        <v>1500000</v>
      </c>
      <c r="AX168" s="31">
        <f t="shared" si="10"/>
        <v>0</v>
      </c>
      <c r="AY168" s="32">
        <f t="shared" si="11"/>
        <v>3</v>
      </c>
      <c r="AZ168" s="33" t="s">
        <v>5683</v>
      </c>
      <c r="BA168" s="4" t="s">
        <v>5726</v>
      </c>
      <c r="BB168" s="30"/>
      <c r="BC168" s="3"/>
      <c r="BD168" s="32"/>
    </row>
    <row r="169" spans="1:56" ht="16.8" customHeight="1">
      <c r="A169" s="1">
        <v>168</v>
      </c>
      <c r="B169" s="1" t="s">
        <v>42</v>
      </c>
      <c r="C169" s="1" t="s">
        <v>185</v>
      </c>
      <c r="D169" s="1" t="s">
        <v>731</v>
      </c>
      <c r="E169" s="1" t="s">
        <v>731</v>
      </c>
      <c r="F169" s="1" t="s">
        <v>732</v>
      </c>
      <c r="G169" s="1" t="s">
        <v>733</v>
      </c>
      <c r="H169" s="1" t="s">
        <v>4527</v>
      </c>
      <c r="I169" s="18">
        <v>45940</v>
      </c>
      <c r="J169" s="18">
        <v>45931</v>
      </c>
      <c r="K169" s="18" t="s">
        <v>4733</v>
      </c>
      <c r="L169" s="18" t="s">
        <v>4734</v>
      </c>
      <c r="M169" s="2">
        <v>8200000</v>
      </c>
      <c r="N169" s="2">
        <v>8200000</v>
      </c>
      <c r="O169" s="2"/>
      <c r="P169" s="2" t="str">
        <f t="shared" si="8"/>
        <v/>
      </c>
      <c r="Q169" s="2"/>
      <c r="R169" s="2"/>
      <c r="S169" s="48"/>
      <c r="T169" s="2">
        <v>24600000</v>
      </c>
      <c r="U169" s="2">
        <v>0</v>
      </c>
      <c r="V169" s="1" t="s">
        <v>734</v>
      </c>
      <c r="W169" s="6" t="s">
        <v>735</v>
      </c>
      <c r="X169" s="1" t="s">
        <v>403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>
        <v>8200000</v>
      </c>
      <c r="AI169" s="3">
        <v>8200000</v>
      </c>
      <c r="AJ169" s="3">
        <v>8200000</v>
      </c>
      <c r="AK169" s="3">
        <v>8200000</v>
      </c>
      <c r="AL169" s="3">
        <v>8200000</v>
      </c>
      <c r="AM169" s="3">
        <v>8200000</v>
      </c>
      <c r="AN169" s="3">
        <v>8200000</v>
      </c>
      <c r="AO169" s="3">
        <v>8200000</v>
      </c>
      <c r="AP169" s="3">
        <v>8200000</v>
      </c>
      <c r="AQ169" s="3"/>
      <c r="AR169" s="3"/>
      <c r="AS169" s="3"/>
      <c r="AT169" s="3"/>
      <c r="AU169" s="3"/>
      <c r="AV169" s="3"/>
      <c r="AW169" s="3">
        <f t="shared" si="9"/>
        <v>24600000</v>
      </c>
      <c r="AX169" s="3">
        <f t="shared" si="10"/>
        <v>49200000</v>
      </c>
      <c r="AY169" s="4">
        <f t="shared" si="11"/>
        <v>9</v>
      </c>
      <c r="AZ169" s="8" t="s">
        <v>5486</v>
      </c>
      <c r="BA169" s="4" t="s">
        <v>5727</v>
      </c>
      <c r="BB169" s="2"/>
      <c r="BC169" s="3"/>
      <c r="BD169" s="3"/>
    </row>
    <row r="170" spans="1:56" ht="16.8" customHeight="1">
      <c r="A170" s="1">
        <v>169</v>
      </c>
      <c r="B170" s="1" t="s">
        <v>42</v>
      </c>
      <c r="C170" s="1" t="s">
        <v>47</v>
      </c>
      <c r="D170" s="1" t="s">
        <v>736</v>
      </c>
      <c r="E170" s="1" t="s">
        <v>736</v>
      </c>
      <c r="F170" s="1" t="s">
        <v>737</v>
      </c>
      <c r="G170" s="1" t="s">
        <v>738</v>
      </c>
      <c r="H170" s="1" t="s">
        <v>4850</v>
      </c>
      <c r="I170" s="18">
        <v>45940</v>
      </c>
      <c r="J170" s="18">
        <v>45931</v>
      </c>
      <c r="K170" s="18" t="s">
        <v>4742</v>
      </c>
      <c r="L170" s="18" t="s">
        <v>4734</v>
      </c>
      <c r="M170" s="2">
        <v>1600000</v>
      </c>
      <c r="N170" s="2">
        <v>1600000</v>
      </c>
      <c r="O170" s="2"/>
      <c r="P170" s="2" t="str">
        <f t="shared" si="8"/>
        <v/>
      </c>
      <c r="Q170" s="2"/>
      <c r="R170" s="2"/>
      <c r="S170" s="48"/>
      <c r="T170" s="2">
        <v>4800000</v>
      </c>
      <c r="U170" s="2">
        <v>0</v>
      </c>
      <c r="V170" s="1" t="s">
        <v>228</v>
      </c>
      <c r="W170" s="6" t="s">
        <v>739</v>
      </c>
      <c r="X170" s="1" t="s">
        <v>89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>
        <v>1600000</v>
      </c>
      <c r="AI170" s="3">
        <v>1600000</v>
      </c>
      <c r="AJ170" s="3">
        <v>1600000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>
        <f t="shared" si="9"/>
        <v>4800000</v>
      </c>
      <c r="AX170" s="3">
        <f t="shared" si="10"/>
        <v>0</v>
      </c>
      <c r="AY170" s="4">
        <f t="shared" si="11"/>
        <v>3</v>
      </c>
      <c r="AZ170" s="8" t="s">
        <v>5508</v>
      </c>
      <c r="BA170" s="4" t="s">
        <v>5726</v>
      </c>
      <c r="BB170" s="2"/>
      <c r="BC170" s="3"/>
      <c r="BD170" s="4"/>
    </row>
    <row r="171" spans="1:56" ht="16.8" customHeight="1">
      <c r="A171" s="1">
        <v>170</v>
      </c>
      <c r="B171" s="1" t="s">
        <v>42</v>
      </c>
      <c r="C171" s="1" t="s">
        <v>185</v>
      </c>
      <c r="D171" s="1" t="s">
        <v>740</v>
      </c>
      <c r="E171" s="1" t="s">
        <v>740</v>
      </c>
      <c r="F171" s="1" t="s">
        <v>741</v>
      </c>
      <c r="G171" s="1" t="s">
        <v>742</v>
      </c>
      <c r="H171" s="1" t="s">
        <v>4851</v>
      </c>
      <c r="I171" s="18">
        <v>49491</v>
      </c>
      <c r="J171" s="18">
        <v>20</v>
      </c>
      <c r="K171" s="18">
        <v>1300000</v>
      </c>
      <c r="L171" s="18"/>
      <c r="M171" s="2">
        <v>1300000</v>
      </c>
      <c r="N171" s="2">
        <v>2000000</v>
      </c>
      <c r="O171" s="2">
        <v>2000000</v>
      </c>
      <c r="P171" s="2">
        <f t="shared" si="8"/>
        <v>700000</v>
      </c>
      <c r="Q171" s="2"/>
      <c r="R171" s="2"/>
      <c r="S171" s="48"/>
      <c r="T171" s="2">
        <v>5400000</v>
      </c>
      <c r="U171" s="2">
        <v>0</v>
      </c>
      <c r="V171" s="1" t="s">
        <v>742</v>
      </c>
      <c r="W171" s="6"/>
      <c r="X171" s="1"/>
      <c r="Y171" s="3"/>
      <c r="Z171" s="3"/>
      <c r="AA171" s="3"/>
      <c r="AB171" s="3"/>
      <c r="AC171" s="3"/>
      <c r="AD171" s="3"/>
      <c r="AE171" s="3"/>
      <c r="AF171" s="3"/>
      <c r="AG171" s="3"/>
      <c r="AH171" s="3">
        <v>1300000</v>
      </c>
      <c r="AI171" s="3">
        <v>1300000</v>
      </c>
      <c r="AJ171" s="3">
        <v>1300000</v>
      </c>
      <c r="AK171" s="3">
        <v>2000000</v>
      </c>
      <c r="AL171" s="3">
        <v>2000000</v>
      </c>
      <c r="AM171" s="3">
        <v>2000000</v>
      </c>
      <c r="AN171" s="3">
        <v>2000000</v>
      </c>
      <c r="AO171" s="3">
        <v>2000000</v>
      </c>
      <c r="AP171" s="3">
        <v>2000000</v>
      </c>
      <c r="AQ171" s="3"/>
      <c r="AR171" s="3"/>
      <c r="AS171" s="3"/>
      <c r="AT171" s="3"/>
      <c r="AU171" s="3"/>
      <c r="AV171" s="3"/>
      <c r="AW171" s="3">
        <f t="shared" si="9"/>
        <v>3900000</v>
      </c>
      <c r="AX171" s="3">
        <f t="shared" si="10"/>
        <v>12000000</v>
      </c>
      <c r="AY171" s="4">
        <f t="shared" si="11"/>
        <v>9</v>
      </c>
      <c r="BA171" s="4" t="s">
        <v>5731</v>
      </c>
      <c r="BB171" s="2"/>
      <c r="BC171" s="3"/>
      <c r="BD171" s="3"/>
    </row>
    <row r="172" spans="1:56" ht="16.8" customHeight="1">
      <c r="A172" s="1">
        <v>171</v>
      </c>
      <c r="B172" s="1" t="s">
        <v>42</v>
      </c>
      <c r="C172" s="1" t="s">
        <v>185</v>
      </c>
      <c r="D172" s="1" t="s">
        <v>740</v>
      </c>
      <c r="E172" s="1" t="s">
        <v>740</v>
      </c>
      <c r="F172" s="1" t="s">
        <v>741</v>
      </c>
      <c r="G172" s="1" t="s">
        <v>743</v>
      </c>
      <c r="H172" s="1" t="s">
        <v>4851</v>
      </c>
      <c r="I172" s="18">
        <v>49491</v>
      </c>
      <c r="J172" s="18">
        <v>20</v>
      </c>
      <c r="K172" s="18">
        <v>1300000</v>
      </c>
      <c r="L172" s="18"/>
      <c r="M172" s="2">
        <v>500000</v>
      </c>
      <c r="N172" s="2">
        <v>2000000</v>
      </c>
      <c r="O172" s="2">
        <v>2000000</v>
      </c>
      <c r="P172" s="2">
        <f t="shared" si="8"/>
        <v>1500000</v>
      </c>
      <c r="Q172" s="2"/>
      <c r="R172" s="2"/>
      <c r="S172" s="48"/>
      <c r="T172" s="2">
        <v>5400000</v>
      </c>
      <c r="U172" s="2">
        <v>0</v>
      </c>
      <c r="V172" s="1" t="s">
        <v>743</v>
      </c>
      <c r="W172" s="6" t="s">
        <v>744</v>
      </c>
      <c r="X172" s="1" t="s">
        <v>137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>
        <v>500000</v>
      </c>
      <c r="AI172" s="3">
        <v>500000</v>
      </c>
      <c r="AJ172" s="3">
        <v>500000</v>
      </c>
      <c r="AK172" s="3">
        <v>2000000</v>
      </c>
      <c r="AL172" s="3">
        <v>2000000</v>
      </c>
      <c r="AM172" s="3">
        <v>2000000</v>
      </c>
      <c r="AN172" s="3">
        <v>2000000</v>
      </c>
      <c r="AO172" s="3">
        <v>2000000</v>
      </c>
      <c r="AP172" s="3">
        <v>2000000</v>
      </c>
      <c r="AQ172" s="3"/>
      <c r="AR172" s="3"/>
      <c r="AS172" s="3"/>
      <c r="AT172" s="3"/>
      <c r="AU172" s="3"/>
      <c r="AV172" s="3"/>
      <c r="AW172" s="3">
        <f>SUM(Y172:AK172)</f>
        <v>3500000</v>
      </c>
      <c r="AX172" s="3">
        <f t="shared" si="10"/>
        <v>12000000</v>
      </c>
      <c r="AY172" s="4">
        <f t="shared" si="11"/>
        <v>9</v>
      </c>
      <c r="BA172" s="4" t="s">
        <v>5731</v>
      </c>
      <c r="BB172" s="2"/>
      <c r="BC172" s="3"/>
      <c r="BD172" s="3"/>
    </row>
    <row r="173" spans="1:56" ht="16.8" customHeight="1">
      <c r="A173" s="1">
        <v>172</v>
      </c>
      <c r="B173" s="1" t="s">
        <v>42</v>
      </c>
      <c r="C173" s="1" t="s">
        <v>47</v>
      </c>
      <c r="D173" s="1" t="s">
        <v>745</v>
      </c>
      <c r="E173" s="1" t="s">
        <v>745</v>
      </c>
      <c r="F173" s="1" t="s">
        <v>746</v>
      </c>
      <c r="G173" s="1" t="s">
        <v>109</v>
      </c>
      <c r="H173" s="1" t="s">
        <v>4744</v>
      </c>
      <c r="I173" s="18">
        <v>45931</v>
      </c>
      <c r="J173" s="18">
        <v>45931</v>
      </c>
      <c r="K173" s="18" t="s">
        <v>4745</v>
      </c>
      <c r="L173" s="18" t="s">
        <v>4734</v>
      </c>
      <c r="M173" s="2">
        <v>8200000</v>
      </c>
      <c r="N173" s="2">
        <v>8200000</v>
      </c>
      <c r="O173" s="2"/>
      <c r="P173" s="2" t="str">
        <f t="shared" si="8"/>
        <v/>
      </c>
      <c r="Q173" s="2"/>
      <c r="R173" s="2"/>
      <c r="S173" s="48"/>
      <c r="T173" s="2">
        <v>27060000</v>
      </c>
      <c r="U173" s="2">
        <v>0</v>
      </c>
      <c r="V173" s="1" t="s">
        <v>93</v>
      </c>
      <c r="W173" s="6" t="s">
        <v>94</v>
      </c>
      <c r="X173" s="1" t="s">
        <v>95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>
        <v>8200000</v>
      </c>
      <c r="AL173" s="3">
        <v>8200000</v>
      </c>
      <c r="AM173" s="3">
        <v>8200000</v>
      </c>
      <c r="AN173" s="3">
        <v>8200000</v>
      </c>
      <c r="AO173" s="3">
        <v>8200000</v>
      </c>
      <c r="AP173" s="3">
        <v>8200000</v>
      </c>
      <c r="AQ173" s="3"/>
      <c r="AR173" s="3"/>
      <c r="AS173" s="3"/>
      <c r="AT173" s="3"/>
      <c r="AU173" s="3"/>
      <c r="AV173" s="3"/>
      <c r="AW173" s="3">
        <f t="shared" si="9"/>
        <v>0</v>
      </c>
      <c r="AX173" s="3">
        <f t="shared" si="10"/>
        <v>49200000</v>
      </c>
      <c r="AY173" s="4">
        <f t="shared" si="11"/>
        <v>6</v>
      </c>
      <c r="AZ173" s="8" t="s">
        <v>5484</v>
      </c>
      <c r="BA173" s="4" t="s">
        <v>5727</v>
      </c>
      <c r="BB173" s="2"/>
      <c r="BC173" s="3"/>
      <c r="BD173" s="3"/>
    </row>
    <row r="174" spans="1:56" ht="16.8" customHeight="1">
      <c r="A174" s="1">
        <v>173</v>
      </c>
      <c r="B174" s="1" t="s">
        <v>42</v>
      </c>
      <c r="C174" s="1" t="s">
        <v>43</v>
      </c>
      <c r="D174" s="1" t="s">
        <v>747</v>
      </c>
      <c r="E174" s="1" t="s">
        <v>747</v>
      </c>
      <c r="F174" s="1" t="s">
        <v>748</v>
      </c>
      <c r="G174" s="1" t="s">
        <v>749</v>
      </c>
      <c r="H174" s="1" t="s">
        <v>4528</v>
      </c>
      <c r="I174" s="18">
        <v>45931</v>
      </c>
      <c r="J174" s="18">
        <v>45931</v>
      </c>
      <c r="K174" s="18">
        <v>49583</v>
      </c>
      <c r="L174" s="18" t="s">
        <v>4734</v>
      </c>
      <c r="M174" s="2">
        <v>1000000</v>
      </c>
      <c r="N174" s="2">
        <v>1000000</v>
      </c>
      <c r="O174" s="2"/>
      <c r="P174" s="2" t="str">
        <f t="shared" si="8"/>
        <v/>
      </c>
      <c r="Q174" s="2"/>
      <c r="R174" s="2"/>
      <c r="S174" s="48"/>
      <c r="T174" s="2">
        <v>3000000</v>
      </c>
      <c r="U174" s="2">
        <v>0</v>
      </c>
      <c r="V174" s="1" t="s">
        <v>749</v>
      </c>
      <c r="W174" s="6" t="s">
        <v>750</v>
      </c>
      <c r="X174" s="1" t="s">
        <v>751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>
        <v>1000000</v>
      </c>
      <c r="AI174" s="3">
        <v>1000000</v>
      </c>
      <c r="AJ174" s="3">
        <v>1000000</v>
      </c>
      <c r="AK174" s="3">
        <v>1000000</v>
      </c>
      <c r="AL174" s="3">
        <v>1000000</v>
      </c>
      <c r="AM174" s="3">
        <v>1000000</v>
      </c>
      <c r="AN174" s="3">
        <v>1000000</v>
      </c>
      <c r="AO174" s="3">
        <v>1000000</v>
      </c>
      <c r="AP174" s="3">
        <v>1000000</v>
      </c>
      <c r="AQ174" s="3"/>
      <c r="AR174" s="3"/>
      <c r="AS174" s="3"/>
      <c r="AT174" s="3"/>
      <c r="AU174" s="3"/>
      <c r="AV174" s="3"/>
      <c r="AW174" s="3">
        <f t="shared" si="9"/>
        <v>3000000</v>
      </c>
      <c r="AX174" s="3">
        <f t="shared" si="10"/>
        <v>6000000</v>
      </c>
      <c r="AY174" s="4">
        <f t="shared" si="11"/>
        <v>9</v>
      </c>
      <c r="AZ174" s="8">
        <v>0</v>
      </c>
      <c r="BA174" s="4" t="s">
        <v>5715</v>
      </c>
      <c r="BB174" s="2"/>
      <c r="BC174" s="3"/>
      <c r="BD174" s="3"/>
    </row>
    <row r="175" spans="1:56" ht="16.8" customHeight="1">
      <c r="A175" s="1">
        <v>174</v>
      </c>
      <c r="B175" s="1" t="s">
        <v>42</v>
      </c>
      <c r="C175" s="1" t="s">
        <v>185</v>
      </c>
      <c r="D175" s="1" t="s">
        <v>752</v>
      </c>
      <c r="E175" s="1" t="s">
        <v>752</v>
      </c>
      <c r="F175" s="1" t="s">
        <v>753</v>
      </c>
      <c r="G175" s="1" t="s">
        <v>479</v>
      </c>
      <c r="H175" s="1" t="s">
        <v>4506</v>
      </c>
      <c r="I175" s="18">
        <v>45931</v>
      </c>
      <c r="J175" s="18">
        <v>45931</v>
      </c>
      <c r="K175" s="18" t="s">
        <v>4733</v>
      </c>
      <c r="L175" s="18" t="s">
        <v>4734</v>
      </c>
      <c r="M175" s="2">
        <v>8200000</v>
      </c>
      <c r="N175" s="2">
        <v>8200000</v>
      </c>
      <c r="O175" s="2"/>
      <c r="P175" s="2" t="str">
        <f t="shared" si="8"/>
        <v/>
      </c>
      <c r="Q175" s="2"/>
      <c r="R175" s="2"/>
      <c r="S175" s="48"/>
      <c r="T175" s="2">
        <v>0</v>
      </c>
      <c r="U175" s="2">
        <v>0</v>
      </c>
      <c r="V175" s="1"/>
      <c r="W175" s="6"/>
      <c r="X175" s="1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>
        <v>8200000</v>
      </c>
      <c r="AL175" s="3">
        <v>8200000</v>
      </c>
      <c r="AM175" s="3">
        <v>8200000</v>
      </c>
      <c r="AN175" s="3">
        <v>8200000</v>
      </c>
      <c r="AO175" s="3">
        <v>8200000</v>
      </c>
      <c r="AP175" s="3">
        <v>8200000</v>
      </c>
      <c r="AQ175" s="3"/>
      <c r="AR175" s="3"/>
      <c r="AS175" s="3"/>
      <c r="AT175" s="3"/>
      <c r="AU175" s="3"/>
      <c r="AV175" s="3"/>
      <c r="AW175" s="3">
        <f t="shared" si="9"/>
        <v>0</v>
      </c>
      <c r="AX175" s="3">
        <f t="shared" si="10"/>
        <v>49200000</v>
      </c>
      <c r="AY175" s="4">
        <f t="shared" si="11"/>
        <v>6</v>
      </c>
      <c r="AZ175" s="8" t="s">
        <v>5486</v>
      </c>
      <c r="BA175" s="4" t="s">
        <v>5727</v>
      </c>
      <c r="BB175" s="2"/>
      <c r="BC175" s="3"/>
      <c r="BD175" s="3"/>
    </row>
    <row r="176" spans="1:56" ht="16.8" customHeight="1">
      <c r="A176" s="1">
        <v>175</v>
      </c>
      <c r="B176" s="1" t="s">
        <v>42</v>
      </c>
      <c r="C176" s="1" t="s">
        <v>185</v>
      </c>
      <c r="D176" s="1" t="s">
        <v>754</v>
      </c>
      <c r="E176" s="1" t="s">
        <v>754</v>
      </c>
      <c r="F176" s="1" t="s">
        <v>755</v>
      </c>
      <c r="G176" s="1" t="s">
        <v>312</v>
      </c>
      <c r="H176" s="1" t="s">
        <v>4852</v>
      </c>
      <c r="I176" s="18">
        <v>45931</v>
      </c>
      <c r="J176" s="18">
        <v>45931</v>
      </c>
      <c r="K176" s="18" t="s">
        <v>4752</v>
      </c>
      <c r="L176" s="18" t="s">
        <v>4734</v>
      </c>
      <c r="M176" s="2">
        <v>8200000</v>
      </c>
      <c r="N176" s="2">
        <v>8200000</v>
      </c>
      <c r="O176" s="2"/>
      <c r="P176" s="2" t="str">
        <f t="shared" si="8"/>
        <v/>
      </c>
      <c r="Q176" s="2"/>
      <c r="R176" s="2"/>
      <c r="S176" s="48"/>
      <c r="T176" s="2">
        <v>27060000</v>
      </c>
      <c r="U176" s="2">
        <v>0</v>
      </c>
      <c r="V176" s="1" t="s">
        <v>312</v>
      </c>
      <c r="W176" s="6" t="s">
        <v>313</v>
      </c>
      <c r="X176" s="1" t="s">
        <v>314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>
        <v>8200000</v>
      </c>
      <c r="AL176" s="3">
        <v>8200000</v>
      </c>
      <c r="AM176" s="3">
        <v>8200000</v>
      </c>
      <c r="AN176" s="3">
        <v>8200000</v>
      </c>
      <c r="AO176" s="3">
        <v>8200000</v>
      </c>
      <c r="AP176" s="3">
        <v>8200000</v>
      </c>
      <c r="AQ176" s="3"/>
      <c r="AR176" s="3"/>
      <c r="AS176" s="3"/>
      <c r="AT176" s="3"/>
      <c r="AU176" s="3"/>
      <c r="AV176" s="3"/>
      <c r="AW176" s="3">
        <f t="shared" si="9"/>
        <v>0</v>
      </c>
      <c r="AX176" s="3">
        <f t="shared" si="10"/>
        <v>49200000</v>
      </c>
      <c r="AY176" s="4">
        <f t="shared" si="11"/>
        <v>6</v>
      </c>
      <c r="AZ176" s="8" t="s">
        <v>5484</v>
      </c>
      <c r="BA176" s="4" t="s">
        <v>5727</v>
      </c>
      <c r="BB176" s="2"/>
      <c r="BC176" s="3"/>
      <c r="BD176" s="3"/>
    </row>
    <row r="177" spans="1:56" ht="16.8" customHeight="1">
      <c r="A177" s="1">
        <v>176</v>
      </c>
      <c r="B177" s="1" t="s">
        <v>42</v>
      </c>
      <c r="C177" s="1" t="s">
        <v>43</v>
      </c>
      <c r="D177" s="1" t="s">
        <v>756</v>
      </c>
      <c r="E177" s="1" t="s">
        <v>756</v>
      </c>
      <c r="F177" s="1" t="s">
        <v>757</v>
      </c>
      <c r="G177" s="1" t="s">
        <v>758</v>
      </c>
      <c r="H177" s="1" t="s">
        <v>4529</v>
      </c>
      <c r="I177" s="18">
        <v>45931</v>
      </c>
      <c r="J177" s="18">
        <v>45931</v>
      </c>
      <c r="K177" s="18" t="s">
        <v>4733</v>
      </c>
      <c r="L177" s="18" t="s">
        <v>4734</v>
      </c>
      <c r="M177" s="2">
        <v>8200000</v>
      </c>
      <c r="N177" s="2">
        <v>8200000</v>
      </c>
      <c r="O177" s="2"/>
      <c r="P177" s="2" t="str">
        <f t="shared" si="8"/>
        <v/>
      </c>
      <c r="Q177" s="2"/>
      <c r="R177" s="2"/>
      <c r="S177" s="48"/>
      <c r="T177" s="2">
        <v>49200000</v>
      </c>
      <c r="U177" s="2">
        <v>0</v>
      </c>
      <c r="V177" s="1" t="s">
        <v>758</v>
      </c>
      <c r="W177" s="6" t="s">
        <v>759</v>
      </c>
      <c r="X177" s="1" t="s">
        <v>547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>
        <v>8200000</v>
      </c>
      <c r="AI177" s="3">
        <v>8200000</v>
      </c>
      <c r="AJ177" s="3">
        <v>8200000</v>
      </c>
      <c r="AK177" s="3">
        <v>8200000</v>
      </c>
      <c r="AL177" s="3">
        <v>8200000</v>
      </c>
      <c r="AM177" s="3">
        <v>8200000</v>
      </c>
      <c r="AN177" s="3">
        <v>8200000</v>
      </c>
      <c r="AO177" s="3">
        <v>8200000</v>
      </c>
      <c r="AP177" s="3">
        <v>8200000</v>
      </c>
      <c r="AQ177" s="3"/>
      <c r="AR177" s="3"/>
      <c r="AS177" s="3"/>
      <c r="AT177" s="3"/>
      <c r="AU177" s="3"/>
      <c r="AV177" s="3"/>
      <c r="AW177" s="3">
        <f t="shared" si="9"/>
        <v>24600000</v>
      </c>
      <c r="AX177" s="3">
        <f t="shared" si="10"/>
        <v>49200000</v>
      </c>
      <c r="AY177" s="4">
        <f t="shared" si="11"/>
        <v>9</v>
      </c>
      <c r="AZ177" s="8" t="s">
        <v>5509</v>
      </c>
      <c r="BA177" s="4" t="s">
        <v>5727</v>
      </c>
      <c r="BB177" s="2"/>
      <c r="BC177" s="3"/>
      <c r="BD177" s="3"/>
    </row>
    <row r="178" spans="1:56" ht="16.8" customHeight="1">
      <c r="A178" s="1">
        <v>177</v>
      </c>
      <c r="B178" s="1" t="s">
        <v>42</v>
      </c>
      <c r="C178" s="1" t="s">
        <v>43</v>
      </c>
      <c r="D178" s="1" t="s">
        <v>760</v>
      </c>
      <c r="E178" s="1" t="s">
        <v>760</v>
      </c>
      <c r="F178" s="1" t="s">
        <v>761</v>
      </c>
      <c r="G178" s="1" t="s">
        <v>762</v>
      </c>
      <c r="H178" s="1" t="s">
        <v>4530</v>
      </c>
      <c r="I178" s="18">
        <v>45931</v>
      </c>
      <c r="J178" s="18">
        <v>45931</v>
      </c>
      <c r="K178" s="18" t="s">
        <v>4733</v>
      </c>
      <c r="L178" s="18" t="s">
        <v>4734</v>
      </c>
      <c r="M178" s="2">
        <v>1000000</v>
      </c>
      <c r="N178" s="2">
        <v>1000000</v>
      </c>
      <c r="O178" s="2"/>
      <c r="P178" s="2" t="str">
        <f t="shared" si="8"/>
        <v/>
      </c>
      <c r="Q178" s="2"/>
      <c r="R178" s="2"/>
      <c r="S178" s="48"/>
      <c r="T178" s="2">
        <v>3000000</v>
      </c>
      <c r="U178" s="2">
        <v>0</v>
      </c>
      <c r="V178" s="1" t="s">
        <v>146</v>
      </c>
      <c r="W178" s="6" t="s">
        <v>147</v>
      </c>
      <c r="X178" s="1" t="s">
        <v>148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>
        <v>1000000</v>
      </c>
      <c r="AI178" s="3">
        <v>1000000</v>
      </c>
      <c r="AJ178" s="3">
        <v>1000000</v>
      </c>
      <c r="AK178" s="3">
        <v>1000000</v>
      </c>
      <c r="AL178" s="3">
        <v>1000000</v>
      </c>
      <c r="AM178" s="3">
        <v>1000000</v>
      </c>
      <c r="AN178" s="3">
        <v>1000000</v>
      </c>
      <c r="AO178" s="3">
        <v>1000000</v>
      </c>
      <c r="AP178" s="3">
        <v>1000000</v>
      </c>
      <c r="AQ178" s="3"/>
      <c r="AR178" s="3"/>
      <c r="AS178" s="3"/>
      <c r="AT178" s="3"/>
      <c r="AU178" s="3"/>
      <c r="AV178" s="3"/>
      <c r="AW178" s="3">
        <f t="shared" si="9"/>
        <v>3000000</v>
      </c>
      <c r="AX178" s="3">
        <f t="shared" si="10"/>
        <v>6000000</v>
      </c>
      <c r="AY178" s="4">
        <f t="shared" si="11"/>
        <v>9</v>
      </c>
      <c r="AZ178" s="8" t="s">
        <v>5510</v>
      </c>
      <c r="BA178" s="4" t="s">
        <v>5715</v>
      </c>
      <c r="BB178" s="2"/>
      <c r="BC178" s="3"/>
      <c r="BD178" s="3"/>
    </row>
    <row r="179" spans="1:56" ht="16.8" customHeight="1">
      <c r="A179" s="1">
        <v>178</v>
      </c>
      <c r="B179" s="1" t="s">
        <v>42</v>
      </c>
      <c r="C179" s="1" t="s">
        <v>185</v>
      </c>
      <c r="D179" s="1" t="s">
        <v>763</v>
      </c>
      <c r="E179" s="1" t="s">
        <v>763</v>
      </c>
      <c r="F179" s="1" t="s">
        <v>764</v>
      </c>
      <c r="G179" s="1" t="s">
        <v>765</v>
      </c>
      <c r="H179" s="1" t="s">
        <v>4853</v>
      </c>
      <c r="I179" s="18">
        <v>45931</v>
      </c>
      <c r="J179" s="18">
        <v>45931</v>
      </c>
      <c r="K179" s="18">
        <v>49583</v>
      </c>
      <c r="L179" s="18" t="s">
        <v>4734</v>
      </c>
      <c r="M179" s="2">
        <v>8200000</v>
      </c>
      <c r="N179" s="2">
        <v>8200000</v>
      </c>
      <c r="O179" s="2"/>
      <c r="P179" s="2" t="str">
        <f t="shared" si="8"/>
        <v/>
      </c>
      <c r="Q179" s="2"/>
      <c r="R179" s="2"/>
      <c r="S179" s="48"/>
      <c r="T179" s="2">
        <v>24600000</v>
      </c>
      <c r="U179" s="2">
        <v>0</v>
      </c>
      <c r="V179" s="1" t="s">
        <v>545</v>
      </c>
      <c r="W179" s="6" t="s">
        <v>546</v>
      </c>
      <c r="X179" s="1" t="s">
        <v>547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>
        <v>8200000</v>
      </c>
      <c r="AI179" s="3">
        <v>8200000</v>
      </c>
      <c r="AJ179" s="3">
        <v>8200000</v>
      </c>
      <c r="AK179" s="3">
        <v>8200000</v>
      </c>
      <c r="AL179" s="3">
        <v>8200000</v>
      </c>
      <c r="AM179" s="3">
        <v>8200000</v>
      </c>
      <c r="AN179" s="3">
        <v>8200000</v>
      </c>
      <c r="AO179" s="3">
        <v>8200000</v>
      </c>
      <c r="AP179" s="3">
        <v>8200000</v>
      </c>
      <c r="AQ179" s="3"/>
      <c r="AR179" s="3"/>
      <c r="AS179" s="3"/>
      <c r="AT179" s="3"/>
      <c r="AU179" s="3"/>
      <c r="AV179" s="3"/>
      <c r="AW179" s="3">
        <f t="shared" si="9"/>
        <v>24600000</v>
      </c>
      <c r="AX179" s="3">
        <f t="shared" si="10"/>
        <v>49200000</v>
      </c>
      <c r="AY179" s="4">
        <f t="shared" si="11"/>
        <v>9</v>
      </c>
      <c r="AZ179" s="8" t="s">
        <v>5486</v>
      </c>
      <c r="BA179" s="4" t="s">
        <v>5727</v>
      </c>
      <c r="BB179" s="2"/>
      <c r="BC179" s="3"/>
      <c r="BD179" s="3"/>
    </row>
    <row r="180" spans="1:56" ht="16.8" customHeight="1">
      <c r="A180" s="1">
        <v>179</v>
      </c>
      <c r="B180" s="1" t="s">
        <v>42</v>
      </c>
      <c r="C180" s="1" t="s">
        <v>185</v>
      </c>
      <c r="D180" s="1" t="s">
        <v>767</v>
      </c>
      <c r="E180" s="1" t="s">
        <v>767</v>
      </c>
      <c r="F180" s="1" t="s">
        <v>768</v>
      </c>
      <c r="G180" s="1" t="s">
        <v>769</v>
      </c>
      <c r="H180" s="1" t="s">
        <v>770</v>
      </c>
      <c r="I180" s="18">
        <v>41913</v>
      </c>
      <c r="J180" s="18">
        <v>45931</v>
      </c>
      <c r="K180" s="18">
        <v>47757</v>
      </c>
      <c r="L180" s="18" t="s">
        <v>4734</v>
      </c>
      <c r="M180" s="2">
        <v>8200000</v>
      </c>
      <c r="N180" s="2">
        <v>8200000</v>
      </c>
      <c r="O180" s="2"/>
      <c r="P180" s="2" t="str">
        <f t="shared" si="8"/>
        <v/>
      </c>
      <c r="Q180" s="2"/>
      <c r="R180" s="2"/>
      <c r="S180" s="48"/>
      <c r="T180" s="2">
        <v>45100000</v>
      </c>
      <c r="U180" s="2">
        <v>0</v>
      </c>
      <c r="V180" s="1"/>
      <c r="W180" s="6"/>
      <c r="X180" s="1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>
        <f t="shared" si="9"/>
        <v>0</v>
      </c>
      <c r="AX180" s="3">
        <f t="shared" si="10"/>
        <v>0</v>
      </c>
      <c r="AY180" s="4">
        <f t="shared" si="11"/>
        <v>0</v>
      </c>
      <c r="AZ180" s="8" t="s">
        <v>5511</v>
      </c>
      <c r="BA180" s="4" t="s">
        <v>5726</v>
      </c>
      <c r="BB180" s="2"/>
      <c r="BC180" s="3"/>
      <c r="BD180" s="4"/>
    </row>
    <row r="181" spans="1:56" ht="16.8" customHeight="1">
      <c r="A181" s="1">
        <v>180</v>
      </c>
      <c r="B181" s="1" t="s">
        <v>42</v>
      </c>
      <c r="C181" s="1" t="s">
        <v>47</v>
      </c>
      <c r="D181" s="1" t="s">
        <v>771</v>
      </c>
      <c r="E181" s="1" t="s">
        <v>771</v>
      </c>
      <c r="F181" s="1" t="s">
        <v>772</v>
      </c>
      <c r="G181" s="1" t="s">
        <v>773</v>
      </c>
      <c r="H181" s="1" t="s">
        <v>4854</v>
      </c>
      <c r="I181" s="18">
        <v>45931</v>
      </c>
      <c r="J181" s="18">
        <v>45931</v>
      </c>
      <c r="K181" s="18" t="s">
        <v>4753</v>
      </c>
      <c r="L181" s="18" t="s">
        <v>4734</v>
      </c>
      <c r="M181" s="2">
        <v>1500000</v>
      </c>
      <c r="N181" s="2">
        <v>1500000</v>
      </c>
      <c r="O181" s="2"/>
      <c r="P181" s="2" t="str">
        <f t="shared" si="8"/>
        <v/>
      </c>
      <c r="Q181" s="2"/>
      <c r="R181" s="2"/>
      <c r="S181" s="48"/>
      <c r="T181" s="2">
        <v>4500000</v>
      </c>
      <c r="U181" s="2">
        <v>0</v>
      </c>
      <c r="V181" s="1" t="s">
        <v>773</v>
      </c>
      <c r="W181" s="6" t="s">
        <v>774</v>
      </c>
      <c r="X181" s="1" t="s">
        <v>775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>
        <v>1500000</v>
      </c>
      <c r="AI181" s="3">
        <v>1500000</v>
      </c>
      <c r="AJ181" s="3">
        <v>1500000</v>
      </c>
      <c r="AK181" s="3">
        <v>1500000</v>
      </c>
      <c r="AL181" s="3">
        <v>1500000</v>
      </c>
      <c r="AM181" s="3">
        <v>1500000</v>
      </c>
      <c r="AN181" s="3">
        <v>1500000</v>
      </c>
      <c r="AO181" s="3">
        <v>1500000</v>
      </c>
      <c r="AP181" s="3">
        <v>1500000</v>
      </c>
      <c r="AQ181" s="3"/>
      <c r="AR181" s="3"/>
      <c r="AS181" s="3"/>
      <c r="AT181" s="3"/>
      <c r="AU181" s="3"/>
      <c r="AV181" s="3"/>
      <c r="AW181" s="3">
        <f t="shared" si="9"/>
        <v>4500000</v>
      </c>
      <c r="AX181" s="3">
        <f t="shared" si="10"/>
        <v>9000000</v>
      </c>
      <c r="AY181" s="4">
        <f t="shared" si="11"/>
        <v>9</v>
      </c>
      <c r="BA181" s="4" t="s">
        <v>5726</v>
      </c>
      <c r="BB181" s="2"/>
      <c r="BC181" s="3"/>
      <c r="BD181" s="3"/>
    </row>
    <row r="182" spans="1:56" ht="16.8" customHeight="1">
      <c r="A182" s="1">
        <v>181</v>
      </c>
      <c r="B182" s="1" t="s">
        <v>42</v>
      </c>
      <c r="C182" s="1" t="s">
        <v>47</v>
      </c>
      <c r="D182" s="1" t="s">
        <v>776</v>
      </c>
      <c r="E182" s="1" t="s">
        <v>776</v>
      </c>
      <c r="F182" s="1" t="s">
        <v>777</v>
      </c>
      <c r="G182" s="1" t="s">
        <v>778</v>
      </c>
      <c r="H182" s="1" t="s">
        <v>4855</v>
      </c>
      <c r="I182" s="18">
        <v>48944</v>
      </c>
      <c r="J182" s="18">
        <v>15</v>
      </c>
      <c r="K182" s="18">
        <v>1500000</v>
      </c>
      <c r="L182" s="18"/>
      <c r="M182" s="2">
        <v>1500000</v>
      </c>
      <c r="N182" s="2">
        <v>1500000</v>
      </c>
      <c r="O182" s="2"/>
      <c r="P182" s="2" t="str">
        <f t="shared" si="8"/>
        <v/>
      </c>
      <c r="Q182" s="2"/>
      <c r="R182" s="2"/>
      <c r="S182" s="48"/>
      <c r="T182" s="2">
        <v>4500000</v>
      </c>
      <c r="U182" s="2">
        <v>0</v>
      </c>
      <c r="V182" s="1" t="s">
        <v>779</v>
      </c>
      <c r="W182" s="6" t="s">
        <v>780</v>
      </c>
      <c r="X182" s="1" t="s">
        <v>319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>
        <v>1500000</v>
      </c>
      <c r="AI182" s="3">
        <v>1500000</v>
      </c>
      <c r="AJ182" s="3">
        <v>1500000</v>
      </c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>
        <f t="shared" si="9"/>
        <v>4500000</v>
      </c>
      <c r="AX182" s="3">
        <f t="shared" si="10"/>
        <v>0</v>
      </c>
      <c r="AY182" s="4">
        <f t="shared" si="11"/>
        <v>3</v>
      </c>
      <c r="BA182" s="4" t="s">
        <v>5726</v>
      </c>
      <c r="BB182" s="2"/>
      <c r="BC182" s="3"/>
      <c r="BD182" s="4"/>
    </row>
    <row r="183" spans="1:56" ht="16.8" customHeight="1">
      <c r="A183" s="1">
        <v>182</v>
      </c>
      <c r="B183" s="1" t="s">
        <v>42</v>
      </c>
      <c r="C183" s="1" t="s">
        <v>47</v>
      </c>
      <c r="D183" s="1" t="s">
        <v>781</v>
      </c>
      <c r="E183" s="1" t="s">
        <v>781</v>
      </c>
      <c r="F183" s="1" t="s">
        <v>782</v>
      </c>
      <c r="G183" s="1" t="s">
        <v>109</v>
      </c>
      <c r="H183" s="1" t="s">
        <v>4744</v>
      </c>
      <c r="I183" s="18">
        <v>45931</v>
      </c>
      <c r="J183" s="18">
        <v>45931</v>
      </c>
      <c r="K183" s="18" t="s">
        <v>4745</v>
      </c>
      <c r="L183" s="18" t="s">
        <v>4734</v>
      </c>
      <c r="M183" s="2">
        <v>8200000</v>
      </c>
      <c r="N183" s="2">
        <v>8200000</v>
      </c>
      <c r="O183" s="2"/>
      <c r="P183" s="2" t="str">
        <f t="shared" si="8"/>
        <v/>
      </c>
      <c r="Q183" s="2"/>
      <c r="R183" s="2"/>
      <c r="S183" s="48"/>
      <c r="T183" s="2">
        <v>27060000</v>
      </c>
      <c r="U183" s="2">
        <v>0</v>
      </c>
      <c r="V183" s="1" t="s">
        <v>93</v>
      </c>
      <c r="W183" s="6" t="s">
        <v>94</v>
      </c>
      <c r="X183" s="1" t="s">
        <v>95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>
        <v>8200000</v>
      </c>
      <c r="AL183" s="3">
        <v>8200000</v>
      </c>
      <c r="AM183" s="3">
        <v>8200000</v>
      </c>
      <c r="AN183" s="3">
        <v>8200000</v>
      </c>
      <c r="AO183" s="3">
        <v>8200000</v>
      </c>
      <c r="AP183" s="3">
        <v>8200000</v>
      </c>
      <c r="AQ183" s="3"/>
      <c r="AR183" s="3"/>
      <c r="AS183" s="3"/>
      <c r="AT183" s="3"/>
      <c r="AU183" s="3"/>
      <c r="AV183" s="3"/>
      <c r="AW183" s="3">
        <f t="shared" si="9"/>
        <v>0</v>
      </c>
      <c r="AX183" s="3">
        <f t="shared" si="10"/>
        <v>49200000</v>
      </c>
      <c r="AY183" s="4">
        <f t="shared" si="11"/>
        <v>6</v>
      </c>
      <c r="AZ183" s="8" t="s">
        <v>5484</v>
      </c>
      <c r="BA183" s="4" t="s">
        <v>5727</v>
      </c>
      <c r="BB183" s="2"/>
      <c r="BC183" s="3"/>
      <c r="BD183" s="3"/>
    </row>
    <row r="184" spans="1:56" ht="16.8" customHeight="1">
      <c r="A184" s="1">
        <v>183</v>
      </c>
      <c r="B184" s="1" t="s">
        <v>42</v>
      </c>
      <c r="C184" s="1" t="s">
        <v>47</v>
      </c>
      <c r="D184" s="1" t="s">
        <v>783</v>
      </c>
      <c r="E184" s="1" t="s">
        <v>783</v>
      </c>
      <c r="F184" s="1" t="s">
        <v>784</v>
      </c>
      <c r="G184" s="1" t="s">
        <v>785</v>
      </c>
      <c r="H184" s="1" t="s">
        <v>4856</v>
      </c>
      <c r="I184" s="18">
        <v>45931</v>
      </c>
      <c r="J184" s="18">
        <v>45931</v>
      </c>
      <c r="K184" s="18">
        <v>46661</v>
      </c>
      <c r="L184" s="18" t="s">
        <v>4734</v>
      </c>
      <c r="M184" s="2">
        <v>8200000</v>
      </c>
      <c r="N184" s="2">
        <v>8200000</v>
      </c>
      <c r="O184" s="2"/>
      <c r="P184" s="2" t="str">
        <f t="shared" si="8"/>
        <v/>
      </c>
      <c r="Q184" s="2"/>
      <c r="R184" s="2"/>
      <c r="S184" s="48"/>
      <c r="T184" s="2">
        <v>27060000</v>
      </c>
      <c r="U184" s="2">
        <v>0</v>
      </c>
      <c r="V184" s="1" t="s">
        <v>785</v>
      </c>
      <c r="W184" s="6" t="s">
        <v>786</v>
      </c>
      <c r="X184" s="1" t="s">
        <v>787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>
        <v>8200000</v>
      </c>
      <c r="AL184" s="3">
        <v>8200000</v>
      </c>
      <c r="AM184" s="3">
        <v>8200000</v>
      </c>
      <c r="AN184" s="3">
        <v>8200000</v>
      </c>
      <c r="AO184" s="3">
        <v>8200000</v>
      </c>
      <c r="AP184" s="3">
        <v>8200000</v>
      </c>
      <c r="AQ184" s="3"/>
      <c r="AR184" s="3"/>
      <c r="AS184" s="3"/>
      <c r="AT184" s="3"/>
      <c r="AU184" s="3"/>
      <c r="AV184" s="3"/>
      <c r="AW184" s="3">
        <f t="shared" si="9"/>
        <v>0</v>
      </c>
      <c r="AX184" s="3">
        <f t="shared" si="10"/>
        <v>49200000</v>
      </c>
      <c r="AY184" s="4">
        <f t="shared" si="11"/>
        <v>6</v>
      </c>
      <c r="AZ184" s="8" t="s">
        <v>5511</v>
      </c>
      <c r="BA184" s="4" t="s">
        <v>5727</v>
      </c>
      <c r="BB184" s="2"/>
      <c r="BC184" s="3"/>
      <c r="BD184" s="3"/>
    </row>
    <row r="185" spans="1:56" ht="16.8" customHeight="1">
      <c r="A185" s="1">
        <v>184</v>
      </c>
      <c r="B185" s="1" t="s">
        <v>42</v>
      </c>
      <c r="C185" s="1" t="s">
        <v>47</v>
      </c>
      <c r="D185" s="1" t="s">
        <v>788</v>
      </c>
      <c r="E185" s="1" t="s">
        <v>788</v>
      </c>
      <c r="F185" s="1" t="s">
        <v>789</v>
      </c>
      <c r="G185" s="1" t="s">
        <v>790</v>
      </c>
      <c r="H185" s="1" t="s">
        <v>4857</v>
      </c>
      <c r="I185" s="18">
        <v>45931</v>
      </c>
      <c r="J185" s="18">
        <v>45931</v>
      </c>
      <c r="K185" s="18" t="s">
        <v>4742</v>
      </c>
      <c r="L185" s="18" t="s">
        <v>4734</v>
      </c>
      <c r="M185" s="2">
        <v>1500000</v>
      </c>
      <c r="N185" s="2">
        <v>1500000</v>
      </c>
      <c r="O185" s="2"/>
      <c r="P185" s="2" t="str">
        <f t="shared" si="8"/>
        <v/>
      </c>
      <c r="Q185" s="2"/>
      <c r="R185" s="2"/>
      <c r="S185" s="48"/>
      <c r="T185" s="2">
        <v>4500000</v>
      </c>
      <c r="U185" s="2">
        <v>0</v>
      </c>
      <c r="V185" s="1" t="s">
        <v>790</v>
      </c>
      <c r="W185" s="6" t="s">
        <v>791</v>
      </c>
      <c r="X185" s="1" t="s">
        <v>106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>
        <v>1500000</v>
      </c>
      <c r="AI185" s="3">
        <v>1500000</v>
      </c>
      <c r="AJ185" s="3">
        <v>1500000</v>
      </c>
      <c r="AK185" s="3">
        <v>1500000</v>
      </c>
      <c r="AL185" s="3">
        <v>1500000</v>
      </c>
      <c r="AM185" s="3">
        <v>1500000</v>
      </c>
      <c r="AN185" s="3">
        <v>1500000</v>
      </c>
      <c r="AO185" s="3">
        <v>1500000</v>
      </c>
      <c r="AP185" s="3">
        <v>1500000</v>
      </c>
      <c r="AQ185" s="3"/>
      <c r="AR185" s="3"/>
      <c r="AS185" s="3"/>
      <c r="AT185" s="3"/>
      <c r="AU185" s="3"/>
      <c r="AV185" s="3"/>
      <c r="AW185" s="3">
        <f t="shared" si="9"/>
        <v>4500000</v>
      </c>
      <c r="AX185" s="3">
        <f t="shared" si="10"/>
        <v>9000000</v>
      </c>
      <c r="AY185" s="4">
        <f t="shared" si="11"/>
        <v>9</v>
      </c>
      <c r="AZ185" s="8" t="s">
        <v>5684</v>
      </c>
      <c r="BA185" s="4" t="s">
        <v>5726</v>
      </c>
      <c r="BB185" s="2"/>
      <c r="BC185" s="3"/>
      <c r="BD185" s="3"/>
    </row>
    <row r="186" spans="1:56" ht="16.8" customHeight="1">
      <c r="A186" s="1">
        <v>185</v>
      </c>
      <c r="B186" s="1" t="s">
        <v>42</v>
      </c>
      <c r="C186" s="1" t="s">
        <v>47</v>
      </c>
      <c r="D186" s="1" t="s">
        <v>792</v>
      </c>
      <c r="E186" s="1" t="s">
        <v>792</v>
      </c>
      <c r="F186" s="1" t="s">
        <v>793</v>
      </c>
      <c r="G186" s="1" t="s">
        <v>601</v>
      </c>
      <c r="H186" s="1" t="s">
        <v>4858</v>
      </c>
      <c r="I186" s="18">
        <v>45931</v>
      </c>
      <c r="J186" s="18">
        <v>45931</v>
      </c>
      <c r="K186" s="18" t="s">
        <v>4742</v>
      </c>
      <c r="L186" s="18" t="s">
        <v>4734</v>
      </c>
      <c r="M186" s="2">
        <v>1800000</v>
      </c>
      <c r="N186" s="2">
        <v>1800000</v>
      </c>
      <c r="O186" s="2"/>
      <c r="P186" s="2" t="str">
        <f t="shared" si="8"/>
        <v/>
      </c>
      <c r="Q186" s="2"/>
      <c r="R186" s="2"/>
      <c r="S186" s="48"/>
      <c r="T186" s="2">
        <v>5400000</v>
      </c>
      <c r="U186" s="2">
        <v>0</v>
      </c>
      <c r="V186" s="1" t="s">
        <v>602</v>
      </c>
      <c r="W186" s="6" t="s">
        <v>603</v>
      </c>
      <c r="X186" s="1" t="s">
        <v>115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1800000</v>
      </c>
      <c r="AI186" s="3">
        <v>1800000</v>
      </c>
      <c r="AJ186" s="3">
        <v>1800000</v>
      </c>
      <c r="AK186" s="3">
        <v>1800000</v>
      </c>
      <c r="AL186" s="3">
        <v>1800000</v>
      </c>
      <c r="AM186" s="3">
        <v>1800000</v>
      </c>
      <c r="AN186" s="3">
        <v>1800000</v>
      </c>
      <c r="AO186" s="3">
        <v>1800000</v>
      </c>
      <c r="AP186" s="3">
        <v>1800000</v>
      </c>
      <c r="AQ186" s="3"/>
      <c r="AR186" s="3"/>
      <c r="AS186" s="3"/>
      <c r="AT186" s="3"/>
      <c r="AU186" s="3"/>
      <c r="AV186" s="3"/>
      <c r="AW186" s="3">
        <f t="shared" si="9"/>
        <v>5400000</v>
      </c>
      <c r="AX186" s="3">
        <f t="shared" si="10"/>
        <v>10800000</v>
      </c>
      <c r="AY186" s="4">
        <f t="shared" si="11"/>
        <v>9</v>
      </c>
      <c r="AZ186" s="8">
        <v>0</v>
      </c>
      <c r="BA186" s="4" t="s">
        <v>5726</v>
      </c>
      <c r="BB186" s="2"/>
      <c r="BC186" s="3"/>
      <c r="BD186" s="3"/>
    </row>
    <row r="187" spans="1:56" ht="16.8" customHeight="1">
      <c r="A187" s="1">
        <v>186</v>
      </c>
      <c r="B187" s="1" t="s">
        <v>42</v>
      </c>
      <c r="C187" s="1" t="s">
        <v>43</v>
      </c>
      <c r="D187" s="1" t="s">
        <v>794</v>
      </c>
      <c r="E187" s="1" t="s">
        <v>794</v>
      </c>
      <c r="F187" s="1" t="s">
        <v>795</v>
      </c>
      <c r="G187" s="1" t="s">
        <v>796</v>
      </c>
      <c r="H187" s="1" t="s">
        <v>4859</v>
      </c>
      <c r="I187" s="18">
        <v>45931</v>
      </c>
      <c r="J187" s="18">
        <v>45931</v>
      </c>
      <c r="K187" s="18" t="s">
        <v>4752</v>
      </c>
      <c r="L187" s="18" t="s">
        <v>4734</v>
      </c>
      <c r="M187" s="2">
        <v>1200000</v>
      </c>
      <c r="N187" s="2">
        <v>1200000</v>
      </c>
      <c r="O187" s="2"/>
      <c r="P187" s="2" t="str">
        <f t="shared" si="8"/>
        <v/>
      </c>
      <c r="Q187" s="2"/>
      <c r="R187" s="2"/>
      <c r="S187" s="48"/>
      <c r="T187" s="2">
        <v>0</v>
      </c>
      <c r="U187" s="2">
        <v>3600000</v>
      </c>
      <c r="V187" s="1"/>
      <c r="W187" s="6"/>
      <c r="X187" s="1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>
        <f t="shared" si="9"/>
        <v>0</v>
      </c>
      <c r="AX187" s="3">
        <f t="shared" si="10"/>
        <v>0</v>
      </c>
      <c r="AY187" s="4">
        <f t="shared" si="11"/>
        <v>0</v>
      </c>
      <c r="AZ187" s="8" t="s">
        <v>5484</v>
      </c>
      <c r="BA187" s="4" t="s">
        <v>5715</v>
      </c>
      <c r="BB187" s="2"/>
      <c r="BC187" s="3"/>
      <c r="BD187" s="3"/>
    </row>
    <row r="188" spans="1:56" ht="16.8" customHeight="1">
      <c r="A188" s="1">
        <v>187</v>
      </c>
      <c r="B188" s="1" t="s">
        <v>42</v>
      </c>
      <c r="C188" s="1" t="s">
        <v>43</v>
      </c>
      <c r="D188" s="1" t="s">
        <v>797</v>
      </c>
      <c r="E188" s="1" t="s">
        <v>797</v>
      </c>
      <c r="F188" s="1" t="s">
        <v>798</v>
      </c>
      <c r="G188" s="1" t="s">
        <v>799</v>
      </c>
      <c r="H188" s="1" t="s">
        <v>4860</v>
      </c>
      <c r="I188" s="18">
        <v>45931</v>
      </c>
      <c r="J188" s="18">
        <v>45931</v>
      </c>
      <c r="K188" s="18" t="s">
        <v>4861</v>
      </c>
      <c r="L188" s="18" t="s">
        <v>4734</v>
      </c>
      <c r="M188" s="2">
        <v>2200000</v>
      </c>
      <c r="N188" s="2">
        <v>2200000</v>
      </c>
      <c r="O188" s="2"/>
      <c r="P188" s="2" t="str">
        <f t="shared" si="8"/>
        <v/>
      </c>
      <c r="Q188" s="2"/>
      <c r="R188" s="2"/>
      <c r="S188" s="48"/>
      <c r="T188" s="2">
        <v>0</v>
      </c>
      <c r="U188" s="2">
        <v>6000000</v>
      </c>
      <c r="V188" s="1"/>
      <c r="W188" s="6"/>
      <c r="X188" s="1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>
        <f t="shared" si="9"/>
        <v>0</v>
      </c>
      <c r="AX188" s="3">
        <f t="shared" si="10"/>
        <v>0</v>
      </c>
      <c r="AY188" s="4">
        <f t="shared" si="11"/>
        <v>0</v>
      </c>
      <c r="AZ188" s="8" t="s">
        <v>5512</v>
      </c>
      <c r="BA188" s="4" t="s">
        <v>5726</v>
      </c>
      <c r="BB188" s="2"/>
      <c r="BC188" s="3"/>
      <c r="BD188" s="4"/>
    </row>
    <row r="189" spans="1:56" ht="16.8" customHeight="1">
      <c r="A189" s="1">
        <v>188</v>
      </c>
      <c r="B189" s="1" t="s">
        <v>42</v>
      </c>
      <c r="C189" s="1" t="s">
        <v>43</v>
      </c>
      <c r="D189" s="1" t="s">
        <v>800</v>
      </c>
      <c r="E189" s="1" t="s">
        <v>800</v>
      </c>
      <c r="F189" s="1" t="s">
        <v>801</v>
      </c>
      <c r="G189" s="1" t="s">
        <v>802</v>
      </c>
      <c r="H189" s="1" t="s">
        <v>4532</v>
      </c>
      <c r="I189" s="18">
        <v>45931</v>
      </c>
      <c r="J189" s="18">
        <v>45931</v>
      </c>
      <c r="K189" s="18" t="s">
        <v>4737</v>
      </c>
      <c r="L189" s="18" t="s">
        <v>4734</v>
      </c>
      <c r="M189" s="2">
        <v>2000000</v>
      </c>
      <c r="N189" s="2">
        <v>2000000</v>
      </c>
      <c r="O189" s="2"/>
      <c r="P189" s="2" t="str">
        <f t="shared" si="8"/>
        <v/>
      </c>
      <c r="Q189" s="2"/>
      <c r="R189" s="2"/>
      <c r="S189" s="48"/>
      <c r="T189" s="2">
        <v>6000000</v>
      </c>
      <c r="U189" s="2">
        <v>0</v>
      </c>
      <c r="V189" s="1" t="s">
        <v>803</v>
      </c>
      <c r="W189" s="6" t="s">
        <v>804</v>
      </c>
      <c r="X189" s="1" t="s">
        <v>598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>
        <v>2000000</v>
      </c>
      <c r="AI189" s="3">
        <v>2000000</v>
      </c>
      <c r="AJ189" s="3">
        <v>2000000</v>
      </c>
      <c r="AK189" s="3">
        <v>2000000</v>
      </c>
      <c r="AL189" s="3">
        <v>2000000</v>
      </c>
      <c r="AM189" s="3">
        <v>2000000</v>
      </c>
      <c r="AN189" s="3">
        <v>2000000</v>
      </c>
      <c r="AO189" s="3">
        <v>2000000</v>
      </c>
      <c r="AP189" s="3">
        <v>2000000</v>
      </c>
      <c r="AQ189" s="3"/>
      <c r="AR189" s="3"/>
      <c r="AS189" s="3"/>
      <c r="AT189" s="3"/>
      <c r="AU189" s="3"/>
      <c r="AV189" s="3"/>
      <c r="AW189" s="3">
        <f t="shared" si="9"/>
        <v>6000000</v>
      </c>
      <c r="AX189" s="3">
        <f t="shared" si="10"/>
        <v>12000000</v>
      </c>
      <c r="AY189" s="4">
        <f t="shared" si="11"/>
        <v>9</v>
      </c>
      <c r="AZ189" s="8" t="s">
        <v>5685</v>
      </c>
      <c r="BA189" s="4" t="s">
        <v>5726</v>
      </c>
      <c r="BB189" s="2"/>
      <c r="BC189" s="3"/>
      <c r="BD189" s="3"/>
    </row>
    <row r="190" spans="1:56" ht="16.8" customHeight="1">
      <c r="A190" s="1">
        <v>189</v>
      </c>
      <c r="B190" s="1" t="s">
        <v>42</v>
      </c>
      <c r="C190" s="1" t="s">
        <v>47</v>
      </c>
      <c r="D190" s="1" t="s">
        <v>805</v>
      </c>
      <c r="E190" s="1" t="s">
        <v>805</v>
      </c>
      <c r="F190" s="1" t="s">
        <v>806</v>
      </c>
      <c r="G190" s="1" t="s">
        <v>228</v>
      </c>
      <c r="H190" s="1" t="s">
        <v>4862</v>
      </c>
      <c r="I190" s="18">
        <v>46387</v>
      </c>
      <c r="J190" s="18">
        <v>10</v>
      </c>
      <c r="K190" s="18">
        <v>1200000</v>
      </c>
      <c r="L190" s="18"/>
      <c r="M190" s="2">
        <v>1200000</v>
      </c>
      <c r="N190" s="2">
        <v>1200000</v>
      </c>
      <c r="O190" s="2"/>
      <c r="P190" s="2" t="str">
        <f t="shared" si="8"/>
        <v/>
      </c>
      <c r="Q190" s="2"/>
      <c r="R190" s="2"/>
      <c r="S190" s="48"/>
      <c r="T190" s="2">
        <v>0</v>
      </c>
      <c r="U190" s="2">
        <v>3600000</v>
      </c>
      <c r="V190" s="1"/>
      <c r="W190" s="6"/>
      <c r="X190" s="1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>
        <f t="shared" si="9"/>
        <v>0</v>
      </c>
      <c r="AX190" s="3">
        <f t="shared" si="10"/>
        <v>0</v>
      </c>
      <c r="AY190" s="4">
        <f t="shared" si="11"/>
        <v>0</v>
      </c>
      <c r="BA190" s="4" t="s">
        <v>5726</v>
      </c>
      <c r="BB190" s="2"/>
      <c r="BC190" s="3"/>
      <c r="BD190" s="4"/>
    </row>
    <row r="191" spans="1:56" s="26" customFormat="1" ht="16.8" customHeight="1">
      <c r="A191" s="20">
        <v>190</v>
      </c>
      <c r="B191" s="20" t="s">
        <v>42</v>
      </c>
      <c r="C191" s="1" t="s">
        <v>185</v>
      </c>
      <c r="D191" s="20" t="s">
        <v>807</v>
      </c>
      <c r="E191" s="20" t="s">
        <v>807</v>
      </c>
      <c r="F191" s="20" t="s">
        <v>808</v>
      </c>
      <c r="G191" s="20" t="s">
        <v>809</v>
      </c>
      <c r="H191" s="20" t="s">
        <v>4863</v>
      </c>
      <c r="I191" s="21">
        <v>45931</v>
      </c>
      <c r="J191" s="21">
        <v>45931</v>
      </c>
      <c r="K191" s="21" t="s">
        <v>4753</v>
      </c>
      <c r="L191" s="21" t="s">
        <v>4734</v>
      </c>
      <c r="M191" s="22">
        <v>2500000</v>
      </c>
      <c r="N191" s="22">
        <v>3000000</v>
      </c>
      <c r="O191" s="22">
        <v>3000000</v>
      </c>
      <c r="P191" s="22">
        <f t="shared" si="8"/>
        <v>500000</v>
      </c>
      <c r="Q191" s="2"/>
      <c r="R191" s="2"/>
      <c r="S191" s="48"/>
      <c r="T191" s="22">
        <v>7500000</v>
      </c>
      <c r="U191" s="22">
        <v>0</v>
      </c>
      <c r="V191" s="20" t="s">
        <v>809</v>
      </c>
      <c r="W191" s="23" t="s">
        <v>810</v>
      </c>
      <c r="X191" s="20" t="s">
        <v>324</v>
      </c>
      <c r="Y191" s="24"/>
      <c r="Z191" s="24"/>
      <c r="AA191" s="24"/>
      <c r="AB191" s="24"/>
      <c r="AC191" s="24"/>
      <c r="AD191" s="24"/>
      <c r="AE191" s="24"/>
      <c r="AF191" s="24"/>
      <c r="AG191" s="24"/>
      <c r="AH191" s="24">
        <v>2500000</v>
      </c>
      <c r="AI191" s="24">
        <v>2500000</v>
      </c>
      <c r="AJ191" s="24">
        <v>2500000</v>
      </c>
      <c r="AK191" s="24">
        <v>2500000</v>
      </c>
      <c r="AL191" s="24">
        <v>2500000</v>
      </c>
      <c r="AM191" s="24">
        <v>2500000</v>
      </c>
      <c r="AN191" s="24">
        <v>2500000</v>
      </c>
      <c r="AO191" s="24">
        <v>2500000</v>
      </c>
      <c r="AP191" s="24">
        <v>2500000</v>
      </c>
      <c r="AQ191" s="24"/>
      <c r="AR191" s="24"/>
      <c r="AS191" s="24"/>
      <c r="AT191" s="24"/>
      <c r="AU191" s="24"/>
      <c r="AV191" s="24"/>
      <c r="AW191" s="24">
        <f t="shared" si="9"/>
        <v>7500000</v>
      </c>
      <c r="AX191" s="24">
        <f t="shared" si="10"/>
        <v>15000000</v>
      </c>
      <c r="AY191" s="25">
        <f t="shared" si="11"/>
        <v>9</v>
      </c>
      <c r="AZ191" s="26">
        <v>0</v>
      </c>
      <c r="BA191" s="4" t="s">
        <v>5726</v>
      </c>
      <c r="BB191" s="22"/>
      <c r="BC191" s="3"/>
      <c r="BD191" s="24"/>
    </row>
    <row r="192" spans="1:56" ht="16.8" customHeight="1">
      <c r="A192" s="1">
        <v>191</v>
      </c>
      <c r="B192" s="1" t="s">
        <v>42</v>
      </c>
      <c r="C192" s="1" t="s">
        <v>47</v>
      </c>
      <c r="D192" s="1" t="s">
        <v>811</v>
      </c>
      <c r="E192" s="1" t="s">
        <v>811</v>
      </c>
      <c r="F192" s="1" t="s">
        <v>812</v>
      </c>
      <c r="G192" s="1" t="s">
        <v>109</v>
      </c>
      <c r="H192" s="1" t="s">
        <v>4744</v>
      </c>
      <c r="I192" s="18">
        <v>45931</v>
      </c>
      <c r="J192" s="18">
        <v>45931</v>
      </c>
      <c r="K192" s="18" t="s">
        <v>4745</v>
      </c>
      <c r="L192" s="18" t="s">
        <v>4734</v>
      </c>
      <c r="M192" s="2">
        <v>8200000</v>
      </c>
      <c r="N192" s="2">
        <v>8200000</v>
      </c>
      <c r="O192" s="2"/>
      <c r="P192" s="2" t="str">
        <f t="shared" si="8"/>
        <v/>
      </c>
      <c r="Q192" s="2"/>
      <c r="R192" s="2"/>
      <c r="S192" s="48"/>
      <c r="T192" s="2">
        <v>27060000</v>
      </c>
      <c r="U192" s="2">
        <v>0</v>
      </c>
      <c r="V192" s="1" t="s">
        <v>93</v>
      </c>
      <c r="W192" s="6" t="s">
        <v>94</v>
      </c>
      <c r="X192" s="1" t="s">
        <v>95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>
        <v>8200000</v>
      </c>
      <c r="AL192" s="3">
        <v>8200000</v>
      </c>
      <c r="AM192" s="3">
        <v>8200000</v>
      </c>
      <c r="AN192" s="3">
        <v>8200000</v>
      </c>
      <c r="AO192" s="3">
        <v>8200000</v>
      </c>
      <c r="AP192" s="3">
        <v>8200000</v>
      </c>
      <c r="AQ192" s="3"/>
      <c r="AR192" s="3"/>
      <c r="AS192" s="3"/>
      <c r="AT192" s="3"/>
      <c r="AU192" s="3"/>
      <c r="AV192" s="3"/>
      <c r="AW192" s="3">
        <f t="shared" si="9"/>
        <v>0</v>
      </c>
      <c r="AX192" s="3">
        <f t="shared" si="10"/>
        <v>49200000</v>
      </c>
      <c r="AY192" s="4">
        <f t="shared" si="11"/>
        <v>6</v>
      </c>
      <c r="AZ192" s="8" t="s">
        <v>5484</v>
      </c>
      <c r="BA192" s="4" t="s">
        <v>5727</v>
      </c>
      <c r="BB192" s="2"/>
      <c r="BC192" s="3"/>
      <c r="BD192" s="3"/>
    </row>
    <row r="193" spans="1:56" ht="16.8" customHeight="1">
      <c r="A193" s="1">
        <v>192</v>
      </c>
      <c r="B193" s="1" t="s">
        <v>42</v>
      </c>
      <c r="C193" s="1" t="s">
        <v>43</v>
      </c>
      <c r="D193" s="1" t="s">
        <v>813</v>
      </c>
      <c r="E193" s="1" t="s">
        <v>813</v>
      </c>
      <c r="F193" s="1" t="s">
        <v>814</v>
      </c>
      <c r="G193" s="1" t="s">
        <v>815</v>
      </c>
      <c r="H193" s="1" t="s">
        <v>4533</v>
      </c>
      <c r="I193" s="18">
        <v>45931</v>
      </c>
      <c r="J193" s="18">
        <v>45931</v>
      </c>
      <c r="K193" s="18" t="s">
        <v>4733</v>
      </c>
      <c r="L193" s="18" t="s">
        <v>4734</v>
      </c>
      <c r="M193" s="2">
        <v>1000000</v>
      </c>
      <c r="N193" s="2">
        <v>1000000</v>
      </c>
      <c r="O193" s="2"/>
      <c r="P193" s="2" t="str">
        <f t="shared" si="8"/>
        <v/>
      </c>
      <c r="Q193" s="2"/>
      <c r="R193" s="2"/>
      <c r="S193" s="48"/>
      <c r="T193" s="2">
        <v>3000000</v>
      </c>
      <c r="U193" s="2">
        <v>0</v>
      </c>
      <c r="V193" s="1" t="s">
        <v>146</v>
      </c>
      <c r="W193" s="6" t="s">
        <v>147</v>
      </c>
      <c r="X193" s="1" t="s">
        <v>148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>
        <v>1000000</v>
      </c>
      <c r="AI193" s="3">
        <v>1000000</v>
      </c>
      <c r="AJ193" s="3">
        <v>1000000</v>
      </c>
      <c r="AK193" s="3">
        <v>1000000</v>
      </c>
      <c r="AL193" s="3">
        <v>1000000</v>
      </c>
      <c r="AM193" s="3">
        <v>1000000</v>
      </c>
      <c r="AN193" s="3">
        <v>1000000</v>
      </c>
      <c r="AO193" s="3">
        <v>1000000</v>
      </c>
      <c r="AP193" s="3">
        <v>1000000</v>
      </c>
      <c r="AQ193" s="3"/>
      <c r="AR193" s="3"/>
      <c r="AS193" s="3"/>
      <c r="AT193" s="3"/>
      <c r="AU193" s="3"/>
      <c r="AV193" s="3"/>
      <c r="AW193" s="3">
        <f t="shared" si="9"/>
        <v>3000000</v>
      </c>
      <c r="AX193" s="3">
        <f t="shared" si="10"/>
        <v>6000000</v>
      </c>
      <c r="AY193" s="4">
        <f t="shared" si="11"/>
        <v>9</v>
      </c>
      <c r="AZ193" s="8" t="s">
        <v>5513</v>
      </c>
      <c r="BA193" s="4" t="s">
        <v>5715</v>
      </c>
      <c r="BB193" s="2"/>
      <c r="BC193" s="3"/>
      <c r="BD193" s="3"/>
    </row>
    <row r="194" spans="1:56" ht="16.8" customHeight="1">
      <c r="A194" s="1">
        <v>193</v>
      </c>
      <c r="B194" s="1" t="s">
        <v>42</v>
      </c>
      <c r="C194" s="1" t="s">
        <v>185</v>
      </c>
      <c r="D194" s="1" t="s">
        <v>816</v>
      </c>
      <c r="E194" s="1" t="s">
        <v>816</v>
      </c>
      <c r="F194" s="1" t="s">
        <v>817</v>
      </c>
      <c r="G194" s="1" t="s">
        <v>818</v>
      </c>
      <c r="H194" s="1" t="s">
        <v>4534</v>
      </c>
      <c r="I194" s="18">
        <v>45931</v>
      </c>
      <c r="J194" s="18">
        <v>45931</v>
      </c>
      <c r="K194" s="18" t="s">
        <v>4864</v>
      </c>
      <c r="L194" s="18"/>
      <c r="M194" s="2">
        <v>1700000</v>
      </c>
      <c r="N194" s="2">
        <v>1700000</v>
      </c>
      <c r="O194" s="2"/>
      <c r="P194" s="2" t="str">
        <f t="shared" ref="P194:P257" si="12">IF(OR(M194="",N194="",M194=N194),"",N194-M194)</f>
        <v/>
      </c>
      <c r="Q194" s="2"/>
      <c r="R194" s="2"/>
      <c r="S194" s="48"/>
      <c r="T194" s="2">
        <v>5100000</v>
      </c>
      <c r="U194" s="2">
        <v>0</v>
      </c>
      <c r="V194" s="1" t="s">
        <v>819</v>
      </c>
      <c r="W194" s="6" t="s">
        <v>820</v>
      </c>
      <c r="X194" s="1" t="s">
        <v>471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>
        <v>1700000</v>
      </c>
      <c r="AI194" s="3">
        <v>1700000</v>
      </c>
      <c r="AJ194" s="3">
        <v>1700000</v>
      </c>
      <c r="AK194" s="3">
        <v>1700000</v>
      </c>
      <c r="AL194" s="3">
        <v>1700000</v>
      </c>
      <c r="AM194" s="3">
        <v>1700000</v>
      </c>
      <c r="AN194" s="3">
        <v>1700000</v>
      </c>
      <c r="AO194" s="3">
        <v>1700000</v>
      </c>
      <c r="AP194" s="3">
        <v>1700000</v>
      </c>
      <c r="AQ194" s="3"/>
      <c r="AR194" s="3"/>
      <c r="AS194" s="3"/>
      <c r="AT194" s="3"/>
      <c r="AU194" s="3"/>
      <c r="AV194" s="3"/>
      <c r="AW194" s="3">
        <f t="shared" ref="AW194:AW257" si="13">SUM(Y194:AJ194)</f>
        <v>5100000</v>
      </c>
      <c r="AX194" s="3">
        <f t="shared" ref="AX194:AX257" si="14">SUM(AK194:AV194)</f>
        <v>10200000</v>
      </c>
      <c r="AY194" s="4">
        <f t="shared" ref="AY194:AY257" si="15">COUNT(Y194:AV194)</f>
        <v>9</v>
      </c>
      <c r="BA194" s="4" t="s">
        <v>5715</v>
      </c>
      <c r="BB194" s="2"/>
      <c r="BC194" s="3"/>
      <c r="BD194" s="3"/>
    </row>
    <row r="195" spans="1:56" ht="16.8" customHeight="1">
      <c r="A195" s="1">
        <v>194</v>
      </c>
      <c r="B195" s="1" t="s">
        <v>42</v>
      </c>
      <c r="C195" s="1" t="s">
        <v>185</v>
      </c>
      <c r="D195" s="1" t="s">
        <v>821</v>
      </c>
      <c r="E195" s="1" t="s">
        <v>821</v>
      </c>
      <c r="F195" s="1" t="s">
        <v>822</v>
      </c>
      <c r="G195" s="1" t="s">
        <v>823</v>
      </c>
      <c r="H195" s="1" t="s">
        <v>4865</v>
      </c>
      <c r="I195" s="18">
        <v>48580</v>
      </c>
      <c r="J195" s="18">
        <v>20</v>
      </c>
      <c r="K195" s="18">
        <v>1200000</v>
      </c>
      <c r="L195" s="18"/>
      <c r="M195" s="2">
        <v>1200000</v>
      </c>
      <c r="N195" s="2">
        <v>1200000</v>
      </c>
      <c r="O195" s="2"/>
      <c r="P195" s="2" t="str">
        <f t="shared" si="12"/>
        <v/>
      </c>
      <c r="Q195" s="2"/>
      <c r="R195" s="2"/>
      <c r="S195" s="48"/>
      <c r="T195" s="2">
        <v>3600000</v>
      </c>
      <c r="U195" s="2">
        <v>0</v>
      </c>
      <c r="V195" s="1" t="s">
        <v>823</v>
      </c>
      <c r="W195" s="6" t="s">
        <v>824</v>
      </c>
      <c r="X195" s="1" t="s">
        <v>137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>
        <v>1200000</v>
      </c>
      <c r="AI195" s="3">
        <v>1200000</v>
      </c>
      <c r="AJ195" s="3">
        <v>1200000</v>
      </c>
      <c r="AK195" s="3">
        <v>1200000</v>
      </c>
      <c r="AL195" s="3">
        <v>1200000</v>
      </c>
      <c r="AM195" s="3">
        <v>1200000</v>
      </c>
      <c r="AN195" s="3">
        <v>1200000</v>
      </c>
      <c r="AO195" s="3">
        <v>1200000</v>
      </c>
      <c r="AP195" s="3">
        <v>1200000</v>
      </c>
      <c r="AQ195" s="3"/>
      <c r="AR195" s="3"/>
      <c r="AS195" s="3"/>
      <c r="AT195" s="3"/>
      <c r="AU195" s="3"/>
      <c r="AV195" s="3"/>
      <c r="AW195" s="3">
        <f t="shared" si="13"/>
        <v>3600000</v>
      </c>
      <c r="AX195" s="3">
        <f t="shared" si="14"/>
        <v>7200000</v>
      </c>
      <c r="AY195" s="4">
        <f t="shared" si="15"/>
        <v>9</v>
      </c>
      <c r="BA195" s="4" t="s">
        <v>5715</v>
      </c>
      <c r="BB195" s="2"/>
      <c r="BC195" s="3"/>
      <c r="BD195" s="3"/>
    </row>
    <row r="196" spans="1:56" ht="16.8" customHeight="1">
      <c r="A196" s="1">
        <v>195</v>
      </c>
      <c r="B196" s="1" t="s">
        <v>42</v>
      </c>
      <c r="C196" s="1" t="s">
        <v>185</v>
      </c>
      <c r="D196" s="1" t="s">
        <v>825</v>
      </c>
      <c r="E196" s="1" t="s">
        <v>825</v>
      </c>
      <c r="F196" s="1" t="s">
        <v>826</v>
      </c>
      <c r="G196" s="1" t="s">
        <v>827</v>
      </c>
      <c r="H196" s="1" t="s">
        <v>4866</v>
      </c>
      <c r="I196" s="18">
        <v>45444</v>
      </c>
      <c r="J196" s="18">
        <v>10</v>
      </c>
      <c r="K196" s="18">
        <v>1500000</v>
      </c>
      <c r="L196" s="18"/>
      <c r="M196" s="2">
        <v>1500000</v>
      </c>
      <c r="N196" s="2">
        <v>1500000</v>
      </c>
      <c r="O196" s="2"/>
      <c r="P196" s="2" t="str">
        <f t="shared" si="12"/>
        <v/>
      </c>
      <c r="Q196" s="2"/>
      <c r="R196" s="2"/>
      <c r="S196" s="48"/>
      <c r="T196" s="2">
        <v>4500000</v>
      </c>
      <c r="U196" s="2">
        <v>0</v>
      </c>
      <c r="V196" s="1" t="s">
        <v>827</v>
      </c>
      <c r="W196" s="6" t="s">
        <v>828</v>
      </c>
      <c r="X196" s="1" t="s">
        <v>333</v>
      </c>
      <c r="Y196" s="3"/>
      <c r="Z196" s="3"/>
      <c r="AA196" s="3"/>
      <c r="AB196" s="3"/>
      <c r="AC196" s="3"/>
      <c r="AD196" s="3"/>
      <c r="AE196" s="3"/>
      <c r="AF196" s="3"/>
      <c r="AG196" s="3"/>
      <c r="AH196" s="3">
        <v>1500000</v>
      </c>
      <c r="AI196" s="3">
        <v>1500000</v>
      </c>
      <c r="AJ196" s="3">
        <v>1500000</v>
      </c>
      <c r="AK196" s="3">
        <v>1500000</v>
      </c>
      <c r="AL196" s="3">
        <v>1500000</v>
      </c>
      <c r="AM196" s="3">
        <v>1500000</v>
      </c>
      <c r="AN196" s="3">
        <v>1500000</v>
      </c>
      <c r="AO196" s="3">
        <v>1500000</v>
      </c>
      <c r="AP196" s="3">
        <v>1500000</v>
      </c>
      <c r="AQ196" s="3"/>
      <c r="AR196" s="3"/>
      <c r="AS196" s="3"/>
      <c r="AT196" s="3"/>
      <c r="AU196" s="3"/>
      <c r="AV196" s="3"/>
      <c r="AW196" s="3">
        <f t="shared" si="13"/>
        <v>4500000</v>
      </c>
      <c r="AX196" s="3">
        <f t="shared" si="14"/>
        <v>9000000</v>
      </c>
      <c r="AY196" s="4">
        <f t="shared" si="15"/>
        <v>9</v>
      </c>
      <c r="BA196" s="4" t="s">
        <v>5715</v>
      </c>
      <c r="BB196" s="2"/>
      <c r="BC196" s="3"/>
      <c r="BD196" s="3"/>
    </row>
    <row r="197" spans="1:56" ht="16.8" customHeight="1">
      <c r="A197" s="1">
        <v>196</v>
      </c>
      <c r="B197" s="1" t="s">
        <v>42</v>
      </c>
      <c r="C197" s="1" t="s">
        <v>185</v>
      </c>
      <c r="D197" s="1" t="s">
        <v>829</v>
      </c>
      <c r="E197" s="1" t="s">
        <v>829</v>
      </c>
      <c r="F197" s="1" t="s">
        <v>830</v>
      </c>
      <c r="G197" s="1" t="s">
        <v>831</v>
      </c>
      <c r="H197" s="1" t="s">
        <v>4867</v>
      </c>
      <c r="I197" s="18">
        <v>47482</v>
      </c>
      <c r="J197" s="18">
        <v>10</v>
      </c>
      <c r="K197" s="18"/>
      <c r="L197" s="18"/>
      <c r="M197" s="2">
        <v>3000000</v>
      </c>
      <c r="N197" s="2">
        <v>3000000</v>
      </c>
      <c r="O197" s="2"/>
      <c r="P197" s="2" t="str">
        <f t="shared" si="12"/>
        <v/>
      </c>
      <c r="Q197" s="2"/>
      <c r="R197" s="2"/>
      <c r="S197" s="48"/>
      <c r="T197" s="2">
        <v>9000000</v>
      </c>
      <c r="U197" s="2">
        <v>0</v>
      </c>
      <c r="V197" s="1" t="s">
        <v>652</v>
      </c>
      <c r="W197" s="6" t="s">
        <v>653</v>
      </c>
      <c r="X197" s="1" t="s">
        <v>89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>
        <v>3000000</v>
      </c>
      <c r="AI197" s="3">
        <v>3000000</v>
      </c>
      <c r="AJ197" s="3">
        <v>3000000</v>
      </c>
      <c r="AK197" s="3">
        <v>3000000</v>
      </c>
      <c r="AL197" s="3">
        <v>3000000</v>
      </c>
      <c r="AM197" s="3">
        <v>3000000</v>
      </c>
      <c r="AN197" s="3">
        <v>3000000</v>
      </c>
      <c r="AO197" s="3">
        <v>3000000</v>
      </c>
      <c r="AP197" s="3">
        <v>3000000</v>
      </c>
      <c r="AQ197" s="3"/>
      <c r="AR197" s="3"/>
      <c r="AS197" s="3"/>
      <c r="AT197" s="3"/>
      <c r="AU197" s="3"/>
      <c r="AV197" s="3"/>
      <c r="AW197" s="3">
        <f t="shared" si="13"/>
        <v>9000000</v>
      </c>
      <c r="AX197" s="3">
        <f t="shared" si="14"/>
        <v>18000000</v>
      </c>
      <c r="AY197" s="4">
        <f t="shared" si="15"/>
        <v>9</v>
      </c>
      <c r="BA197" s="4" t="s">
        <v>5715</v>
      </c>
      <c r="BB197" s="2"/>
      <c r="BC197" s="3"/>
      <c r="BD197" s="3"/>
    </row>
    <row r="198" spans="1:56" ht="16.8" customHeight="1">
      <c r="A198" s="1">
        <v>197</v>
      </c>
      <c r="B198" s="1" t="s">
        <v>42</v>
      </c>
      <c r="C198" s="1" t="s">
        <v>47</v>
      </c>
      <c r="D198" s="1" t="s">
        <v>832</v>
      </c>
      <c r="E198" s="1" t="s">
        <v>832</v>
      </c>
      <c r="F198" s="1" t="s">
        <v>833</v>
      </c>
      <c r="G198" s="1" t="s">
        <v>109</v>
      </c>
      <c r="H198" s="1" t="s">
        <v>4744</v>
      </c>
      <c r="I198" s="18">
        <v>45931</v>
      </c>
      <c r="J198" s="18">
        <v>45931</v>
      </c>
      <c r="K198" s="18" t="s">
        <v>4745</v>
      </c>
      <c r="L198" s="18" t="s">
        <v>4734</v>
      </c>
      <c r="M198" s="2">
        <v>8200000</v>
      </c>
      <c r="N198" s="2">
        <v>8200000</v>
      </c>
      <c r="O198" s="2"/>
      <c r="P198" s="2" t="str">
        <f t="shared" si="12"/>
        <v/>
      </c>
      <c r="Q198" s="2"/>
      <c r="R198" s="2"/>
      <c r="S198" s="48"/>
      <c r="T198" s="2">
        <v>27060000</v>
      </c>
      <c r="U198" s="2">
        <v>0</v>
      </c>
      <c r="V198" s="1" t="s">
        <v>93</v>
      </c>
      <c r="W198" s="6" t="s">
        <v>94</v>
      </c>
      <c r="X198" s="1" t="s">
        <v>95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>
        <v>8200000</v>
      </c>
      <c r="AL198" s="3">
        <v>8200000</v>
      </c>
      <c r="AM198" s="3">
        <v>8200000</v>
      </c>
      <c r="AN198" s="3">
        <v>8200000</v>
      </c>
      <c r="AO198" s="3">
        <v>8200000</v>
      </c>
      <c r="AP198" s="3">
        <v>8200000</v>
      </c>
      <c r="AQ198" s="3"/>
      <c r="AR198" s="3"/>
      <c r="AS198" s="3"/>
      <c r="AT198" s="3"/>
      <c r="AU198" s="3"/>
      <c r="AV198" s="3"/>
      <c r="AW198" s="3">
        <f t="shared" si="13"/>
        <v>0</v>
      </c>
      <c r="AX198" s="3">
        <f t="shared" si="14"/>
        <v>49200000</v>
      </c>
      <c r="AY198" s="4">
        <f t="shared" si="15"/>
        <v>6</v>
      </c>
      <c r="AZ198" s="8" t="s">
        <v>5484</v>
      </c>
      <c r="BA198" s="4" t="s">
        <v>5727</v>
      </c>
      <c r="BB198" s="2"/>
      <c r="BC198" s="3"/>
      <c r="BD198" s="3"/>
    </row>
    <row r="199" spans="1:56" ht="16.8" customHeight="1">
      <c r="A199" s="1">
        <v>198</v>
      </c>
      <c r="B199" s="1" t="s">
        <v>42</v>
      </c>
      <c r="C199" s="1" t="s">
        <v>47</v>
      </c>
      <c r="D199" s="1" t="s">
        <v>834</v>
      </c>
      <c r="E199" s="1" t="s">
        <v>834</v>
      </c>
      <c r="F199" s="1" t="s">
        <v>835</v>
      </c>
      <c r="G199" s="1" t="s">
        <v>836</v>
      </c>
      <c r="H199" s="1" t="s">
        <v>4868</v>
      </c>
      <c r="I199" s="18">
        <v>47665</v>
      </c>
      <c r="J199" s="18">
        <v>10</v>
      </c>
      <c r="K199" s="18">
        <v>2000000</v>
      </c>
      <c r="L199" s="18"/>
      <c r="M199" s="2">
        <v>2000000</v>
      </c>
      <c r="N199" s="2">
        <v>2000000</v>
      </c>
      <c r="O199" s="2"/>
      <c r="P199" s="2" t="str">
        <f t="shared" si="12"/>
        <v/>
      </c>
      <c r="Q199" s="2"/>
      <c r="R199" s="2"/>
      <c r="S199" s="48"/>
      <c r="T199" s="2">
        <v>0</v>
      </c>
      <c r="U199" s="2">
        <v>6000000</v>
      </c>
      <c r="V199" s="1"/>
      <c r="W199" s="6"/>
      <c r="X199" s="1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>
        <f t="shared" si="13"/>
        <v>0</v>
      </c>
      <c r="AX199" s="3">
        <f t="shared" si="14"/>
        <v>0</v>
      </c>
      <c r="AY199" s="4">
        <f t="shared" si="15"/>
        <v>0</v>
      </c>
      <c r="BA199" s="4" t="s">
        <v>5726</v>
      </c>
      <c r="BB199" s="2"/>
      <c r="BC199" s="3"/>
      <c r="BD199" s="4"/>
    </row>
    <row r="200" spans="1:56" ht="16.8" customHeight="1">
      <c r="A200" s="1">
        <v>199</v>
      </c>
      <c r="B200" s="1" t="s">
        <v>42</v>
      </c>
      <c r="C200" s="1" t="s">
        <v>47</v>
      </c>
      <c r="D200" s="1" t="s">
        <v>837</v>
      </c>
      <c r="E200" s="1" t="s">
        <v>837</v>
      </c>
      <c r="F200" s="1" t="s">
        <v>838</v>
      </c>
      <c r="G200" s="1" t="s">
        <v>839</v>
      </c>
      <c r="H200" s="1" t="s">
        <v>4869</v>
      </c>
      <c r="I200" s="18">
        <v>45931</v>
      </c>
      <c r="J200" s="18">
        <v>45931</v>
      </c>
      <c r="K200" s="18" t="s">
        <v>4742</v>
      </c>
      <c r="L200" s="18" t="s">
        <v>4734</v>
      </c>
      <c r="M200" s="2">
        <v>1200000</v>
      </c>
      <c r="N200" s="2">
        <v>1200000</v>
      </c>
      <c r="O200" s="2"/>
      <c r="P200" s="2" t="str">
        <f t="shared" si="12"/>
        <v/>
      </c>
      <c r="Q200" s="2"/>
      <c r="R200" s="2"/>
      <c r="S200" s="48"/>
      <c r="T200" s="2">
        <v>3600000</v>
      </c>
      <c r="U200" s="2">
        <v>0</v>
      </c>
      <c r="V200" s="1" t="s">
        <v>328</v>
      </c>
      <c r="W200" s="6" t="s">
        <v>329</v>
      </c>
      <c r="X200" s="1" t="s">
        <v>333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>
        <v>1200000</v>
      </c>
      <c r="AI200" s="3">
        <v>1200000</v>
      </c>
      <c r="AJ200" s="3">
        <v>1200000</v>
      </c>
      <c r="AK200" s="3">
        <v>1200000</v>
      </c>
      <c r="AL200" s="3">
        <v>1200000</v>
      </c>
      <c r="AM200" s="3">
        <v>1200000</v>
      </c>
      <c r="AN200" s="3">
        <v>1200000</v>
      </c>
      <c r="AO200" s="3">
        <v>1200000</v>
      </c>
      <c r="AP200" s="3">
        <v>1200000</v>
      </c>
      <c r="AQ200" s="3"/>
      <c r="AR200" s="3"/>
      <c r="AS200" s="3"/>
      <c r="AT200" s="3"/>
      <c r="AU200" s="3"/>
      <c r="AV200" s="3"/>
      <c r="AW200" s="3">
        <f t="shared" si="13"/>
        <v>3600000</v>
      </c>
      <c r="AX200" s="3">
        <f t="shared" si="14"/>
        <v>7200000</v>
      </c>
      <c r="AY200" s="4">
        <f t="shared" si="15"/>
        <v>9</v>
      </c>
      <c r="AZ200" s="8">
        <v>0</v>
      </c>
      <c r="BA200" s="4" t="s">
        <v>5726</v>
      </c>
      <c r="BB200" s="2"/>
      <c r="BC200" s="3"/>
      <c r="BD200" s="3"/>
    </row>
    <row r="201" spans="1:56" ht="16.8" customHeight="1">
      <c r="A201" s="1">
        <v>200</v>
      </c>
      <c r="B201" s="1" t="s">
        <v>42</v>
      </c>
      <c r="C201" s="1" t="s">
        <v>185</v>
      </c>
      <c r="D201" s="1" t="s">
        <v>840</v>
      </c>
      <c r="E201" s="1" t="s">
        <v>840</v>
      </c>
      <c r="F201" s="1" t="s">
        <v>841</v>
      </c>
      <c r="G201" s="1" t="s">
        <v>842</v>
      </c>
      <c r="H201" s="1" t="s">
        <v>4870</v>
      </c>
      <c r="I201" s="18">
        <v>45931</v>
      </c>
      <c r="J201" s="18">
        <v>45931</v>
      </c>
      <c r="K201" s="18" t="s">
        <v>4742</v>
      </c>
      <c r="L201" s="18" t="s">
        <v>4734</v>
      </c>
      <c r="M201" s="2">
        <v>3500000</v>
      </c>
      <c r="N201" s="2">
        <v>3500000</v>
      </c>
      <c r="O201" s="2"/>
      <c r="P201" s="2" t="str">
        <f t="shared" si="12"/>
        <v/>
      </c>
      <c r="Q201" s="2"/>
      <c r="R201" s="2"/>
      <c r="S201" s="48"/>
      <c r="T201" s="2">
        <v>10500000</v>
      </c>
      <c r="U201" s="2">
        <v>0</v>
      </c>
      <c r="V201" s="1" t="s">
        <v>843</v>
      </c>
      <c r="W201" s="6" t="s">
        <v>844</v>
      </c>
      <c r="X201" s="1" t="s">
        <v>845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>
        <v>3500000</v>
      </c>
      <c r="AI201" s="3">
        <v>3500000</v>
      </c>
      <c r="AJ201" s="3">
        <v>3500000</v>
      </c>
      <c r="AK201" s="3">
        <v>3500000</v>
      </c>
      <c r="AL201" s="3">
        <v>3500000</v>
      </c>
      <c r="AM201" s="3">
        <v>3500000</v>
      </c>
      <c r="AN201" s="3">
        <v>3500000</v>
      </c>
      <c r="AO201" s="3">
        <v>3500000</v>
      </c>
      <c r="AP201" s="3">
        <v>3500000</v>
      </c>
      <c r="AQ201" s="3"/>
      <c r="AR201" s="3"/>
      <c r="AS201" s="3"/>
      <c r="AT201" s="3"/>
      <c r="AU201" s="3"/>
      <c r="AV201" s="3"/>
      <c r="AW201" s="3">
        <f t="shared" si="13"/>
        <v>10500000</v>
      </c>
      <c r="AX201" s="3">
        <f t="shared" si="14"/>
        <v>21000000</v>
      </c>
      <c r="AY201" s="4">
        <f t="shared" si="15"/>
        <v>9</v>
      </c>
      <c r="AZ201" s="8" t="s">
        <v>5514</v>
      </c>
      <c r="BA201" s="4" t="s">
        <v>5715</v>
      </c>
      <c r="BB201" s="2"/>
      <c r="BC201" s="3"/>
      <c r="BD201" s="3"/>
    </row>
    <row r="202" spans="1:56" ht="16.8" customHeight="1">
      <c r="A202" s="1">
        <v>201</v>
      </c>
      <c r="B202" s="1" t="s">
        <v>42</v>
      </c>
      <c r="C202" s="1" t="s">
        <v>47</v>
      </c>
      <c r="D202" s="1" t="s">
        <v>846</v>
      </c>
      <c r="E202" s="1" t="s">
        <v>846</v>
      </c>
      <c r="F202" s="1" t="s">
        <v>847</v>
      </c>
      <c r="G202" s="1" t="s">
        <v>848</v>
      </c>
      <c r="H202" s="1" t="s">
        <v>4871</v>
      </c>
      <c r="I202" s="18">
        <v>45931</v>
      </c>
      <c r="J202" s="18">
        <v>45931</v>
      </c>
      <c r="K202" s="18" t="s">
        <v>4742</v>
      </c>
      <c r="L202" s="18" t="s">
        <v>4734</v>
      </c>
      <c r="M202" s="2">
        <v>1600000</v>
      </c>
      <c r="N202" s="2">
        <v>1600000</v>
      </c>
      <c r="O202" s="2"/>
      <c r="P202" s="2" t="str">
        <f t="shared" si="12"/>
        <v/>
      </c>
      <c r="Q202" s="2"/>
      <c r="R202" s="2"/>
      <c r="S202" s="48"/>
      <c r="T202" s="2">
        <v>4800000</v>
      </c>
      <c r="U202" s="2">
        <v>0</v>
      </c>
      <c r="V202" s="1" t="s">
        <v>168</v>
      </c>
      <c r="W202" s="6" t="s">
        <v>169</v>
      </c>
      <c r="X202" s="1" t="s">
        <v>170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>
        <v>1600000</v>
      </c>
      <c r="AI202" s="3">
        <v>1600000</v>
      </c>
      <c r="AJ202" s="3">
        <v>1600000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>
        <f t="shared" si="13"/>
        <v>4800000</v>
      </c>
      <c r="AX202" s="3">
        <f t="shared" si="14"/>
        <v>0</v>
      </c>
      <c r="AY202" s="4">
        <f t="shared" si="15"/>
        <v>3</v>
      </c>
      <c r="AZ202" s="8" t="s">
        <v>5515</v>
      </c>
      <c r="BA202" s="4" t="s">
        <v>5726</v>
      </c>
      <c r="BB202" s="2"/>
      <c r="BC202" s="3"/>
      <c r="BD202" s="4"/>
    </row>
    <row r="203" spans="1:56" ht="16.8" customHeight="1">
      <c r="A203" s="1">
        <v>202</v>
      </c>
      <c r="B203" s="1" t="s">
        <v>42</v>
      </c>
      <c r="C203" s="1" t="s">
        <v>43</v>
      </c>
      <c r="D203" s="1" t="s">
        <v>849</v>
      </c>
      <c r="E203" s="1" t="s">
        <v>849</v>
      </c>
      <c r="F203" s="1" t="s">
        <v>850</v>
      </c>
      <c r="G203" s="1" t="s">
        <v>851</v>
      </c>
      <c r="H203" s="1" t="s">
        <v>4872</v>
      </c>
      <c r="I203" s="18">
        <v>45931</v>
      </c>
      <c r="J203" s="18">
        <v>45931</v>
      </c>
      <c r="K203" s="18" t="s">
        <v>4733</v>
      </c>
      <c r="L203" s="18" t="s">
        <v>4734</v>
      </c>
      <c r="M203" s="2">
        <v>3500000</v>
      </c>
      <c r="N203" s="2">
        <v>3500000</v>
      </c>
      <c r="O203" s="2"/>
      <c r="P203" s="2" t="str">
        <f t="shared" si="12"/>
        <v/>
      </c>
      <c r="Q203" s="2"/>
      <c r="R203" s="2"/>
      <c r="S203" s="48"/>
      <c r="T203" s="2">
        <v>10500000</v>
      </c>
      <c r="U203" s="2">
        <v>0</v>
      </c>
      <c r="V203" s="1" t="s">
        <v>852</v>
      </c>
      <c r="W203" s="6" t="s">
        <v>853</v>
      </c>
      <c r="X203" s="1" t="s">
        <v>164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>
        <v>3500000</v>
      </c>
      <c r="AI203" s="3">
        <v>3500000</v>
      </c>
      <c r="AJ203" s="3">
        <v>3500000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>
        <f t="shared" si="13"/>
        <v>10500000</v>
      </c>
      <c r="AX203" s="3">
        <f t="shared" si="14"/>
        <v>0</v>
      </c>
      <c r="AY203" s="4">
        <f t="shared" si="15"/>
        <v>3</v>
      </c>
      <c r="AZ203" s="8" t="s">
        <v>5686</v>
      </c>
      <c r="BA203" s="4" t="s">
        <v>5726</v>
      </c>
      <c r="BB203" s="2"/>
      <c r="BC203" s="3"/>
      <c r="BD203" s="4"/>
    </row>
    <row r="204" spans="1:56" ht="16.8" customHeight="1">
      <c r="A204" s="1">
        <v>203</v>
      </c>
      <c r="B204" s="1" t="s">
        <v>42</v>
      </c>
      <c r="C204" s="1" t="s">
        <v>47</v>
      </c>
      <c r="D204" s="1" t="s">
        <v>854</v>
      </c>
      <c r="E204" s="1" t="s">
        <v>854</v>
      </c>
      <c r="F204" s="1" t="s">
        <v>855</v>
      </c>
      <c r="G204" s="1" t="s">
        <v>856</v>
      </c>
      <c r="H204" s="1" t="s">
        <v>4873</v>
      </c>
      <c r="I204" s="18">
        <v>45931</v>
      </c>
      <c r="J204" s="18">
        <v>45931</v>
      </c>
      <c r="K204" s="18" t="s">
        <v>4787</v>
      </c>
      <c r="L204" s="18" t="s">
        <v>4734</v>
      </c>
      <c r="M204" s="2">
        <v>1200000</v>
      </c>
      <c r="N204" s="2">
        <v>1200000</v>
      </c>
      <c r="O204" s="2"/>
      <c r="P204" s="2" t="str">
        <f t="shared" si="12"/>
        <v/>
      </c>
      <c r="Q204" s="2"/>
      <c r="R204" s="2"/>
      <c r="S204" s="48"/>
      <c r="T204" s="2">
        <v>3600000</v>
      </c>
      <c r="U204" s="2">
        <v>0</v>
      </c>
      <c r="V204" s="1" t="s">
        <v>328</v>
      </c>
      <c r="W204" s="6" t="s">
        <v>329</v>
      </c>
      <c r="X204" s="1" t="s">
        <v>333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>
        <v>1200000</v>
      </c>
      <c r="AI204" s="3">
        <v>1200000</v>
      </c>
      <c r="AJ204" s="3">
        <v>1200000</v>
      </c>
      <c r="AK204" s="3">
        <v>1200000</v>
      </c>
      <c r="AL204" s="3">
        <v>1200000</v>
      </c>
      <c r="AM204" s="3">
        <v>1200000</v>
      </c>
      <c r="AN204" s="3">
        <v>1200000</v>
      </c>
      <c r="AO204" s="3">
        <v>1200000</v>
      </c>
      <c r="AP204" s="3">
        <v>1200000</v>
      </c>
      <c r="AQ204" s="3"/>
      <c r="AR204" s="3"/>
      <c r="AS204" s="3"/>
      <c r="AT204" s="3"/>
      <c r="AU204" s="3"/>
      <c r="AV204" s="3"/>
      <c r="AW204" s="3">
        <f t="shared" si="13"/>
        <v>3600000</v>
      </c>
      <c r="AX204" s="3">
        <f t="shared" si="14"/>
        <v>7200000</v>
      </c>
      <c r="AY204" s="4">
        <f t="shared" si="15"/>
        <v>9</v>
      </c>
      <c r="AZ204" s="8">
        <v>0</v>
      </c>
      <c r="BA204" s="4" t="s">
        <v>5726</v>
      </c>
      <c r="BB204" s="2"/>
      <c r="BC204" s="3"/>
      <c r="BD204" s="3"/>
    </row>
    <row r="205" spans="1:56" ht="16.8" customHeight="1">
      <c r="A205" s="1">
        <v>204</v>
      </c>
      <c r="B205" s="1" t="s">
        <v>42</v>
      </c>
      <c r="C205" s="1" t="s">
        <v>47</v>
      </c>
      <c r="D205" s="1" t="s">
        <v>857</v>
      </c>
      <c r="E205" s="1" t="s">
        <v>857</v>
      </c>
      <c r="F205" s="1" t="s">
        <v>858</v>
      </c>
      <c r="G205" s="1" t="s">
        <v>859</v>
      </c>
      <c r="H205" s="1" t="s">
        <v>1150</v>
      </c>
      <c r="I205" s="18">
        <v>45931</v>
      </c>
      <c r="J205" s="18">
        <v>45931</v>
      </c>
      <c r="K205" s="18" t="s">
        <v>4787</v>
      </c>
      <c r="L205" s="18" t="s">
        <v>4734</v>
      </c>
      <c r="M205" s="2">
        <v>1000000</v>
      </c>
      <c r="N205" s="2">
        <v>1000000</v>
      </c>
      <c r="O205" s="2">
        <v>1400000</v>
      </c>
      <c r="P205" s="2" t="str">
        <f t="shared" si="12"/>
        <v/>
      </c>
      <c r="Q205" s="2"/>
      <c r="R205" s="2"/>
      <c r="S205" s="48"/>
      <c r="T205" s="2">
        <v>3000000</v>
      </c>
      <c r="U205" s="2">
        <v>0</v>
      </c>
      <c r="V205" s="1" t="s">
        <v>328</v>
      </c>
      <c r="W205" s="6" t="s">
        <v>329</v>
      </c>
      <c r="X205" s="1" t="s">
        <v>333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>
        <v>1000000</v>
      </c>
      <c r="AI205" s="3">
        <v>1000000</v>
      </c>
      <c r="AJ205" s="3">
        <v>1000000</v>
      </c>
      <c r="AK205" s="3">
        <v>1000000</v>
      </c>
      <c r="AL205" s="3">
        <v>1000000</v>
      </c>
      <c r="AM205" s="3">
        <v>1000000</v>
      </c>
      <c r="AN205" s="3">
        <v>1000000</v>
      </c>
      <c r="AO205" s="3">
        <v>1000000</v>
      </c>
      <c r="AP205" s="3">
        <v>1000000</v>
      </c>
      <c r="AQ205" s="3"/>
      <c r="AR205" s="3"/>
      <c r="AS205" s="3"/>
      <c r="AT205" s="3"/>
      <c r="AU205" s="3"/>
      <c r="AV205" s="3"/>
      <c r="AW205" s="3">
        <f t="shared" si="13"/>
        <v>3000000</v>
      </c>
      <c r="AX205" s="3">
        <f t="shared" si="14"/>
        <v>6000000</v>
      </c>
      <c r="AY205" s="4">
        <f t="shared" si="15"/>
        <v>9</v>
      </c>
      <c r="AZ205" s="8">
        <v>0</v>
      </c>
      <c r="BA205" s="4" t="s">
        <v>5726</v>
      </c>
      <c r="BB205" s="2"/>
      <c r="BC205" s="3"/>
      <c r="BD205" s="3"/>
    </row>
    <row r="206" spans="1:56" ht="16.8" customHeight="1">
      <c r="A206" s="1">
        <v>205</v>
      </c>
      <c r="B206" s="1" t="s">
        <v>42</v>
      </c>
      <c r="C206" s="1" t="s">
        <v>185</v>
      </c>
      <c r="D206" s="1" t="s">
        <v>860</v>
      </c>
      <c r="E206" s="1" t="s">
        <v>860</v>
      </c>
      <c r="F206" s="1" t="s">
        <v>861</v>
      </c>
      <c r="G206" s="1" t="s">
        <v>862</v>
      </c>
      <c r="H206" s="1" t="s">
        <v>4874</v>
      </c>
      <c r="I206" s="18">
        <v>46193</v>
      </c>
      <c r="J206" s="18">
        <v>10</v>
      </c>
      <c r="K206" s="18">
        <v>1500000</v>
      </c>
      <c r="L206" s="18"/>
      <c r="M206" s="2">
        <v>1500000</v>
      </c>
      <c r="N206" s="2">
        <v>1500000</v>
      </c>
      <c r="O206" s="2"/>
      <c r="P206" s="2" t="str">
        <f t="shared" si="12"/>
        <v/>
      </c>
      <c r="Q206" s="2"/>
      <c r="R206" s="2"/>
      <c r="S206" s="48"/>
      <c r="T206" s="2">
        <v>4500000</v>
      </c>
      <c r="U206" s="2">
        <v>0</v>
      </c>
      <c r="V206" s="1" t="s">
        <v>862</v>
      </c>
      <c r="W206" s="6" t="s">
        <v>863</v>
      </c>
      <c r="X206" s="1" t="s">
        <v>137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>
        <v>1500000</v>
      </c>
      <c r="AI206" s="3">
        <v>1500000</v>
      </c>
      <c r="AJ206" s="3">
        <v>1500000</v>
      </c>
      <c r="AK206" s="3">
        <v>1500000</v>
      </c>
      <c r="AL206" s="3">
        <v>1500000</v>
      </c>
      <c r="AM206" s="3">
        <v>1500000</v>
      </c>
      <c r="AN206" s="3">
        <v>1500000</v>
      </c>
      <c r="AO206" s="3">
        <v>1500000</v>
      </c>
      <c r="AP206" s="3">
        <v>1500000</v>
      </c>
      <c r="AQ206" s="3"/>
      <c r="AR206" s="3"/>
      <c r="AS206" s="3"/>
      <c r="AT206" s="3"/>
      <c r="AU206" s="3"/>
      <c r="AV206" s="3"/>
      <c r="AW206" s="3">
        <f t="shared" si="13"/>
        <v>4500000</v>
      </c>
      <c r="AX206" s="3">
        <f t="shared" si="14"/>
        <v>9000000</v>
      </c>
      <c r="AY206" s="4">
        <f t="shared" si="15"/>
        <v>9</v>
      </c>
      <c r="BA206" s="4" t="s">
        <v>5715</v>
      </c>
      <c r="BB206" s="2"/>
      <c r="BC206" s="3"/>
      <c r="BD206" s="3"/>
    </row>
    <row r="207" spans="1:56" ht="16.8" customHeight="1">
      <c r="A207" s="1">
        <v>206</v>
      </c>
      <c r="B207" s="1" t="s">
        <v>42</v>
      </c>
      <c r="C207" s="1" t="s">
        <v>43</v>
      </c>
      <c r="D207" s="1" t="s">
        <v>864</v>
      </c>
      <c r="E207" s="1" t="s">
        <v>864</v>
      </c>
      <c r="F207" s="1" t="s">
        <v>865</v>
      </c>
      <c r="G207" s="1" t="s">
        <v>866</v>
      </c>
      <c r="H207" s="1" t="s">
        <v>4875</v>
      </c>
      <c r="I207" s="18">
        <v>45931</v>
      </c>
      <c r="J207" s="18">
        <v>45931</v>
      </c>
      <c r="K207" s="18" t="s">
        <v>4742</v>
      </c>
      <c r="L207" s="18" t="s">
        <v>4734</v>
      </c>
      <c r="M207" s="2">
        <v>2000000</v>
      </c>
      <c r="N207" s="2">
        <v>2000000</v>
      </c>
      <c r="O207" s="2"/>
      <c r="P207" s="2" t="str">
        <f t="shared" si="12"/>
        <v/>
      </c>
      <c r="Q207" s="2"/>
      <c r="R207" s="2"/>
      <c r="S207" s="48"/>
      <c r="T207" s="2">
        <v>6000000</v>
      </c>
      <c r="U207" s="2">
        <v>0</v>
      </c>
      <c r="V207" s="1" t="s">
        <v>87</v>
      </c>
      <c r="W207" s="6" t="s">
        <v>88</v>
      </c>
      <c r="X207" s="1" t="s">
        <v>230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>
        <v>2000000</v>
      </c>
      <c r="AL207" s="3">
        <v>2000000</v>
      </c>
      <c r="AM207" s="3">
        <v>2000000</v>
      </c>
      <c r="AN207" s="3">
        <v>2000000</v>
      </c>
      <c r="AO207" s="3">
        <v>2000000</v>
      </c>
      <c r="AP207" s="3">
        <v>2000000</v>
      </c>
      <c r="AQ207" s="3"/>
      <c r="AR207" s="3"/>
      <c r="AS207" s="3"/>
      <c r="AT207" s="3"/>
      <c r="AU207" s="3"/>
      <c r="AV207" s="3"/>
      <c r="AW207" s="3">
        <f t="shared" si="13"/>
        <v>0</v>
      </c>
      <c r="AX207" s="3">
        <f t="shared" si="14"/>
        <v>12000000</v>
      </c>
      <c r="AY207" s="4">
        <f t="shared" si="15"/>
        <v>6</v>
      </c>
      <c r="AZ207" s="8" t="s">
        <v>5687</v>
      </c>
      <c r="BA207" s="4" t="s">
        <v>5727</v>
      </c>
      <c r="BB207" s="2"/>
      <c r="BC207" s="3"/>
      <c r="BD207" s="3"/>
    </row>
    <row r="208" spans="1:56" ht="16.8" customHeight="1">
      <c r="A208" s="1">
        <v>207</v>
      </c>
      <c r="B208" s="1" t="s">
        <v>42</v>
      </c>
      <c r="C208" s="1" t="s">
        <v>43</v>
      </c>
      <c r="D208" s="1" t="s">
        <v>867</v>
      </c>
      <c r="E208" s="1" t="s">
        <v>867</v>
      </c>
      <c r="F208" s="1" t="s">
        <v>868</v>
      </c>
      <c r="G208" s="1" t="s">
        <v>869</v>
      </c>
      <c r="H208" s="1" t="s">
        <v>4876</v>
      </c>
      <c r="I208" s="18">
        <v>46356</v>
      </c>
      <c r="J208" s="18">
        <v>10</v>
      </c>
      <c r="K208" s="18">
        <v>1000000</v>
      </c>
      <c r="L208" s="18"/>
      <c r="M208" s="2">
        <v>1000000</v>
      </c>
      <c r="N208" s="2">
        <v>1000000</v>
      </c>
      <c r="O208" s="2"/>
      <c r="P208" s="2" t="str">
        <f t="shared" si="12"/>
        <v/>
      </c>
      <c r="Q208" s="2"/>
      <c r="R208" s="2"/>
      <c r="S208" s="48"/>
      <c r="T208" s="2">
        <v>0</v>
      </c>
      <c r="U208" s="2">
        <v>3000000</v>
      </c>
      <c r="V208" s="1"/>
      <c r="W208" s="6"/>
      <c r="X208" s="1"/>
      <c r="Y208" s="3"/>
      <c r="Z208" s="3"/>
      <c r="AA208" s="3"/>
      <c r="AB208" s="3"/>
      <c r="AC208" s="3"/>
      <c r="AD208" s="3"/>
      <c r="AE208" s="3"/>
      <c r="AF208" s="3"/>
      <c r="AG208" s="3"/>
      <c r="AH208" s="3">
        <v>1000000</v>
      </c>
      <c r="AI208" s="3">
        <v>1000000</v>
      </c>
      <c r="AJ208" s="3">
        <v>1000000</v>
      </c>
      <c r="AK208" s="3">
        <v>1000000</v>
      </c>
      <c r="AL208" s="3">
        <v>1000000</v>
      </c>
      <c r="AM208" s="3">
        <v>1000000</v>
      </c>
      <c r="AN208" s="3">
        <v>1000000</v>
      </c>
      <c r="AO208" s="3">
        <v>1000000</v>
      </c>
      <c r="AP208" s="3">
        <v>1000000</v>
      </c>
      <c r="AQ208" s="3"/>
      <c r="AR208" s="3"/>
      <c r="AS208" s="3"/>
      <c r="AT208" s="3"/>
      <c r="AU208" s="3"/>
      <c r="AV208" s="3"/>
      <c r="AW208" s="3">
        <f t="shared" si="13"/>
        <v>3000000</v>
      </c>
      <c r="AX208" s="3">
        <f t="shared" si="14"/>
        <v>6000000</v>
      </c>
      <c r="AY208" s="4">
        <f t="shared" si="15"/>
        <v>9</v>
      </c>
      <c r="BA208" s="4" t="s">
        <v>5728</v>
      </c>
      <c r="BB208" s="2"/>
      <c r="BC208" s="3"/>
      <c r="BD208" s="3"/>
    </row>
    <row r="209" spans="1:56" s="26" customFormat="1" ht="16.8" customHeight="1">
      <c r="A209" s="20">
        <v>208</v>
      </c>
      <c r="B209" s="20" t="s">
        <v>42</v>
      </c>
      <c r="C209" s="1" t="s">
        <v>185</v>
      </c>
      <c r="D209" s="20" t="s">
        <v>870</v>
      </c>
      <c r="E209" s="20" t="s">
        <v>870</v>
      </c>
      <c r="F209" s="20" t="s">
        <v>871</v>
      </c>
      <c r="G209" s="20" t="s">
        <v>872</v>
      </c>
      <c r="H209" s="20" t="s">
        <v>4536</v>
      </c>
      <c r="I209" s="21">
        <v>45931</v>
      </c>
      <c r="J209" s="21">
        <v>45931</v>
      </c>
      <c r="K209" s="21" t="s">
        <v>4877</v>
      </c>
      <c r="L209" s="21" t="s">
        <v>4734</v>
      </c>
      <c r="M209" s="22">
        <v>2000000</v>
      </c>
      <c r="N209" s="22">
        <v>3000000</v>
      </c>
      <c r="O209" s="22">
        <v>3000000</v>
      </c>
      <c r="P209" s="22">
        <f t="shared" si="12"/>
        <v>1000000</v>
      </c>
      <c r="Q209" s="2"/>
      <c r="R209" s="2"/>
      <c r="S209" s="48"/>
      <c r="T209" s="22">
        <v>6000000</v>
      </c>
      <c r="U209" s="22">
        <v>0</v>
      </c>
      <c r="V209" s="20" t="s">
        <v>873</v>
      </c>
      <c r="W209" s="23" t="s">
        <v>874</v>
      </c>
      <c r="X209" s="20" t="s">
        <v>324</v>
      </c>
      <c r="Y209" s="24"/>
      <c r="Z209" s="24"/>
      <c r="AA209" s="24"/>
      <c r="AB209" s="24"/>
      <c r="AC209" s="24"/>
      <c r="AD209" s="24"/>
      <c r="AE209" s="24"/>
      <c r="AF209" s="24"/>
      <c r="AG209" s="24"/>
      <c r="AH209" s="24">
        <v>2000000</v>
      </c>
      <c r="AI209" s="24">
        <v>2000000</v>
      </c>
      <c r="AJ209" s="24">
        <v>2000000</v>
      </c>
      <c r="AK209" s="24">
        <v>2000000</v>
      </c>
      <c r="AL209" s="24">
        <v>2000000</v>
      </c>
      <c r="AM209" s="24">
        <v>2000000</v>
      </c>
      <c r="AN209" s="24">
        <v>2000000</v>
      </c>
      <c r="AO209" s="24">
        <v>2000000</v>
      </c>
      <c r="AP209" s="24">
        <v>2000000</v>
      </c>
      <c r="AQ209" s="24"/>
      <c r="AR209" s="24"/>
      <c r="AS209" s="24"/>
      <c r="AT209" s="24"/>
      <c r="AU209" s="24"/>
      <c r="AV209" s="24"/>
      <c r="AW209" s="24">
        <f t="shared" si="13"/>
        <v>6000000</v>
      </c>
      <c r="AX209" s="24">
        <f t="shared" si="14"/>
        <v>12000000</v>
      </c>
      <c r="AY209" s="25">
        <f t="shared" si="15"/>
        <v>9</v>
      </c>
      <c r="AZ209" s="26" t="s">
        <v>5516</v>
      </c>
      <c r="BA209" s="4" t="s">
        <v>5726</v>
      </c>
      <c r="BB209" s="22"/>
      <c r="BC209" s="3"/>
      <c r="BD209" s="24"/>
    </row>
    <row r="210" spans="1:56" s="33" customFormat="1" ht="16.8" customHeight="1">
      <c r="A210" s="29">
        <v>209</v>
      </c>
      <c r="B210" s="29" t="s">
        <v>42</v>
      </c>
      <c r="C210" s="29" t="s">
        <v>43</v>
      </c>
      <c r="D210" s="29" t="s">
        <v>875</v>
      </c>
      <c r="E210" s="29" t="s">
        <v>875</v>
      </c>
      <c r="F210" s="1" t="s">
        <v>876</v>
      </c>
      <c r="G210" s="1" t="s">
        <v>877</v>
      </c>
      <c r="H210" s="1" t="s">
        <v>4537</v>
      </c>
      <c r="I210" s="18">
        <v>45931</v>
      </c>
      <c r="J210" s="18">
        <v>45931</v>
      </c>
      <c r="K210" s="18" t="s">
        <v>4737</v>
      </c>
      <c r="L210" s="18" t="s">
        <v>4734</v>
      </c>
      <c r="M210" s="30">
        <v>800000</v>
      </c>
      <c r="N210" s="30">
        <v>1000000</v>
      </c>
      <c r="O210" s="30">
        <v>1000000</v>
      </c>
      <c r="P210" s="2">
        <f t="shared" si="12"/>
        <v>200000</v>
      </c>
      <c r="Q210" s="2"/>
      <c r="R210" s="2"/>
      <c r="S210" s="48"/>
      <c r="T210" s="2">
        <v>4800000</v>
      </c>
      <c r="U210" s="2">
        <v>0</v>
      </c>
      <c r="V210" s="1" t="s">
        <v>87</v>
      </c>
      <c r="W210" s="6" t="s">
        <v>88</v>
      </c>
      <c r="X210" s="1" t="s">
        <v>89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>
        <f t="shared" si="13"/>
        <v>0</v>
      </c>
      <c r="AX210" s="31">
        <f t="shared" si="14"/>
        <v>0</v>
      </c>
      <c r="AY210" s="32">
        <f t="shared" si="15"/>
        <v>0</v>
      </c>
      <c r="AZ210" s="33" t="s">
        <v>5688</v>
      </c>
      <c r="BA210" s="4" t="s">
        <v>5726</v>
      </c>
      <c r="BB210" s="30"/>
      <c r="BC210" s="3"/>
      <c r="BD210" s="32"/>
    </row>
    <row r="211" spans="1:56" ht="16.8" customHeight="1">
      <c r="A211" s="1">
        <v>210</v>
      </c>
      <c r="B211" s="1" t="s">
        <v>42</v>
      </c>
      <c r="C211" s="1" t="s">
        <v>43</v>
      </c>
      <c r="D211" s="1" t="s">
        <v>878</v>
      </c>
      <c r="E211" s="1" t="s">
        <v>878</v>
      </c>
      <c r="F211" s="1" t="s">
        <v>879</v>
      </c>
      <c r="G211" s="1" t="s">
        <v>312</v>
      </c>
      <c r="H211" s="1" t="s">
        <v>4878</v>
      </c>
      <c r="I211" s="18">
        <v>45931</v>
      </c>
      <c r="J211" s="18">
        <v>45931</v>
      </c>
      <c r="K211" s="18" t="s">
        <v>4752</v>
      </c>
      <c r="L211" s="18" t="s">
        <v>4734</v>
      </c>
      <c r="M211" s="2">
        <v>3000000</v>
      </c>
      <c r="N211" s="2">
        <v>3000000</v>
      </c>
      <c r="O211" s="2"/>
      <c r="P211" s="2" t="str">
        <f t="shared" si="12"/>
        <v/>
      </c>
      <c r="Q211" s="2"/>
      <c r="R211" s="2"/>
      <c r="S211" s="48"/>
      <c r="T211" s="2">
        <v>9900000</v>
      </c>
      <c r="U211" s="2">
        <v>0</v>
      </c>
      <c r="V211" s="1" t="s">
        <v>312</v>
      </c>
      <c r="W211" s="6" t="s">
        <v>313</v>
      </c>
      <c r="X211" s="1" t="s">
        <v>314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>
        <v>3000000</v>
      </c>
      <c r="AL211" s="3">
        <v>3000000</v>
      </c>
      <c r="AM211" s="3">
        <v>3000000</v>
      </c>
      <c r="AN211" s="3">
        <v>3000000</v>
      </c>
      <c r="AO211" s="3">
        <v>3000000</v>
      </c>
      <c r="AP211" s="3">
        <v>3000000</v>
      </c>
      <c r="AQ211" s="3"/>
      <c r="AR211" s="3"/>
      <c r="AS211" s="3"/>
      <c r="AT211" s="3"/>
      <c r="AU211" s="3"/>
      <c r="AV211" s="3"/>
      <c r="AW211" s="3">
        <f t="shared" si="13"/>
        <v>0</v>
      </c>
      <c r="AX211" s="3">
        <f t="shared" si="14"/>
        <v>18000000</v>
      </c>
      <c r="AY211" s="4">
        <f t="shared" si="15"/>
        <v>6</v>
      </c>
      <c r="AZ211" s="8" t="s">
        <v>5484</v>
      </c>
      <c r="BA211" s="4" t="s">
        <v>5727</v>
      </c>
      <c r="BB211" s="2"/>
      <c r="BC211" s="3"/>
      <c r="BD211" s="3"/>
    </row>
    <row r="212" spans="1:56" ht="16.8" customHeight="1">
      <c r="A212" s="1">
        <v>211</v>
      </c>
      <c r="B212" s="1" t="s">
        <v>42</v>
      </c>
      <c r="C212" s="1" t="s">
        <v>185</v>
      </c>
      <c r="D212" s="1" t="s">
        <v>880</v>
      </c>
      <c r="E212" s="1" t="s">
        <v>880</v>
      </c>
      <c r="F212" s="1" t="s">
        <v>881</v>
      </c>
      <c r="G212" s="1" t="s">
        <v>882</v>
      </c>
      <c r="H212" s="1" t="s">
        <v>4879</v>
      </c>
      <c r="I212" s="18">
        <v>48213</v>
      </c>
      <c r="J212" s="18">
        <v>10</v>
      </c>
      <c r="K212" s="18" t="s">
        <v>4880</v>
      </c>
      <c r="L212" s="18"/>
      <c r="M212" s="2">
        <v>1300000</v>
      </c>
      <c r="N212" s="2">
        <v>1300000</v>
      </c>
      <c r="O212" s="2"/>
      <c r="P212" s="2" t="str">
        <f t="shared" si="12"/>
        <v/>
      </c>
      <c r="Q212" s="2"/>
      <c r="R212" s="2"/>
      <c r="S212" s="48"/>
      <c r="T212" s="2">
        <v>0</v>
      </c>
      <c r="U212" s="2">
        <v>3900000</v>
      </c>
      <c r="V212" s="1"/>
      <c r="W212" s="6"/>
      <c r="X212" s="1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>
        <f t="shared" si="13"/>
        <v>0</v>
      </c>
      <c r="AX212" s="3">
        <f t="shared" si="14"/>
        <v>0</v>
      </c>
      <c r="AY212" s="4">
        <f t="shared" si="15"/>
        <v>0</v>
      </c>
      <c r="BA212" s="4" t="s">
        <v>5726</v>
      </c>
      <c r="BB212" s="2"/>
      <c r="BC212" s="3"/>
      <c r="BD212" s="4"/>
    </row>
    <row r="213" spans="1:56" s="33" customFormat="1" ht="16.8" customHeight="1">
      <c r="A213" s="29">
        <v>212</v>
      </c>
      <c r="B213" s="29" t="s">
        <v>42</v>
      </c>
      <c r="C213" s="1" t="s">
        <v>47</v>
      </c>
      <c r="D213" s="29" t="s">
        <v>883</v>
      </c>
      <c r="E213" s="29" t="s">
        <v>883</v>
      </c>
      <c r="F213" s="1" t="s">
        <v>884</v>
      </c>
      <c r="G213" s="1" t="s">
        <v>885</v>
      </c>
      <c r="H213" s="1" t="s">
        <v>4881</v>
      </c>
      <c r="I213" s="18">
        <v>45931</v>
      </c>
      <c r="J213" s="18">
        <v>45931</v>
      </c>
      <c r="K213" s="18" t="s">
        <v>4787</v>
      </c>
      <c r="L213" s="18" t="s">
        <v>4734</v>
      </c>
      <c r="M213" s="30">
        <v>1200000</v>
      </c>
      <c r="N213" s="30">
        <v>1200000</v>
      </c>
      <c r="O213" s="30"/>
      <c r="P213" s="2" t="str">
        <f t="shared" si="12"/>
        <v/>
      </c>
      <c r="Q213" s="2"/>
      <c r="R213" s="2"/>
      <c r="S213" s="48"/>
      <c r="T213" s="2">
        <v>4500000</v>
      </c>
      <c r="U213" s="2">
        <v>0</v>
      </c>
      <c r="V213" s="1" t="s">
        <v>886</v>
      </c>
      <c r="W213" s="6" t="s">
        <v>887</v>
      </c>
      <c r="X213" s="1" t="s">
        <v>224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1">
        <v>1200000</v>
      </c>
      <c r="AL213" s="31">
        <v>1200000</v>
      </c>
      <c r="AM213" s="31">
        <v>1200000</v>
      </c>
      <c r="AN213" s="31">
        <v>1200000</v>
      </c>
      <c r="AO213" s="31">
        <v>1200000</v>
      </c>
      <c r="AP213" s="31">
        <v>1200000</v>
      </c>
      <c r="AQ213" s="31"/>
      <c r="AR213" s="31"/>
      <c r="AS213" s="31"/>
      <c r="AT213" s="31"/>
      <c r="AU213" s="31"/>
      <c r="AV213" s="31"/>
      <c r="AW213" s="31">
        <f t="shared" si="13"/>
        <v>0</v>
      </c>
      <c r="AX213" s="31">
        <f t="shared" si="14"/>
        <v>7200000</v>
      </c>
      <c r="AY213" s="32">
        <f t="shared" si="15"/>
        <v>6</v>
      </c>
      <c r="AZ213" s="33" t="s">
        <v>5689</v>
      </c>
      <c r="BA213" s="4" t="s">
        <v>5726</v>
      </c>
      <c r="BB213" s="30"/>
      <c r="BC213" s="3"/>
      <c r="BD213" s="31"/>
    </row>
    <row r="214" spans="1:56" ht="16.8" customHeight="1">
      <c r="A214" s="1">
        <v>213</v>
      </c>
      <c r="B214" s="1" t="s">
        <v>42</v>
      </c>
      <c r="C214" s="1" t="s">
        <v>185</v>
      </c>
      <c r="D214" s="1" t="s">
        <v>888</v>
      </c>
      <c r="E214" s="1" t="s">
        <v>888</v>
      </c>
      <c r="F214" s="1" t="s">
        <v>889</v>
      </c>
      <c r="G214" s="1" t="s">
        <v>890</v>
      </c>
      <c r="H214" s="1" t="s">
        <v>4882</v>
      </c>
      <c r="I214" s="18">
        <v>46508</v>
      </c>
      <c r="J214" s="18">
        <v>5</v>
      </c>
      <c r="K214" s="18"/>
      <c r="L214" s="18" t="s">
        <v>4734</v>
      </c>
      <c r="M214" s="2">
        <v>5000000</v>
      </c>
      <c r="N214" s="2">
        <v>5000000</v>
      </c>
      <c r="O214" s="2"/>
      <c r="P214" s="2" t="str">
        <f t="shared" si="12"/>
        <v/>
      </c>
      <c r="Q214" s="2"/>
      <c r="R214" s="2"/>
      <c r="S214" s="48"/>
      <c r="T214" s="2">
        <v>0</v>
      </c>
      <c r="U214" s="2">
        <v>30000000</v>
      </c>
      <c r="V214" s="1"/>
      <c r="W214" s="6"/>
      <c r="X214" s="1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>
        <f t="shared" si="13"/>
        <v>0</v>
      </c>
      <c r="AX214" s="3">
        <f t="shared" si="14"/>
        <v>0</v>
      </c>
      <c r="AY214" s="4">
        <f t="shared" si="15"/>
        <v>0</v>
      </c>
      <c r="AZ214" s="8" t="s">
        <v>5517</v>
      </c>
      <c r="BA214" s="4" t="s">
        <v>5726</v>
      </c>
      <c r="BB214" s="2"/>
      <c r="BC214" s="3"/>
      <c r="BD214" s="4"/>
    </row>
    <row r="215" spans="1:56" ht="16.8" customHeight="1">
      <c r="A215" s="1">
        <v>214</v>
      </c>
      <c r="B215" s="1" t="s">
        <v>42</v>
      </c>
      <c r="C215" s="1" t="s">
        <v>185</v>
      </c>
      <c r="D215" s="1" t="s">
        <v>891</v>
      </c>
      <c r="E215" s="1" t="s">
        <v>891</v>
      </c>
      <c r="F215" s="1" t="s">
        <v>892</v>
      </c>
      <c r="G215" s="1" t="s">
        <v>893</v>
      </c>
      <c r="H215" s="1" t="s">
        <v>4538</v>
      </c>
      <c r="I215" s="18">
        <v>45931</v>
      </c>
      <c r="J215" s="18">
        <v>45931</v>
      </c>
      <c r="K215" s="18" t="s">
        <v>4787</v>
      </c>
      <c r="L215" s="18" t="s">
        <v>4734</v>
      </c>
      <c r="M215" s="2">
        <v>1500000</v>
      </c>
      <c r="N215" s="2">
        <v>1500000</v>
      </c>
      <c r="O215" s="2"/>
      <c r="P215" s="2" t="str">
        <f t="shared" si="12"/>
        <v/>
      </c>
      <c r="Q215" s="2"/>
      <c r="R215" s="2"/>
      <c r="S215" s="48"/>
      <c r="T215" s="2">
        <v>4500000</v>
      </c>
      <c r="U215" s="2">
        <v>0</v>
      </c>
      <c r="V215" s="1" t="s">
        <v>894</v>
      </c>
      <c r="W215" s="6" t="s">
        <v>895</v>
      </c>
      <c r="X215" s="1" t="s">
        <v>845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>
        <v>1500000</v>
      </c>
      <c r="AI215" s="3">
        <v>1500000</v>
      </c>
      <c r="AJ215" s="3">
        <v>1500000</v>
      </c>
      <c r="AK215" s="3">
        <v>1500000</v>
      </c>
      <c r="AL215" s="3">
        <v>1500000</v>
      </c>
      <c r="AM215" s="3">
        <v>1500000</v>
      </c>
      <c r="AN215" s="3">
        <v>1500000</v>
      </c>
      <c r="AO215" s="3">
        <v>1500000</v>
      </c>
      <c r="AP215" s="3">
        <v>1500000</v>
      </c>
      <c r="AQ215" s="3"/>
      <c r="AR215" s="3"/>
      <c r="AS215" s="3"/>
      <c r="AT215" s="3"/>
      <c r="AU215" s="3"/>
      <c r="AV215" s="3"/>
      <c r="AW215" s="3">
        <f t="shared" si="13"/>
        <v>4500000</v>
      </c>
      <c r="AX215" s="3">
        <f t="shared" si="14"/>
        <v>9000000</v>
      </c>
      <c r="AY215" s="4">
        <f t="shared" si="15"/>
        <v>9</v>
      </c>
      <c r="AZ215" s="8" t="s">
        <v>5514</v>
      </c>
      <c r="BA215" s="4" t="s">
        <v>5715</v>
      </c>
      <c r="BB215" s="2"/>
      <c r="BC215" s="3"/>
      <c r="BD215" s="3"/>
    </row>
    <row r="216" spans="1:56" ht="16.8" customHeight="1">
      <c r="A216" s="1">
        <v>215</v>
      </c>
      <c r="B216" s="1" t="s">
        <v>42</v>
      </c>
      <c r="C216" s="1" t="s">
        <v>47</v>
      </c>
      <c r="D216" s="1" t="s">
        <v>896</v>
      </c>
      <c r="E216" s="1" t="s">
        <v>896</v>
      </c>
      <c r="F216" s="1" t="s">
        <v>897</v>
      </c>
      <c r="G216" s="1" t="s">
        <v>898</v>
      </c>
      <c r="H216" s="1" t="s">
        <v>4539</v>
      </c>
      <c r="I216" s="18">
        <v>45931</v>
      </c>
      <c r="J216" s="18">
        <v>45931</v>
      </c>
      <c r="K216" s="18" t="s">
        <v>4787</v>
      </c>
      <c r="L216" s="18" t="s">
        <v>4734</v>
      </c>
      <c r="M216" s="2">
        <v>1200000</v>
      </c>
      <c r="N216" s="2">
        <v>1200000</v>
      </c>
      <c r="O216" s="2"/>
      <c r="P216" s="2" t="str">
        <f t="shared" si="12"/>
        <v/>
      </c>
      <c r="Q216" s="2"/>
      <c r="R216" s="2"/>
      <c r="S216" s="48"/>
      <c r="T216" s="2">
        <v>3600000</v>
      </c>
      <c r="U216" s="2">
        <v>0</v>
      </c>
      <c r="V216" s="1" t="s">
        <v>899</v>
      </c>
      <c r="W216" s="6" t="s">
        <v>900</v>
      </c>
      <c r="X216" s="1" t="s">
        <v>598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>
        <v>1200000</v>
      </c>
      <c r="AI216" s="3">
        <v>1200000</v>
      </c>
      <c r="AJ216" s="3">
        <v>1200000</v>
      </c>
      <c r="AK216" s="3">
        <v>1200000</v>
      </c>
      <c r="AL216" s="3">
        <v>1200000</v>
      </c>
      <c r="AM216" s="3">
        <v>1200000</v>
      </c>
      <c r="AN216" s="3">
        <v>1200000</v>
      </c>
      <c r="AO216" s="3">
        <v>1200000</v>
      </c>
      <c r="AP216" s="3">
        <v>1200000</v>
      </c>
      <c r="AQ216" s="3"/>
      <c r="AR216" s="3"/>
      <c r="AS216" s="3"/>
      <c r="AT216" s="3"/>
      <c r="AU216" s="3"/>
      <c r="AV216" s="3"/>
      <c r="AW216" s="3">
        <f t="shared" si="13"/>
        <v>3600000</v>
      </c>
      <c r="AX216" s="3">
        <f t="shared" si="14"/>
        <v>7200000</v>
      </c>
      <c r="AY216" s="4">
        <f t="shared" si="15"/>
        <v>9</v>
      </c>
      <c r="AZ216" s="8" t="s">
        <v>5518</v>
      </c>
      <c r="BA216" s="4" t="s">
        <v>5726</v>
      </c>
      <c r="BB216" s="2"/>
      <c r="BC216" s="3"/>
      <c r="BD216" s="3"/>
    </row>
    <row r="217" spans="1:56" ht="16.8" customHeight="1">
      <c r="A217" s="1">
        <v>216</v>
      </c>
      <c r="B217" s="1" t="s">
        <v>42</v>
      </c>
      <c r="C217" s="1" t="s">
        <v>47</v>
      </c>
      <c r="D217" s="1" t="s">
        <v>901</v>
      </c>
      <c r="E217" s="1" t="s">
        <v>901</v>
      </c>
      <c r="F217" s="1" t="s">
        <v>902</v>
      </c>
      <c r="G217" s="1" t="s">
        <v>903</v>
      </c>
      <c r="H217" s="1" t="s">
        <v>4883</v>
      </c>
      <c r="I217" s="18">
        <v>45931</v>
      </c>
      <c r="J217" s="18">
        <v>45931</v>
      </c>
      <c r="K217" s="18" t="s">
        <v>4884</v>
      </c>
      <c r="L217" s="18" t="s">
        <v>4734</v>
      </c>
      <c r="M217" s="2">
        <v>2500000</v>
      </c>
      <c r="N217" s="2">
        <v>2500000</v>
      </c>
      <c r="O217" s="2"/>
      <c r="P217" s="2" t="str">
        <f t="shared" si="12"/>
        <v/>
      </c>
      <c r="Q217" s="2"/>
      <c r="R217" s="2"/>
      <c r="S217" s="48"/>
      <c r="T217" s="2">
        <v>7500000</v>
      </c>
      <c r="U217" s="2">
        <v>0</v>
      </c>
      <c r="V217" s="1" t="s">
        <v>903</v>
      </c>
      <c r="W217" s="6" t="s">
        <v>904</v>
      </c>
      <c r="X217" s="1" t="s">
        <v>106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>
        <v>2500000</v>
      </c>
      <c r="AI217" s="3">
        <v>2500000</v>
      </c>
      <c r="AJ217" s="3">
        <v>2500000</v>
      </c>
      <c r="AK217" s="3">
        <v>2500000</v>
      </c>
      <c r="AL217" s="3">
        <v>2500000</v>
      </c>
      <c r="AM217" s="3">
        <v>2500000</v>
      </c>
      <c r="AN217" s="3">
        <v>2500000</v>
      </c>
      <c r="AO217" s="3">
        <v>2500000</v>
      </c>
      <c r="AP217" s="3">
        <v>2500000</v>
      </c>
      <c r="AQ217" s="3"/>
      <c r="AR217" s="3"/>
      <c r="AS217" s="3"/>
      <c r="AT217" s="3"/>
      <c r="AU217" s="3"/>
      <c r="AV217" s="3"/>
      <c r="AW217" s="3">
        <f t="shared" si="13"/>
        <v>7500000</v>
      </c>
      <c r="AX217" s="3">
        <f t="shared" si="14"/>
        <v>15000000</v>
      </c>
      <c r="AY217" s="4">
        <f t="shared" si="15"/>
        <v>9</v>
      </c>
      <c r="BA217" s="4" t="s">
        <v>5726</v>
      </c>
      <c r="BB217" s="2"/>
      <c r="BC217" s="3"/>
      <c r="BD217" s="3"/>
    </row>
    <row r="218" spans="1:56" ht="16.8" customHeight="1">
      <c r="A218" s="1">
        <v>217</v>
      </c>
      <c r="B218" s="1" t="s">
        <v>42</v>
      </c>
      <c r="C218" s="1" t="s">
        <v>43</v>
      </c>
      <c r="D218" s="1" t="s">
        <v>905</v>
      </c>
      <c r="E218" s="1" t="s">
        <v>905</v>
      </c>
      <c r="F218" s="1" t="s">
        <v>906</v>
      </c>
      <c r="G218" s="1" t="s">
        <v>907</v>
      </c>
      <c r="H218" s="1" t="s">
        <v>4540</v>
      </c>
      <c r="I218" s="18">
        <v>45931</v>
      </c>
      <c r="J218" s="18">
        <v>45931</v>
      </c>
      <c r="K218" s="18" t="s">
        <v>4752</v>
      </c>
      <c r="L218" s="18" t="s">
        <v>4734</v>
      </c>
      <c r="M218" s="2">
        <v>1200000</v>
      </c>
      <c r="N218" s="2">
        <v>1200000</v>
      </c>
      <c r="O218" s="2"/>
      <c r="P218" s="2" t="str">
        <f t="shared" si="12"/>
        <v/>
      </c>
      <c r="Q218" s="2"/>
      <c r="R218" s="2"/>
      <c r="S218" s="48"/>
      <c r="T218" s="2">
        <v>3600000</v>
      </c>
      <c r="U218" s="2">
        <v>0</v>
      </c>
      <c r="V218" s="1" t="s">
        <v>146</v>
      </c>
      <c r="W218" s="6" t="s">
        <v>147</v>
      </c>
      <c r="X218" s="1" t="s">
        <v>148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>
        <v>1200000</v>
      </c>
      <c r="AI218" s="3">
        <v>1200000</v>
      </c>
      <c r="AJ218" s="3">
        <v>1200000</v>
      </c>
      <c r="AK218" s="3">
        <v>1200000</v>
      </c>
      <c r="AL218" s="3">
        <v>1200000</v>
      </c>
      <c r="AM218" s="3">
        <v>1200000</v>
      </c>
      <c r="AN218" s="3">
        <v>1200000</v>
      </c>
      <c r="AO218" s="3">
        <v>1200000</v>
      </c>
      <c r="AP218" s="3">
        <v>1200000</v>
      </c>
      <c r="AQ218" s="3"/>
      <c r="AR218" s="3"/>
      <c r="AS218" s="3"/>
      <c r="AT218" s="3"/>
      <c r="AU218" s="3"/>
      <c r="AV218" s="3"/>
      <c r="AW218" s="3">
        <f t="shared" si="13"/>
        <v>3600000</v>
      </c>
      <c r="AX218" s="3">
        <f t="shared" si="14"/>
        <v>7200000</v>
      </c>
      <c r="AY218" s="4">
        <f t="shared" si="15"/>
        <v>9</v>
      </c>
      <c r="AZ218" s="8" t="s">
        <v>5519</v>
      </c>
      <c r="BA218" s="4" t="s">
        <v>5715</v>
      </c>
      <c r="BB218" s="2"/>
      <c r="BC218" s="3"/>
      <c r="BD218" s="3"/>
    </row>
    <row r="219" spans="1:56" ht="16.8" customHeight="1">
      <c r="A219" s="1">
        <v>218</v>
      </c>
      <c r="B219" s="1" t="s">
        <v>42</v>
      </c>
      <c r="C219" s="1" t="s">
        <v>47</v>
      </c>
      <c r="D219" s="1" t="s">
        <v>908</v>
      </c>
      <c r="E219" s="1" t="s">
        <v>908</v>
      </c>
      <c r="F219" s="1" t="s">
        <v>909</v>
      </c>
      <c r="G219" s="1" t="s">
        <v>910</v>
      </c>
      <c r="H219" s="1" t="s">
        <v>3056</v>
      </c>
      <c r="I219" s="18">
        <v>45931</v>
      </c>
      <c r="J219" s="18">
        <v>45931</v>
      </c>
      <c r="K219" s="18" t="s">
        <v>4742</v>
      </c>
      <c r="L219" s="18" t="s">
        <v>4734</v>
      </c>
      <c r="M219" s="2">
        <v>1200000</v>
      </c>
      <c r="N219" s="2">
        <v>1200000</v>
      </c>
      <c r="O219" s="2"/>
      <c r="P219" s="2" t="str">
        <f t="shared" si="12"/>
        <v/>
      </c>
      <c r="Q219" s="2"/>
      <c r="R219" s="2"/>
      <c r="S219" s="48"/>
      <c r="T219" s="2">
        <v>3600000</v>
      </c>
      <c r="U219" s="2">
        <v>0</v>
      </c>
      <c r="V219" s="1" t="s">
        <v>328</v>
      </c>
      <c r="W219" s="6" t="s">
        <v>329</v>
      </c>
      <c r="X219" s="1" t="s">
        <v>333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>
        <v>1200000</v>
      </c>
      <c r="AI219" s="3">
        <v>1200000</v>
      </c>
      <c r="AJ219" s="3">
        <v>1200000</v>
      </c>
      <c r="AK219" s="3">
        <v>1200000</v>
      </c>
      <c r="AL219" s="3">
        <v>1200000</v>
      </c>
      <c r="AM219" s="3">
        <v>1200000</v>
      </c>
      <c r="AN219" s="3">
        <v>1200000</v>
      </c>
      <c r="AO219" s="3">
        <v>1200000</v>
      </c>
      <c r="AP219" s="3">
        <v>1200000</v>
      </c>
      <c r="AQ219" s="3"/>
      <c r="AR219" s="3"/>
      <c r="AS219" s="3"/>
      <c r="AT219" s="3"/>
      <c r="AU219" s="3"/>
      <c r="AV219" s="3"/>
      <c r="AW219" s="3">
        <f t="shared" si="13"/>
        <v>3600000</v>
      </c>
      <c r="AX219" s="3">
        <f t="shared" si="14"/>
        <v>7200000</v>
      </c>
      <c r="AY219" s="4">
        <f t="shared" si="15"/>
        <v>9</v>
      </c>
      <c r="BA219" s="4" t="s">
        <v>5726</v>
      </c>
      <c r="BB219" s="2"/>
      <c r="BC219" s="3"/>
      <c r="BD219" s="3"/>
    </row>
    <row r="220" spans="1:56" ht="16.8" customHeight="1">
      <c r="A220" s="1">
        <v>219</v>
      </c>
      <c r="B220" s="1" t="s">
        <v>42</v>
      </c>
      <c r="C220" s="1" t="s">
        <v>47</v>
      </c>
      <c r="D220" s="1" t="s">
        <v>911</v>
      </c>
      <c r="E220" s="1" t="s">
        <v>911</v>
      </c>
      <c r="F220" s="1" t="s">
        <v>912</v>
      </c>
      <c r="G220" s="1" t="s">
        <v>913</v>
      </c>
      <c r="H220" s="1" t="s">
        <v>4541</v>
      </c>
      <c r="I220" s="18">
        <v>45931</v>
      </c>
      <c r="J220" s="18">
        <v>45931</v>
      </c>
      <c r="K220" s="18" t="s">
        <v>4787</v>
      </c>
      <c r="L220" s="18" t="s">
        <v>4734</v>
      </c>
      <c r="M220" s="2">
        <v>1200000</v>
      </c>
      <c r="N220" s="2">
        <v>1200000</v>
      </c>
      <c r="O220" s="2"/>
      <c r="P220" s="2" t="str">
        <f t="shared" si="12"/>
        <v/>
      </c>
      <c r="Q220" s="2"/>
      <c r="R220" s="2"/>
      <c r="S220" s="48"/>
      <c r="T220" s="2">
        <v>3600000</v>
      </c>
      <c r="U220" s="2">
        <v>0</v>
      </c>
      <c r="V220" s="1" t="s">
        <v>328</v>
      </c>
      <c r="W220" s="6" t="s">
        <v>329</v>
      </c>
      <c r="X220" s="1" t="s">
        <v>106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>
        <v>1200000</v>
      </c>
      <c r="AI220" s="3">
        <v>1200000</v>
      </c>
      <c r="AJ220" s="3">
        <v>1200000</v>
      </c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>
        <f t="shared" si="13"/>
        <v>3600000</v>
      </c>
      <c r="AX220" s="3">
        <f t="shared" si="14"/>
        <v>0</v>
      </c>
      <c r="AY220" s="4">
        <f t="shared" si="15"/>
        <v>3</v>
      </c>
      <c r="BA220" s="4" t="s">
        <v>5726</v>
      </c>
      <c r="BB220" s="2"/>
      <c r="BC220" s="3"/>
      <c r="BD220" s="4"/>
    </row>
    <row r="221" spans="1:56" s="33" customFormat="1" ht="16.8" customHeight="1">
      <c r="A221" s="29">
        <v>220</v>
      </c>
      <c r="B221" s="29" t="s">
        <v>42</v>
      </c>
      <c r="C221" s="1" t="s">
        <v>47</v>
      </c>
      <c r="D221" s="29" t="s">
        <v>914</v>
      </c>
      <c r="E221" s="29" t="s">
        <v>914</v>
      </c>
      <c r="F221" s="1" t="s">
        <v>915</v>
      </c>
      <c r="G221" s="1" t="s">
        <v>916</v>
      </c>
      <c r="H221" s="1" t="s">
        <v>4885</v>
      </c>
      <c r="I221" s="18">
        <v>45931</v>
      </c>
      <c r="J221" s="18">
        <v>45931</v>
      </c>
      <c r="K221" s="18" t="s">
        <v>4795</v>
      </c>
      <c r="L221" s="18" t="s">
        <v>4734</v>
      </c>
      <c r="M221" s="30">
        <v>1200000</v>
      </c>
      <c r="N221" s="30">
        <v>2200000</v>
      </c>
      <c r="O221" s="30">
        <v>2200000</v>
      </c>
      <c r="P221" s="2">
        <f t="shared" si="12"/>
        <v>1000000</v>
      </c>
      <c r="Q221" s="2"/>
      <c r="R221" s="2"/>
      <c r="S221" s="48"/>
      <c r="T221" s="2">
        <v>3600000</v>
      </c>
      <c r="U221" s="2">
        <v>0</v>
      </c>
      <c r="V221" s="1" t="s">
        <v>328</v>
      </c>
      <c r="W221" s="6" t="s">
        <v>329</v>
      </c>
      <c r="X221" s="1" t="s">
        <v>106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>
        <v>1200000</v>
      </c>
      <c r="AI221" s="3">
        <v>1200000</v>
      </c>
      <c r="AJ221" s="3">
        <v>1200000</v>
      </c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>
        <f t="shared" si="13"/>
        <v>3600000</v>
      </c>
      <c r="AX221" s="31">
        <f t="shared" si="14"/>
        <v>0</v>
      </c>
      <c r="AY221" s="32">
        <f t="shared" si="15"/>
        <v>3</v>
      </c>
      <c r="AZ221" s="33" t="s">
        <v>5690</v>
      </c>
      <c r="BA221" s="4" t="s">
        <v>5726</v>
      </c>
      <c r="BB221" s="30"/>
      <c r="BC221" s="3"/>
      <c r="BD221" s="32"/>
    </row>
    <row r="222" spans="1:56" ht="16.8" customHeight="1">
      <c r="A222" s="1">
        <v>221</v>
      </c>
      <c r="B222" s="1" t="s">
        <v>42</v>
      </c>
      <c r="C222" s="1" t="s">
        <v>47</v>
      </c>
      <c r="D222" s="1" t="s">
        <v>917</v>
      </c>
      <c r="E222" s="1" t="s">
        <v>917</v>
      </c>
      <c r="F222" s="1" t="s">
        <v>918</v>
      </c>
      <c r="G222" s="1" t="s">
        <v>919</v>
      </c>
      <c r="H222" s="1" t="s">
        <v>4542</v>
      </c>
      <c r="I222" s="18">
        <v>45931</v>
      </c>
      <c r="J222" s="18">
        <v>45931</v>
      </c>
      <c r="K222" s="18" t="s">
        <v>4785</v>
      </c>
      <c r="L222" s="18" t="s">
        <v>4734</v>
      </c>
      <c r="M222" s="2">
        <v>1200000</v>
      </c>
      <c r="N222" s="2">
        <v>1200000</v>
      </c>
      <c r="O222" s="2"/>
      <c r="P222" s="2" t="str">
        <f t="shared" si="12"/>
        <v/>
      </c>
      <c r="Q222" s="2"/>
      <c r="R222" s="2"/>
      <c r="S222" s="48"/>
      <c r="T222" s="2">
        <v>3600000</v>
      </c>
      <c r="U222" s="2">
        <v>0</v>
      </c>
      <c r="V222" s="1" t="s">
        <v>920</v>
      </c>
      <c r="W222" s="6" t="s">
        <v>921</v>
      </c>
      <c r="X222" s="1" t="s">
        <v>224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>
        <v>1200000</v>
      </c>
      <c r="AI222" s="3">
        <v>1200000</v>
      </c>
      <c r="AJ222" s="3">
        <v>1200000</v>
      </c>
      <c r="AK222" s="3">
        <v>1200000</v>
      </c>
      <c r="AL222" s="3">
        <v>1200000</v>
      </c>
      <c r="AM222" s="3">
        <v>1200000</v>
      </c>
      <c r="AN222" s="3">
        <v>1200000</v>
      </c>
      <c r="AO222" s="3">
        <v>1200000</v>
      </c>
      <c r="AP222" s="3">
        <v>1200000</v>
      </c>
      <c r="AQ222" s="3"/>
      <c r="AR222" s="3"/>
      <c r="AS222" s="3"/>
      <c r="AT222" s="3"/>
      <c r="AU222" s="3"/>
      <c r="AV222" s="3"/>
      <c r="AW222" s="3">
        <f t="shared" si="13"/>
        <v>3600000</v>
      </c>
      <c r="AX222" s="3">
        <f t="shared" si="14"/>
        <v>7200000</v>
      </c>
      <c r="AY222" s="4">
        <f t="shared" si="15"/>
        <v>9</v>
      </c>
      <c r="AZ222" s="8" t="s">
        <v>5691</v>
      </c>
      <c r="BA222" s="4" t="s">
        <v>5726</v>
      </c>
      <c r="BB222" s="2"/>
      <c r="BC222" s="3"/>
      <c r="BD222" s="3"/>
    </row>
    <row r="223" spans="1:56" ht="16.8" customHeight="1">
      <c r="A223" s="1">
        <v>222</v>
      </c>
      <c r="B223" s="1" t="s">
        <v>42</v>
      </c>
      <c r="C223" s="1" t="s">
        <v>47</v>
      </c>
      <c r="D223" s="1" t="s">
        <v>922</v>
      </c>
      <c r="E223" s="1" t="s">
        <v>922</v>
      </c>
      <c r="F223" s="1" t="s">
        <v>923</v>
      </c>
      <c r="G223" s="1" t="s">
        <v>924</v>
      </c>
      <c r="H223" s="1" t="s">
        <v>4543</v>
      </c>
      <c r="I223" s="18">
        <v>45931</v>
      </c>
      <c r="J223" s="18">
        <v>45931</v>
      </c>
      <c r="K223" s="18" t="s">
        <v>4737</v>
      </c>
      <c r="L223" s="18" t="s">
        <v>4734</v>
      </c>
      <c r="M223" s="2">
        <v>1200000</v>
      </c>
      <c r="N223" s="2">
        <v>1200000</v>
      </c>
      <c r="O223" s="2"/>
      <c r="P223" s="2" t="str">
        <f t="shared" si="12"/>
        <v/>
      </c>
      <c r="Q223" s="2"/>
      <c r="R223" s="2"/>
      <c r="S223" s="48"/>
      <c r="T223" s="2">
        <v>3600000</v>
      </c>
      <c r="U223" s="2">
        <v>0</v>
      </c>
      <c r="V223" s="1" t="s">
        <v>924</v>
      </c>
      <c r="W223" s="6" t="s">
        <v>925</v>
      </c>
      <c r="X223" s="1" t="s">
        <v>775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>
        <v>1200000</v>
      </c>
      <c r="AI223" s="3">
        <v>1200000</v>
      </c>
      <c r="AJ223" s="3">
        <v>1200000</v>
      </c>
      <c r="AK223" s="3">
        <v>1200000</v>
      </c>
      <c r="AL223" s="3">
        <v>1200000</v>
      </c>
      <c r="AM223" s="3">
        <v>1200000</v>
      </c>
      <c r="AN223" s="3">
        <v>1200000</v>
      </c>
      <c r="AO223" s="3">
        <v>1200000</v>
      </c>
      <c r="AP223" s="3">
        <v>1200000</v>
      </c>
      <c r="AQ223" s="3"/>
      <c r="AR223" s="3"/>
      <c r="AS223" s="3"/>
      <c r="AT223" s="3"/>
      <c r="AU223" s="3"/>
      <c r="AV223" s="3"/>
      <c r="AW223" s="3">
        <f t="shared" si="13"/>
        <v>3600000</v>
      </c>
      <c r="AX223" s="3">
        <f t="shared" si="14"/>
        <v>7200000</v>
      </c>
      <c r="AY223" s="4">
        <f t="shared" si="15"/>
        <v>9</v>
      </c>
      <c r="BA223" s="4" t="s">
        <v>5726</v>
      </c>
      <c r="BB223" s="2"/>
      <c r="BC223" s="3"/>
      <c r="BD223" s="3"/>
    </row>
    <row r="224" spans="1:56" ht="16.8" customHeight="1">
      <c r="A224" s="1">
        <v>223</v>
      </c>
      <c r="B224" s="1" t="s">
        <v>42</v>
      </c>
      <c r="C224" s="1" t="s">
        <v>43</v>
      </c>
      <c r="D224" s="1" t="s">
        <v>926</v>
      </c>
      <c r="E224" s="1" t="s">
        <v>926</v>
      </c>
      <c r="F224" s="1" t="s">
        <v>927</v>
      </c>
      <c r="G224" s="1" t="s">
        <v>928</v>
      </c>
      <c r="H224" s="1" t="s">
        <v>4544</v>
      </c>
      <c r="I224" s="18" t="s">
        <v>4783</v>
      </c>
      <c r="J224" s="18" t="s">
        <v>4783</v>
      </c>
      <c r="K224" s="18" t="s">
        <v>4737</v>
      </c>
      <c r="L224" s="18" t="s">
        <v>4734</v>
      </c>
      <c r="M224" s="2">
        <v>500000</v>
      </c>
      <c r="N224" s="2">
        <v>500000</v>
      </c>
      <c r="O224" s="2"/>
      <c r="P224" s="2" t="str">
        <f t="shared" si="12"/>
        <v/>
      </c>
      <c r="Q224" s="2"/>
      <c r="R224" s="2"/>
      <c r="S224" s="48"/>
      <c r="T224" s="2">
        <v>3000000</v>
      </c>
      <c r="U224" s="2">
        <v>0</v>
      </c>
      <c r="V224" s="1" t="s">
        <v>929</v>
      </c>
      <c r="W224" s="6" t="s">
        <v>930</v>
      </c>
      <c r="X224" s="1" t="s">
        <v>115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>
        <v>500000</v>
      </c>
      <c r="AL224" s="3">
        <v>500000</v>
      </c>
      <c r="AM224" s="3">
        <v>500000</v>
      </c>
      <c r="AN224" s="3">
        <v>500000</v>
      </c>
      <c r="AO224" s="3">
        <v>500000</v>
      </c>
      <c r="AP224" s="3">
        <v>500000</v>
      </c>
      <c r="AQ224" s="3"/>
      <c r="AR224" s="3"/>
      <c r="AS224" s="3"/>
      <c r="AT224" s="3"/>
      <c r="AU224" s="3"/>
      <c r="AV224" s="3"/>
      <c r="AW224" s="3">
        <f t="shared" si="13"/>
        <v>0</v>
      </c>
      <c r="AX224" s="3">
        <f t="shared" si="14"/>
        <v>3000000</v>
      </c>
      <c r="AY224" s="4">
        <f t="shared" si="15"/>
        <v>6</v>
      </c>
      <c r="BA224" s="4" t="s">
        <v>5715</v>
      </c>
      <c r="BB224" s="2"/>
      <c r="BC224" s="3"/>
      <c r="BD224" s="3"/>
    </row>
    <row r="225" spans="1:56" ht="16.8" customHeight="1">
      <c r="A225" s="1">
        <v>224</v>
      </c>
      <c r="B225" s="1" t="s">
        <v>42</v>
      </c>
      <c r="C225" s="1" t="s">
        <v>43</v>
      </c>
      <c r="D225" s="1" t="s">
        <v>931</v>
      </c>
      <c r="E225" s="1" t="s">
        <v>931</v>
      </c>
      <c r="F225" s="1" t="s">
        <v>932</v>
      </c>
      <c r="G225" s="1" t="s">
        <v>933</v>
      </c>
      <c r="H225" s="1" t="s">
        <v>4545</v>
      </c>
      <c r="I225" s="18">
        <v>45931</v>
      </c>
      <c r="J225" s="18">
        <v>45931</v>
      </c>
      <c r="K225" s="18" t="s">
        <v>4877</v>
      </c>
      <c r="L225" s="18" t="s">
        <v>4734</v>
      </c>
      <c r="M225" s="2">
        <v>3300000</v>
      </c>
      <c r="N225" s="2">
        <v>3300000</v>
      </c>
      <c r="O225" s="2"/>
      <c r="P225" s="2" t="str">
        <f t="shared" si="12"/>
        <v/>
      </c>
      <c r="Q225" s="2"/>
      <c r="R225" s="2"/>
      <c r="S225" s="48"/>
      <c r="T225" s="2">
        <v>9900000</v>
      </c>
      <c r="U225" s="2">
        <v>0</v>
      </c>
      <c r="V225" s="1" t="s">
        <v>933</v>
      </c>
      <c r="W225" s="6" t="s">
        <v>934</v>
      </c>
      <c r="X225" s="1" t="s">
        <v>415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>
        <v>3300000</v>
      </c>
      <c r="AI225" s="3">
        <v>3300000</v>
      </c>
      <c r="AJ225" s="3">
        <v>3300000</v>
      </c>
      <c r="AK225" s="3">
        <v>3300000</v>
      </c>
      <c r="AL225" s="3">
        <v>3300000</v>
      </c>
      <c r="AM225" s="3">
        <v>3300000</v>
      </c>
      <c r="AN225" s="3">
        <v>3300000</v>
      </c>
      <c r="AO225" s="3">
        <v>3300000</v>
      </c>
      <c r="AP225" s="3">
        <v>3300000</v>
      </c>
      <c r="AQ225" s="3"/>
      <c r="AR225" s="3"/>
      <c r="AS225" s="3"/>
      <c r="AT225" s="3"/>
      <c r="AU225" s="3"/>
      <c r="AV225" s="3"/>
      <c r="AW225" s="3">
        <f t="shared" si="13"/>
        <v>9900000</v>
      </c>
      <c r="AX225" s="3">
        <f t="shared" si="14"/>
        <v>19800000</v>
      </c>
      <c r="AY225" s="4">
        <f t="shared" si="15"/>
        <v>9</v>
      </c>
      <c r="AZ225" s="8" t="s">
        <v>5692</v>
      </c>
      <c r="BA225" s="4" t="s">
        <v>5715</v>
      </c>
      <c r="BB225" s="2"/>
      <c r="BC225" s="3"/>
      <c r="BD225" s="3"/>
    </row>
    <row r="226" spans="1:56" s="33" customFormat="1" ht="16.8" customHeight="1">
      <c r="A226" s="29">
        <v>225</v>
      </c>
      <c r="B226" s="29" t="s">
        <v>42</v>
      </c>
      <c r="C226" s="29" t="s">
        <v>43</v>
      </c>
      <c r="D226" s="29" t="s">
        <v>935</v>
      </c>
      <c r="E226" s="29" t="s">
        <v>935</v>
      </c>
      <c r="F226" s="1" t="s">
        <v>936</v>
      </c>
      <c r="G226" s="1" t="s">
        <v>937</v>
      </c>
      <c r="H226" s="1" t="s">
        <v>4546</v>
      </c>
      <c r="I226" s="18">
        <v>46006</v>
      </c>
      <c r="J226" s="18">
        <v>46023</v>
      </c>
      <c r="K226" s="18" t="s">
        <v>4886</v>
      </c>
      <c r="L226" s="18" t="s">
        <v>4734</v>
      </c>
      <c r="M226" s="30">
        <v>1000000</v>
      </c>
      <c r="N226" s="30">
        <v>2000000</v>
      </c>
      <c r="O226" s="30">
        <v>2000000</v>
      </c>
      <c r="P226" s="2">
        <f t="shared" si="12"/>
        <v>1000000</v>
      </c>
      <c r="Q226" s="2"/>
      <c r="R226" s="2"/>
      <c r="S226" s="48"/>
      <c r="T226" s="2">
        <v>6000000</v>
      </c>
      <c r="U226" s="2">
        <v>0</v>
      </c>
      <c r="V226" s="1" t="s">
        <v>938</v>
      </c>
      <c r="W226" s="6" t="s">
        <v>939</v>
      </c>
      <c r="X226" s="1" t="s">
        <v>274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>
        <f t="shared" si="13"/>
        <v>0</v>
      </c>
      <c r="AX226" s="31">
        <f t="shared" si="14"/>
        <v>0</v>
      </c>
      <c r="AY226" s="32">
        <f t="shared" si="15"/>
        <v>0</v>
      </c>
      <c r="AZ226" s="33" t="s">
        <v>5685</v>
      </c>
      <c r="BA226" s="4" t="s">
        <v>5726</v>
      </c>
      <c r="BB226" s="30"/>
      <c r="BC226" s="3"/>
      <c r="BD226" s="32"/>
    </row>
    <row r="227" spans="1:56">
      <c r="A227" s="1">
        <v>226</v>
      </c>
      <c r="B227" s="1" t="s">
        <v>42</v>
      </c>
      <c r="C227" s="1" t="s">
        <v>43</v>
      </c>
      <c r="D227" s="1" t="s">
        <v>940</v>
      </c>
      <c r="E227" s="1" t="s">
        <v>940</v>
      </c>
      <c r="F227" s="1" t="s">
        <v>941</v>
      </c>
      <c r="G227" s="1" t="s">
        <v>942</v>
      </c>
      <c r="H227" s="1" t="s">
        <v>4887</v>
      </c>
      <c r="I227" s="18">
        <v>46568</v>
      </c>
      <c r="J227" s="18">
        <v>10</v>
      </c>
      <c r="K227" s="18">
        <v>1200000</v>
      </c>
      <c r="L227" s="18"/>
      <c r="M227" s="2">
        <v>1200000</v>
      </c>
      <c r="N227" s="2">
        <v>1200000</v>
      </c>
      <c r="O227" s="2"/>
      <c r="P227" s="2" t="str">
        <f t="shared" si="12"/>
        <v/>
      </c>
      <c r="Q227" s="2"/>
      <c r="R227" s="2"/>
      <c r="S227" s="48"/>
      <c r="T227" s="2">
        <v>0</v>
      </c>
      <c r="U227" s="2">
        <v>3600000</v>
      </c>
      <c r="V227" s="1"/>
      <c r="W227" s="6"/>
      <c r="X227" s="1"/>
      <c r="Y227" s="3"/>
      <c r="Z227" s="3"/>
      <c r="AA227" s="3"/>
      <c r="AB227" s="3"/>
      <c r="AC227" s="3"/>
      <c r="AD227" s="3"/>
      <c r="AE227" s="3"/>
      <c r="AF227" s="3"/>
      <c r="AG227" s="3"/>
      <c r="AH227" s="3">
        <v>1200000</v>
      </c>
      <c r="AI227" s="3">
        <v>1200000</v>
      </c>
      <c r="AJ227" s="3">
        <v>1200000</v>
      </c>
      <c r="AK227" s="3">
        <v>1200000</v>
      </c>
      <c r="AL227" s="3">
        <v>1200000</v>
      </c>
      <c r="AM227" s="3">
        <v>1200000</v>
      </c>
      <c r="AN227" s="3">
        <v>1200000</v>
      </c>
      <c r="AO227" s="3">
        <v>1200000</v>
      </c>
      <c r="AP227" s="3">
        <v>1200000</v>
      </c>
      <c r="AQ227" s="3"/>
      <c r="AR227" s="3"/>
      <c r="AS227" s="3"/>
      <c r="AT227" s="3"/>
      <c r="AU227" s="3"/>
      <c r="AV227" s="3"/>
      <c r="AW227" s="3">
        <f t="shared" si="13"/>
        <v>3600000</v>
      </c>
      <c r="AX227" s="3">
        <f t="shared" si="14"/>
        <v>7200000</v>
      </c>
      <c r="AY227" s="4">
        <f t="shared" si="15"/>
        <v>9</v>
      </c>
      <c r="BA227" s="4" t="s">
        <v>5728</v>
      </c>
      <c r="BB227" s="2"/>
      <c r="BC227" s="3"/>
      <c r="BD227" s="3"/>
    </row>
    <row r="228" spans="1:56" ht="16.8" customHeight="1">
      <c r="A228" s="1">
        <v>227</v>
      </c>
      <c r="B228" s="1" t="s">
        <v>42</v>
      </c>
      <c r="C228" s="1" t="s">
        <v>185</v>
      </c>
      <c r="D228" s="1" t="s">
        <v>943</v>
      </c>
      <c r="E228" s="1" t="s">
        <v>943</v>
      </c>
      <c r="F228" s="1" t="s">
        <v>944</v>
      </c>
      <c r="G228" s="1" t="s">
        <v>945</v>
      </c>
      <c r="H228" s="1" t="s">
        <v>4547</v>
      </c>
      <c r="I228" s="18">
        <v>45931</v>
      </c>
      <c r="J228" s="18">
        <v>45931</v>
      </c>
      <c r="K228" s="18" t="s">
        <v>4785</v>
      </c>
      <c r="L228" s="18" t="s">
        <v>4734</v>
      </c>
      <c r="M228" s="2">
        <v>1500000</v>
      </c>
      <c r="N228" s="2">
        <v>1500000</v>
      </c>
      <c r="O228" s="2"/>
      <c r="P228" s="2" t="str">
        <f t="shared" si="12"/>
        <v/>
      </c>
      <c r="Q228" s="2"/>
      <c r="R228" s="2"/>
      <c r="S228" s="48"/>
      <c r="T228" s="2">
        <v>4500000</v>
      </c>
      <c r="U228" s="2">
        <v>0</v>
      </c>
      <c r="V228" s="1" t="s">
        <v>945</v>
      </c>
      <c r="W228" s="6" t="s">
        <v>946</v>
      </c>
      <c r="X228" s="1" t="s">
        <v>70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>
        <v>1500000</v>
      </c>
      <c r="AI228" s="3">
        <v>1500000</v>
      </c>
      <c r="AJ228" s="3">
        <v>1500000</v>
      </c>
      <c r="AK228" s="3">
        <v>1500000</v>
      </c>
      <c r="AL228" s="3">
        <v>1500000</v>
      </c>
      <c r="AM228" s="3">
        <v>1500000</v>
      </c>
      <c r="AN228" s="3">
        <v>1500000</v>
      </c>
      <c r="AO228" s="3">
        <v>1500000</v>
      </c>
      <c r="AP228" s="3">
        <v>1500000</v>
      </c>
      <c r="AQ228" s="3"/>
      <c r="AR228" s="3"/>
      <c r="AS228" s="3"/>
      <c r="AT228" s="3"/>
      <c r="AU228" s="3"/>
      <c r="AV228" s="3"/>
      <c r="AW228" s="3">
        <f t="shared" si="13"/>
        <v>4500000</v>
      </c>
      <c r="AX228" s="3">
        <f t="shared" si="14"/>
        <v>9000000</v>
      </c>
      <c r="AY228" s="4">
        <f t="shared" si="15"/>
        <v>9</v>
      </c>
      <c r="AZ228" s="8" t="s">
        <v>5503</v>
      </c>
      <c r="BA228" s="4" t="s">
        <v>5726</v>
      </c>
      <c r="BB228" s="2"/>
      <c r="BC228" s="3"/>
      <c r="BD228" s="3"/>
    </row>
    <row r="229" spans="1:56" ht="16.8" customHeight="1">
      <c r="A229" s="1">
        <v>228</v>
      </c>
      <c r="B229" s="1" t="s">
        <v>42</v>
      </c>
      <c r="C229" s="1" t="s">
        <v>43</v>
      </c>
      <c r="D229" s="1" t="s">
        <v>947</v>
      </c>
      <c r="E229" s="1" t="s">
        <v>947</v>
      </c>
      <c r="F229" s="1" t="s">
        <v>948</v>
      </c>
      <c r="G229" s="1" t="s">
        <v>949</v>
      </c>
      <c r="H229" s="1" t="s">
        <v>4548</v>
      </c>
      <c r="I229" s="18">
        <v>45931</v>
      </c>
      <c r="J229" s="18">
        <v>45931</v>
      </c>
      <c r="K229" s="18" t="s">
        <v>4737</v>
      </c>
      <c r="L229" s="18" t="s">
        <v>4734</v>
      </c>
      <c r="M229" s="2">
        <v>1700000</v>
      </c>
      <c r="N229" s="2">
        <v>1700000</v>
      </c>
      <c r="O229" s="2"/>
      <c r="P229" s="2" t="str">
        <f t="shared" si="12"/>
        <v/>
      </c>
      <c r="Q229" s="2"/>
      <c r="R229" s="2"/>
      <c r="S229" s="48"/>
      <c r="T229" s="2">
        <v>10200000</v>
      </c>
      <c r="U229" s="2">
        <v>0</v>
      </c>
      <c r="V229" s="1" t="s">
        <v>950</v>
      </c>
      <c r="W229" s="6" t="s">
        <v>951</v>
      </c>
      <c r="X229" s="1" t="s">
        <v>70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>
        <v>1700000</v>
      </c>
      <c r="AL229" s="3">
        <v>1700000</v>
      </c>
      <c r="AM229" s="3">
        <v>1700000</v>
      </c>
      <c r="AN229" s="3">
        <v>1700000</v>
      </c>
      <c r="AO229" s="3">
        <v>1700000</v>
      </c>
      <c r="AP229" s="3">
        <v>1700000</v>
      </c>
      <c r="AQ229" s="3"/>
      <c r="AR229" s="3"/>
      <c r="AS229" s="3"/>
      <c r="AT229" s="3"/>
      <c r="AU229" s="3"/>
      <c r="AV229" s="3"/>
      <c r="AW229" s="3">
        <f t="shared" si="13"/>
        <v>0</v>
      </c>
      <c r="AX229" s="3">
        <f t="shared" si="14"/>
        <v>10200000</v>
      </c>
      <c r="AY229" s="4">
        <f t="shared" si="15"/>
        <v>6</v>
      </c>
      <c r="AZ229" s="8" t="s">
        <v>5685</v>
      </c>
      <c r="BA229" s="4" t="s">
        <v>5715</v>
      </c>
      <c r="BB229" s="2"/>
      <c r="BC229" s="3"/>
      <c r="BD229" s="3"/>
    </row>
    <row r="230" spans="1:56" ht="16.8" customHeight="1">
      <c r="A230" s="1">
        <v>229</v>
      </c>
      <c r="B230" s="1" t="s">
        <v>42</v>
      </c>
      <c r="C230" s="1" t="s">
        <v>185</v>
      </c>
      <c r="D230" s="1" t="s">
        <v>952</v>
      </c>
      <c r="E230" s="1" t="s">
        <v>952</v>
      </c>
      <c r="F230" s="1" t="s">
        <v>953</v>
      </c>
      <c r="G230" s="1" t="s">
        <v>954</v>
      </c>
      <c r="H230" s="1" t="s">
        <v>4888</v>
      </c>
      <c r="I230" s="18">
        <v>45931</v>
      </c>
      <c r="J230" s="18">
        <v>45931</v>
      </c>
      <c r="K230" s="18" t="s">
        <v>4742</v>
      </c>
      <c r="L230" s="18" t="s">
        <v>4734</v>
      </c>
      <c r="M230" s="2">
        <v>1700000</v>
      </c>
      <c r="N230" s="2">
        <v>1700000</v>
      </c>
      <c r="O230" s="2"/>
      <c r="P230" s="2" t="str">
        <f t="shared" si="12"/>
        <v/>
      </c>
      <c r="Q230" s="2"/>
      <c r="R230" s="2"/>
      <c r="S230" s="48"/>
      <c r="T230" s="2">
        <v>0</v>
      </c>
      <c r="U230" s="2">
        <v>5100000</v>
      </c>
      <c r="V230" s="1"/>
      <c r="W230" s="6"/>
      <c r="X230" s="1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>
        <f t="shared" si="13"/>
        <v>0</v>
      </c>
      <c r="AX230" s="3">
        <f t="shared" si="14"/>
        <v>0</v>
      </c>
      <c r="AY230" s="4">
        <f t="shared" si="15"/>
        <v>0</v>
      </c>
      <c r="AZ230" s="8" t="s">
        <v>5520</v>
      </c>
      <c r="BA230" s="4" t="s">
        <v>5726</v>
      </c>
      <c r="BB230" s="2"/>
      <c r="BC230" s="3"/>
      <c r="BD230" s="4"/>
    </row>
    <row r="231" spans="1:56" ht="16.8" customHeight="1">
      <c r="A231" s="1">
        <v>230</v>
      </c>
      <c r="B231" s="1" t="s">
        <v>42</v>
      </c>
      <c r="C231" s="1" t="s">
        <v>185</v>
      </c>
      <c r="D231" s="1" t="s">
        <v>955</v>
      </c>
      <c r="E231" s="1" t="s">
        <v>955</v>
      </c>
      <c r="F231" s="1" t="s">
        <v>956</v>
      </c>
      <c r="G231" s="1" t="s">
        <v>957</v>
      </c>
      <c r="H231" s="1" t="s">
        <v>4549</v>
      </c>
      <c r="I231" s="18">
        <v>45931</v>
      </c>
      <c r="J231" s="18">
        <v>45931</v>
      </c>
      <c r="K231" s="18" t="s">
        <v>4785</v>
      </c>
      <c r="L231" s="18" t="s">
        <v>4734</v>
      </c>
      <c r="M231" s="2">
        <v>2000000</v>
      </c>
      <c r="N231" s="2">
        <v>2000000</v>
      </c>
      <c r="O231" s="2"/>
      <c r="P231" s="2" t="str">
        <f t="shared" si="12"/>
        <v/>
      </c>
      <c r="Q231" s="2"/>
      <c r="R231" s="2"/>
      <c r="S231" s="48"/>
      <c r="T231" s="2">
        <v>6000000</v>
      </c>
      <c r="U231" s="2">
        <v>0</v>
      </c>
      <c r="V231" s="1" t="s">
        <v>957</v>
      </c>
      <c r="W231" s="6" t="s">
        <v>958</v>
      </c>
      <c r="X231" s="1" t="s">
        <v>959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>
        <v>2000000</v>
      </c>
      <c r="AI231" s="3">
        <v>2000000</v>
      </c>
      <c r="AJ231" s="3">
        <v>2000000</v>
      </c>
      <c r="AK231" s="3">
        <v>2000000</v>
      </c>
      <c r="AL231" s="3">
        <v>2000000</v>
      </c>
      <c r="AM231" s="3">
        <v>2000000</v>
      </c>
      <c r="AN231" s="3">
        <v>2000000</v>
      </c>
      <c r="AO231" s="3">
        <v>2000000</v>
      </c>
      <c r="AP231" s="3">
        <v>2000000</v>
      </c>
      <c r="AQ231" s="3"/>
      <c r="AR231" s="3"/>
      <c r="AS231" s="3"/>
      <c r="AT231" s="3"/>
      <c r="AU231" s="3"/>
      <c r="AV231" s="3"/>
      <c r="AW231" s="3">
        <f t="shared" si="13"/>
        <v>6000000</v>
      </c>
      <c r="AX231" s="3">
        <f t="shared" si="14"/>
        <v>12000000</v>
      </c>
      <c r="AY231" s="4">
        <f t="shared" si="15"/>
        <v>9</v>
      </c>
      <c r="AZ231" s="8" t="s">
        <v>5521</v>
      </c>
      <c r="BA231" s="4" t="s">
        <v>5715</v>
      </c>
      <c r="BB231" s="2"/>
      <c r="BC231" s="3"/>
      <c r="BD231" s="3"/>
    </row>
    <row r="232" spans="1:56" ht="16.8" customHeight="1">
      <c r="A232" s="1">
        <v>231</v>
      </c>
      <c r="B232" s="1" t="s">
        <v>42</v>
      </c>
      <c r="C232" s="1" t="s">
        <v>47</v>
      </c>
      <c r="D232" s="1" t="s">
        <v>960</v>
      </c>
      <c r="E232" s="1" t="s">
        <v>960</v>
      </c>
      <c r="F232" s="1" t="s">
        <v>961</v>
      </c>
      <c r="G232" s="1" t="s">
        <v>962</v>
      </c>
      <c r="H232" s="1" t="s">
        <v>3068</v>
      </c>
      <c r="I232" s="18">
        <v>45931</v>
      </c>
      <c r="J232" s="18">
        <v>45931</v>
      </c>
      <c r="K232" s="18" t="s">
        <v>4785</v>
      </c>
      <c r="L232" s="18" t="s">
        <v>4734</v>
      </c>
      <c r="M232" s="2">
        <v>2000000</v>
      </c>
      <c r="N232" s="2">
        <v>2000000</v>
      </c>
      <c r="O232" s="2"/>
      <c r="P232" s="2" t="str">
        <f t="shared" si="12"/>
        <v/>
      </c>
      <c r="Q232" s="2"/>
      <c r="R232" s="2"/>
      <c r="S232" s="48"/>
      <c r="T232" s="2">
        <v>6000000</v>
      </c>
      <c r="U232" s="2">
        <v>0</v>
      </c>
      <c r="V232" s="1" t="s">
        <v>328</v>
      </c>
      <c r="W232" s="6" t="s">
        <v>329</v>
      </c>
      <c r="X232" s="1" t="s">
        <v>333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>
        <v>2000000</v>
      </c>
      <c r="AI232" s="3">
        <v>2000000</v>
      </c>
      <c r="AJ232" s="3">
        <v>2000000</v>
      </c>
      <c r="AK232" s="3">
        <v>2000000</v>
      </c>
      <c r="AL232" s="3">
        <v>2000000</v>
      </c>
      <c r="AM232" s="3">
        <v>2000000</v>
      </c>
      <c r="AN232" s="3">
        <v>2000000</v>
      </c>
      <c r="AO232" s="3">
        <v>2000000</v>
      </c>
      <c r="AP232" s="3">
        <v>2000000</v>
      </c>
      <c r="AQ232" s="3"/>
      <c r="AR232" s="3"/>
      <c r="AS232" s="3"/>
      <c r="AT232" s="3"/>
      <c r="AU232" s="3"/>
      <c r="AV232" s="3"/>
      <c r="AW232" s="3">
        <f t="shared" si="13"/>
        <v>6000000</v>
      </c>
      <c r="AX232" s="3">
        <f t="shared" si="14"/>
        <v>12000000</v>
      </c>
      <c r="AY232" s="4">
        <f t="shared" si="15"/>
        <v>9</v>
      </c>
      <c r="AZ232" s="8">
        <v>0</v>
      </c>
      <c r="BA232" s="4" t="s">
        <v>5726</v>
      </c>
      <c r="BB232" s="2"/>
      <c r="BC232" s="3"/>
      <c r="BD232" s="3"/>
    </row>
    <row r="233" spans="1:56" ht="16.8" customHeight="1">
      <c r="A233" s="1">
        <v>232</v>
      </c>
      <c r="B233" s="1" t="s">
        <v>42</v>
      </c>
      <c r="C233" s="1" t="s">
        <v>47</v>
      </c>
      <c r="D233" s="1" t="s">
        <v>963</v>
      </c>
      <c r="E233" s="1" t="s">
        <v>963</v>
      </c>
      <c r="F233" s="1" t="s">
        <v>964</v>
      </c>
      <c r="G233" s="1" t="s">
        <v>965</v>
      </c>
      <c r="H233" s="1" t="s">
        <v>4550</v>
      </c>
      <c r="I233" s="18">
        <v>45931</v>
      </c>
      <c r="J233" s="18">
        <v>45931</v>
      </c>
      <c r="K233" s="18" t="s">
        <v>4737</v>
      </c>
      <c r="L233" s="18" t="s">
        <v>4734</v>
      </c>
      <c r="M233" s="2">
        <v>1200000</v>
      </c>
      <c r="N233" s="2">
        <v>1200000</v>
      </c>
      <c r="O233" s="2"/>
      <c r="P233" s="2" t="str">
        <f t="shared" si="12"/>
        <v/>
      </c>
      <c r="Q233" s="2"/>
      <c r="R233" s="2"/>
      <c r="S233" s="48"/>
      <c r="T233" s="2">
        <v>3600000</v>
      </c>
      <c r="U233" s="2">
        <v>0</v>
      </c>
      <c r="V233" s="1" t="s">
        <v>966</v>
      </c>
      <c r="W233" s="6" t="s">
        <v>967</v>
      </c>
      <c r="X233" s="1" t="s">
        <v>106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>
        <v>1200000</v>
      </c>
      <c r="AI233" s="3">
        <v>1200000</v>
      </c>
      <c r="AJ233" s="3">
        <v>1200000</v>
      </c>
      <c r="AK233" s="3">
        <v>1200000</v>
      </c>
      <c r="AL233" s="3">
        <v>1200000</v>
      </c>
      <c r="AM233" s="3">
        <v>1200000</v>
      </c>
      <c r="AN233" s="3">
        <v>1200000</v>
      </c>
      <c r="AO233" s="3">
        <v>1200000</v>
      </c>
      <c r="AP233" s="3">
        <v>1200000</v>
      </c>
      <c r="AQ233" s="3"/>
      <c r="AR233" s="3"/>
      <c r="AS233" s="3"/>
      <c r="AT233" s="3"/>
      <c r="AU233" s="3"/>
      <c r="AV233" s="3"/>
      <c r="AW233" s="3">
        <f t="shared" si="13"/>
        <v>3600000</v>
      </c>
      <c r="AX233" s="3">
        <f t="shared" si="14"/>
        <v>7200000</v>
      </c>
      <c r="AY233" s="4">
        <f t="shared" si="15"/>
        <v>9</v>
      </c>
      <c r="AZ233" s="8">
        <v>0</v>
      </c>
      <c r="BA233" s="4" t="s">
        <v>5726</v>
      </c>
      <c r="BB233" s="2"/>
      <c r="BC233" s="3"/>
      <c r="BD233" s="3"/>
    </row>
    <row r="234" spans="1:56" ht="16.8" customHeight="1">
      <c r="A234" s="1">
        <v>233</v>
      </c>
      <c r="B234" s="1" t="s">
        <v>42</v>
      </c>
      <c r="C234" s="1" t="s">
        <v>47</v>
      </c>
      <c r="D234" s="1" t="s">
        <v>968</v>
      </c>
      <c r="E234" s="1" t="s">
        <v>968</v>
      </c>
      <c r="F234" s="1" t="s">
        <v>969</v>
      </c>
      <c r="G234" s="1" t="s">
        <v>970</v>
      </c>
      <c r="H234" s="1" t="s">
        <v>4889</v>
      </c>
      <c r="I234" s="18">
        <v>45931</v>
      </c>
      <c r="J234" s="18">
        <v>45931</v>
      </c>
      <c r="K234" s="18" t="s">
        <v>4737</v>
      </c>
      <c r="L234" s="18" t="s">
        <v>4734</v>
      </c>
      <c r="M234" s="2">
        <v>1500000</v>
      </c>
      <c r="N234" s="2">
        <v>1500000</v>
      </c>
      <c r="O234" s="2"/>
      <c r="P234" s="2" t="str">
        <f t="shared" si="12"/>
        <v/>
      </c>
      <c r="Q234" s="2"/>
      <c r="R234" s="2"/>
      <c r="S234" s="48"/>
      <c r="T234" s="2">
        <v>4500000</v>
      </c>
      <c r="U234" s="2">
        <v>0</v>
      </c>
      <c r="V234" s="1" t="s">
        <v>971</v>
      </c>
      <c r="W234" s="6" t="s">
        <v>972</v>
      </c>
      <c r="X234" s="1" t="s">
        <v>106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>
        <v>1500000</v>
      </c>
      <c r="AI234" s="3">
        <v>1500000</v>
      </c>
      <c r="AJ234" s="3">
        <v>1500000</v>
      </c>
      <c r="AK234" s="3">
        <v>1500000</v>
      </c>
      <c r="AL234" s="3">
        <v>1500000</v>
      </c>
      <c r="AM234" s="3">
        <v>1500000</v>
      </c>
      <c r="AN234" s="3">
        <v>1500000</v>
      </c>
      <c r="AO234" s="3">
        <v>1500000</v>
      </c>
      <c r="AP234" s="3">
        <v>1500000</v>
      </c>
      <c r="AQ234" s="3"/>
      <c r="AR234" s="3"/>
      <c r="AS234" s="3"/>
      <c r="AT234" s="3"/>
      <c r="AU234" s="3"/>
      <c r="AV234" s="3"/>
      <c r="AW234" s="3">
        <f t="shared" si="13"/>
        <v>4500000</v>
      </c>
      <c r="AX234" s="3">
        <f t="shared" si="14"/>
        <v>9000000</v>
      </c>
      <c r="AY234" s="4">
        <f t="shared" si="15"/>
        <v>9</v>
      </c>
      <c r="AZ234" s="8" t="s">
        <v>5522</v>
      </c>
      <c r="BA234" s="4" t="s">
        <v>5726</v>
      </c>
      <c r="BB234" s="2"/>
      <c r="BC234" s="3"/>
      <c r="BD234" s="3"/>
    </row>
    <row r="235" spans="1:56" ht="16.8" customHeight="1">
      <c r="A235" s="1">
        <v>234</v>
      </c>
      <c r="B235" s="1" t="s">
        <v>42</v>
      </c>
      <c r="C235" s="1" t="s">
        <v>185</v>
      </c>
      <c r="D235" s="1" t="s">
        <v>973</v>
      </c>
      <c r="E235" s="1" t="s">
        <v>973</v>
      </c>
      <c r="F235" s="1" t="s">
        <v>974</v>
      </c>
      <c r="G235" s="1" t="s">
        <v>975</v>
      </c>
      <c r="H235" s="1" t="s">
        <v>4531</v>
      </c>
      <c r="I235" s="18">
        <v>45931</v>
      </c>
      <c r="J235" s="18">
        <v>45931</v>
      </c>
      <c r="K235" s="18" t="s">
        <v>4733</v>
      </c>
      <c r="L235" s="18" t="s">
        <v>4734</v>
      </c>
      <c r="M235" s="2">
        <v>8200000</v>
      </c>
      <c r="N235" s="2">
        <v>8200000</v>
      </c>
      <c r="O235" s="2"/>
      <c r="P235" s="2" t="str">
        <f t="shared" si="12"/>
        <v/>
      </c>
      <c r="Q235" s="2"/>
      <c r="R235" s="2"/>
      <c r="S235" s="48"/>
      <c r="T235" s="2">
        <v>27060000</v>
      </c>
      <c r="U235" s="2">
        <v>0</v>
      </c>
      <c r="V235" s="1" t="s">
        <v>975</v>
      </c>
      <c r="W235" s="6" t="s">
        <v>976</v>
      </c>
      <c r="X235" s="1" t="s">
        <v>977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>
        <v>8200000</v>
      </c>
      <c r="AL235" s="3">
        <v>8200000</v>
      </c>
      <c r="AM235" s="3">
        <v>8200000</v>
      </c>
      <c r="AN235" s="3">
        <v>8200000</v>
      </c>
      <c r="AO235" s="3">
        <v>8200000</v>
      </c>
      <c r="AP235" s="3">
        <v>8200000</v>
      </c>
      <c r="AQ235" s="3"/>
      <c r="AR235" s="3"/>
      <c r="AS235" s="3"/>
      <c r="AT235" s="3"/>
      <c r="AU235" s="3"/>
      <c r="AV235" s="3"/>
      <c r="AW235" s="3">
        <f t="shared" si="13"/>
        <v>0</v>
      </c>
      <c r="AX235" s="3">
        <f t="shared" si="14"/>
        <v>49200000</v>
      </c>
      <c r="AY235" s="4">
        <f t="shared" si="15"/>
        <v>6</v>
      </c>
      <c r="AZ235" s="8" t="s">
        <v>5484</v>
      </c>
      <c r="BA235" s="4" t="s">
        <v>5727</v>
      </c>
      <c r="BB235" s="2"/>
      <c r="BC235" s="3"/>
      <c r="BD235" s="3"/>
    </row>
    <row r="236" spans="1:56" ht="16.8" customHeight="1">
      <c r="A236" s="1">
        <v>235</v>
      </c>
      <c r="B236" s="1" t="s">
        <v>42</v>
      </c>
      <c r="C236" s="1" t="s">
        <v>43</v>
      </c>
      <c r="D236" s="1" t="s">
        <v>978</v>
      </c>
      <c r="E236" s="1" t="s">
        <v>978</v>
      </c>
      <c r="F236" s="1" t="s">
        <v>979</v>
      </c>
      <c r="G236" s="1" t="s">
        <v>980</v>
      </c>
      <c r="H236" s="1" t="s">
        <v>4890</v>
      </c>
      <c r="I236" s="18">
        <v>46650</v>
      </c>
      <c r="J236" s="18">
        <v>10</v>
      </c>
      <c r="K236" s="18">
        <v>1000000</v>
      </c>
      <c r="L236" s="18" t="s">
        <v>4734</v>
      </c>
      <c r="M236" s="2">
        <v>1000000</v>
      </c>
      <c r="N236" s="2">
        <v>1000000</v>
      </c>
      <c r="O236" s="2"/>
      <c r="P236" s="2" t="str">
        <f t="shared" si="12"/>
        <v/>
      </c>
      <c r="Q236" s="2"/>
      <c r="R236" s="2"/>
      <c r="S236" s="48"/>
      <c r="T236" s="2">
        <v>1800000</v>
      </c>
      <c r="U236" s="2">
        <v>3000000</v>
      </c>
      <c r="V236" s="1"/>
      <c r="W236" s="6"/>
      <c r="X236" s="1"/>
      <c r="Y236" s="3"/>
      <c r="Z236" s="3"/>
      <c r="AA236" s="3"/>
      <c r="AB236" s="3"/>
      <c r="AC236" s="3"/>
      <c r="AD236" s="3"/>
      <c r="AE236" s="3"/>
      <c r="AF236" s="3"/>
      <c r="AG236" s="3"/>
      <c r="AH236" s="3">
        <v>1000000</v>
      </c>
      <c r="AI236" s="3">
        <v>1000000</v>
      </c>
      <c r="AJ236" s="3">
        <v>1000000</v>
      </c>
      <c r="AK236" s="3">
        <v>1000000</v>
      </c>
      <c r="AL236" s="3">
        <v>1000000</v>
      </c>
      <c r="AM236" s="3">
        <v>1000000</v>
      </c>
      <c r="AN236" s="3">
        <v>1000000</v>
      </c>
      <c r="AO236" s="3">
        <v>1000000</v>
      </c>
      <c r="AP236" s="3">
        <v>1000000</v>
      </c>
      <c r="AQ236" s="3"/>
      <c r="AR236" s="3"/>
      <c r="AS236" s="3"/>
      <c r="AT236" s="3"/>
      <c r="AU236" s="3"/>
      <c r="AV236" s="3"/>
      <c r="AW236" s="3">
        <f t="shared" si="13"/>
        <v>3000000</v>
      </c>
      <c r="AX236" s="3">
        <f t="shared" si="14"/>
        <v>6000000</v>
      </c>
      <c r="AY236" s="4">
        <f t="shared" si="15"/>
        <v>9</v>
      </c>
      <c r="AZ236" s="8">
        <v>0</v>
      </c>
      <c r="BA236" s="4" t="s">
        <v>5728</v>
      </c>
      <c r="BB236" s="2"/>
      <c r="BC236" s="3"/>
      <c r="BD236" s="3"/>
    </row>
    <row r="237" spans="1:56" ht="16.8" customHeight="1">
      <c r="A237" s="1">
        <v>236</v>
      </c>
      <c r="B237" s="1" t="s">
        <v>42</v>
      </c>
      <c r="C237" s="1" t="s">
        <v>43</v>
      </c>
      <c r="D237" s="1" t="s">
        <v>978</v>
      </c>
      <c r="E237" s="1" t="s">
        <v>978</v>
      </c>
      <c r="F237" s="1" t="s">
        <v>979</v>
      </c>
      <c r="G237" s="1" t="s">
        <v>981</v>
      </c>
      <c r="H237" s="1" t="s">
        <v>4890</v>
      </c>
      <c r="I237" s="18">
        <v>46650</v>
      </c>
      <c r="J237" s="18">
        <v>10</v>
      </c>
      <c r="K237" s="18">
        <v>1000000</v>
      </c>
      <c r="L237" s="18" t="s">
        <v>4734</v>
      </c>
      <c r="M237" s="2">
        <v>300000</v>
      </c>
      <c r="N237" s="2">
        <v>300000</v>
      </c>
      <c r="O237" s="2"/>
      <c r="P237" s="2" t="str">
        <f t="shared" si="12"/>
        <v/>
      </c>
      <c r="Q237" s="2"/>
      <c r="R237" s="2"/>
      <c r="S237" s="48"/>
      <c r="T237" s="2">
        <v>1800000</v>
      </c>
      <c r="U237" s="2">
        <v>3000000</v>
      </c>
      <c r="V237" s="1" t="s">
        <v>146</v>
      </c>
      <c r="W237" s="6" t="s">
        <v>147</v>
      </c>
      <c r="X237" s="1" t="s">
        <v>148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300000</v>
      </c>
      <c r="AI237" s="3">
        <v>300000</v>
      </c>
      <c r="AJ237" s="3">
        <v>300000</v>
      </c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>
        <f t="shared" si="13"/>
        <v>900000</v>
      </c>
      <c r="AX237" s="3">
        <f t="shared" si="14"/>
        <v>0</v>
      </c>
      <c r="AY237" s="4">
        <f t="shared" si="15"/>
        <v>3</v>
      </c>
      <c r="AZ237" s="8">
        <v>0</v>
      </c>
      <c r="BA237" s="4" t="s">
        <v>5728</v>
      </c>
      <c r="BB237" s="2"/>
      <c r="BC237" s="3"/>
      <c r="BD237" s="3"/>
    </row>
    <row r="238" spans="1:56" ht="16.8" customHeight="1">
      <c r="A238" s="1">
        <v>237</v>
      </c>
      <c r="B238" s="1" t="s">
        <v>42</v>
      </c>
      <c r="C238" s="1" t="s">
        <v>185</v>
      </c>
      <c r="D238" s="1" t="s">
        <v>982</v>
      </c>
      <c r="E238" s="1" t="s">
        <v>982</v>
      </c>
      <c r="F238" s="1" t="s">
        <v>983</v>
      </c>
      <c r="G238" s="1" t="s">
        <v>453</v>
      </c>
      <c r="H238" s="1" t="s">
        <v>4551</v>
      </c>
      <c r="I238" s="18">
        <v>45931</v>
      </c>
      <c r="J238" s="18">
        <v>45931</v>
      </c>
      <c r="K238" s="18" t="s">
        <v>4733</v>
      </c>
      <c r="L238" s="18" t="s">
        <v>4734</v>
      </c>
      <c r="M238" s="2">
        <v>8200000</v>
      </c>
      <c r="N238" s="2">
        <v>8200000</v>
      </c>
      <c r="O238" s="2"/>
      <c r="P238" s="2" t="str">
        <f t="shared" si="12"/>
        <v/>
      </c>
      <c r="Q238" s="2"/>
      <c r="R238" s="2"/>
      <c r="S238" s="48"/>
      <c r="T238" s="2">
        <v>24600000</v>
      </c>
      <c r="U238" s="2">
        <v>0</v>
      </c>
      <c r="V238" s="1" t="s">
        <v>453</v>
      </c>
      <c r="W238" s="6" t="s">
        <v>985</v>
      </c>
      <c r="X238" s="1" t="s">
        <v>481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>
        <v>8200000</v>
      </c>
      <c r="AI238" s="3">
        <v>8200000</v>
      </c>
      <c r="AJ238" s="3">
        <v>8200000</v>
      </c>
      <c r="AK238" s="3">
        <v>8200000</v>
      </c>
      <c r="AL238" s="3">
        <v>8200000</v>
      </c>
      <c r="AM238" s="3">
        <v>8200000</v>
      </c>
      <c r="AN238" s="3">
        <v>8200000</v>
      </c>
      <c r="AO238" s="3">
        <v>8200000</v>
      </c>
      <c r="AP238" s="3">
        <v>8200000</v>
      </c>
      <c r="AQ238" s="3"/>
      <c r="AR238" s="3"/>
      <c r="AS238" s="3"/>
      <c r="AT238" s="3"/>
      <c r="AU238" s="3"/>
      <c r="AV238" s="3"/>
      <c r="AW238" s="3">
        <f t="shared" si="13"/>
        <v>24600000</v>
      </c>
      <c r="AX238" s="3">
        <f t="shared" si="14"/>
        <v>49200000</v>
      </c>
      <c r="AY238" s="4">
        <f t="shared" si="15"/>
        <v>9</v>
      </c>
      <c r="AZ238" s="8" t="s">
        <v>5523</v>
      </c>
      <c r="BA238" s="4" t="s">
        <v>5727</v>
      </c>
      <c r="BB238" s="2"/>
      <c r="BC238" s="3"/>
      <c r="BD238" s="3"/>
    </row>
    <row r="239" spans="1:56" ht="16.8" customHeight="1">
      <c r="A239" s="1">
        <v>238</v>
      </c>
      <c r="B239" s="1" t="s">
        <v>42</v>
      </c>
      <c r="C239" s="1" t="s">
        <v>185</v>
      </c>
      <c r="D239" s="1" t="s">
        <v>986</v>
      </c>
      <c r="E239" s="1" t="s">
        <v>986</v>
      </c>
      <c r="F239" s="1" t="s">
        <v>987</v>
      </c>
      <c r="G239" s="1" t="s">
        <v>988</v>
      </c>
      <c r="H239" s="1" t="s">
        <v>4552</v>
      </c>
      <c r="I239" s="18">
        <v>45931</v>
      </c>
      <c r="J239" s="18">
        <v>45931</v>
      </c>
      <c r="K239" s="18" t="s">
        <v>4733</v>
      </c>
      <c r="L239" s="18" t="s">
        <v>4734</v>
      </c>
      <c r="M239" s="2">
        <v>8200000</v>
      </c>
      <c r="N239" s="2">
        <v>8200000</v>
      </c>
      <c r="O239" s="2"/>
      <c r="P239" s="2" t="str">
        <f t="shared" si="12"/>
        <v/>
      </c>
      <c r="Q239" s="2"/>
      <c r="R239" s="2"/>
      <c r="S239" s="48"/>
      <c r="T239" s="2">
        <v>24600000</v>
      </c>
      <c r="U239" s="2">
        <v>0</v>
      </c>
      <c r="V239" s="1" t="s">
        <v>988</v>
      </c>
      <c r="W239" s="6" t="s">
        <v>989</v>
      </c>
      <c r="X239" s="1" t="s">
        <v>547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>
        <v>8200000</v>
      </c>
      <c r="AI239" s="3">
        <v>8200000</v>
      </c>
      <c r="AJ239" s="3">
        <v>8200000</v>
      </c>
      <c r="AK239" s="3">
        <v>8200000</v>
      </c>
      <c r="AL239" s="3">
        <v>8200000</v>
      </c>
      <c r="AM239" s="3">
        <v>8200000</v>
      </c>
      <c r="AN239" s="3">
        <v>8200000</v>
      </c>
      <c r="AO239" s="3">
        <v>8200000</v>
      </c>
      <c r="AP239" s="3">
        <v>8200000</v>
      </c>
      <c r="AQ239" s="3"/>
      <c r="AR239" s="3"/>
      <c r="AS239" s="3"/>
      <c r="AT239" s="3"/>
      <c r="AU239" s="3"/>
      <c r="AV239" s="3"/>
      <c r="AW239" s="3">
        <f t="shared" si="13"/>
        <v>24600000</v>
      </c>
      <c r="AX239" s="3">
        <f t="shared" si="14"/>
        <v>49200000</v>
      </c>
      <c r="AY239" s="4">
        <f t="shared" si="15"/>
        <v>9</v>
      </c>
      <c r="AZ239" s="8" t="s">
        <v>5523</v>
      </c>
      <c r="BA239" s="4" t="s">
        <v>5727</v>
      </c>
      <c r="BB239" s="2"/>
      <c r="BC239" s="3"/>
      <c r="BD239" s="3"/>
    </row>
    <row r="240" spans="1:56" ht="16.8" customHeight="1">
      <c r="A240" s="1">
        <v>239</v>
      </c>
      <c r="B240" s="1" t="s">
        <v>42</v>
      </c>
      <c r="C240" s="1" t="s">
        <v>185</v>
      </c>
      <c r="D240" s="1" t="s">
        <v>990</v>
      </c>
      <c r="E240" s="1" t="s">
        <v>990</v>
      </c>
      <c r="F240" s="1" t="s">
        <v>991</v>
      </c>
      <c r="G240" s="1" t="s">
        <v>58</v>
      </c>
      <c r="H240" s="1" t="s">
        <v>4732</v>
      </c>
      <c r="I240" s="18">
        <v>45940</v>
      </c>
      <c r="J240" s="18">
        <v>45931</v>
      </c>
      <c r="K240" s="18" t="s">
        <v>4733</v>
      </c>
      <c r="L240" s="18" t="s">
        <v>4734</v>
      </c>
      <c r="M240" s="2">
        <v>8200000</v>
      </c>
      <c r="N240" s="2">
        <v>8200000</v>
      </c>
      <c r="O240" s="2"/>
      <c r="P240" s="2" t="str">
        <f t="shared" si="12"/>
        <v/>
      </c>
      <c r="Q240" s="2"/>
      <c r="R240" s="2"/>
      <c r="S240" s="48"/>
      <c r="T240" s="2">
        <v>27060000</v>
      </c>
      <c r="U240" s="2">
        <v>0</v>
      </c>
      <c r="V240" s="1" t="s">
        <v>58</v>
      </c>
      <c r="W240" s="6" t="s">
        <v>59</v>
      </c>
      <c r="X240" s="1" t="s">
        <v>60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>
        <v>8200000</v>
      </c>
      <c r="AL240" s="3">
        <v>8200000</v>
      </c>
      <c r="AM240" s="3">
        <v>8200000</v>
      </c>
      <c r="AN240" s="3">
        <v>8200000</v>
      </c>
      <c r="AO240" s="3">
        <v>8200000</v>
      </c>
      <c r="AP240" s="3">
        <v>8200000</v>
      </c>
      <c r="AQ240" s="3"/>
      <c r="AR240" s="3"/>
      <c r="AS240" s="3"/>
      <c r="AT240" s="3"/>
      <c r="AU240" s="3"/>
      <c r="AV240" s="3"/>
      <c r="AW240" s="3">
        <f t="shared" si="13"/>
        <v>0</v>
      </c>
      <c r="AX240" s="3">
        <f t="shared" si="14"/>
        <v>49200000</v>
      </c>
      <c r="AY240" s="4">
        <f t="shared" si="15"/>
        <v>6</v>
      </c>
      <c r="AZ240" s="8" t="s">
        <v>5483</v>
      </c>
      <c r="BA240" s="4" t="s">
        <v>5727</v>
      </c>
      <c r="BB240" s="2"/>
      <c r="BC240" s="3"/>
      <c r="BD240" s="3"/>
    </row>
    <row r="241" spans="1:56" ht="16.8" customHeight="1">
      <c r="A241" s="1">
        <v>240</v>
      </c>
      <c r="B241" s="1" t="s">
        <v>42</v>
      </c>
      <c r="C241" s="1" t="s">
        <v>185</v>
      </c>
      <c r="D241" s="1" t="s">
        <v>992</v>
      </c>
      <c r="E241" s="1" t="s">
        <v>992</v>
      </c>
      <c r="F241" s="1" t="s">
        <v>993</v>
      </c>
      <c r="G241" s="1" t="s">
        <v>994</v>
      </c>
      <c r="H241" s="1" t="s">
        <v>4553</v>
      </c>
      <c r="I241" s="18">
        <v>45931</v>
      </c>
      <c r="J241" s="18">
        <v>45931</v>
      </c>
      <c r="K241" s="18" t="s">
        <v>4737</v>
      </c>
      <c r="L241" s="18" t="s">
        <v>4734</v>
      </c>
      <c r="M241" s="2">
        <v>8200000</v>
      </c>
      <c r="N241" s="2">
        <v>8200000</v>
      </c>
      <c r="O241" s="2"/>
      <c r="P241" s="2" t="str">
        <f t="shared" si="12"/>
        <v/>
      </c>
      <c r="Q241" s="2"/>
      <c r="R241" s="2"/>
      <c r="S241" s="48"/>
      <c r="T241" s="2">
        <v>24600000</v>
      </c>
      <c r="U241" s="2">
        <v>0</v>
      </c>
      <c r="V241" s="1" t="s">
        <v>994</v>
      </c>
      <c r="W241" s="6" t="s">
        <v>995</v>
      </c>
      <c r="X241" s="1" t="s">
        <v>75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>
        <v>8200000</v>
      </c>
      <c r="AI241" s="3">
        <v>8200000</v>
      </c>
      <c r="AJ241" s="3">
        <v>8200000</v>
      </c>
      <c r="AK241" s="3">
        <v>8200000</v>
      </c>
      <c r="AL241" s="3">
        <v>8200000</v>
      </c>
      <c r="AM241" s="3">
        <v>8200000</v>
      </c>
      <c r="AN241" s="3">
        <v>8200000</v>
      </c>
      <c r="AO241" s="3">
        <v>8200000</v>
      </c>
      <c r="AP241" s="3">
        <v>8200000</v>
      </c>
      <c r="AQ241" s="3"/>
      <c r="AR241" s="3"/>
      <c r="AS241" s="3"/>
      <c r="AT241" s="3"/>
      <c r="AU241" s="3"/>
      <c r="AV241" s="3"/>
      <c r="AW241" s="3">
        <f t="shared" si="13"/>
        <v>24600000</v>
      </c>
      <c r="AX241" s="3">
        <f t="shared" si="14"/>
        <v>49200000</v>
      </c>
      <c r="AY241" s="4">
        <f t="shared" si="15"/>
        <v>9</v>
      </c>
      <c r="AZ241" s="8" t="s">
        <v>5523</v>
      </c>
      <c r="BA241" s="4" t="s">
        <v>5727</v>
      </c>
      <c r="BB241" s="2"/>
      <c r="BC241" s="3"/>
      <c r="BD241" s="3"/>
    </row>
    <row r="242" spans="1:56" ht="16.8" customHeight="1">
      <c r="A242" s="1">
        <v>241</v>
      </c>
      <c r="B242" s="1" t="s">
        <v>42</v>
      </c>
      <c r="C242" s="1" t="s">
        <v>43</v>
      </c>
      <c r="D242" s="1" t="s">
        <v>996</v>
      </c>
      <c r="E242" s="1" t="s">
        <v>996</v>
      </c>
      <c r="F242" s="1" t="s">
        <v>997</v>
      </c>
      <c r="G242" s="1" t="s">
        <v>998</v>
      </c>
      <c r="H242" s="1" t="s">
        <v>4554</v>
      </c>
      <c r="I242" s="18">
        <v>45931</v>
      </c>
      <c r="J242" s="18">
        <v>45931</v>
      </c>
      <c r="K242" s="18" t="s">
        <v>4877</v>
      </c>
      <c r="L242" s="18" t="s">
        <v>4734</v>
      </c>
      <c r="M242" s="2">
        <v>1700000</v>
      </c>
      <c r="N242" s="2">
        <v>1700000</v>
      </c>
      <c r="O242" s="2"/>
      <c r="P242" s="2" t="str">
        <f t="shared" si="12"/>
        <v/>
      </c>
      <c r="Q242" s="2"/>
      <c r="R242" s="2"/>
      <c r="S242" s="48"/>
      <c r="T242" s="2">
        <v>5100000</v>
      </c>
      <c r="U242" s="2">
        <v>0</v>
      </c>
      <c r="V242" s="1" t="s">
        <v>999</v>
      </c>
      <c r="W242" s="6" t="s">
        <v>1000</v>
      </c>
      <c r="X242" s="1" t="s">
        <v>1001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>
        <v>1700000</v>
      </c>
      <c r="AI242" s="3">
        <v>1700000</v>
      </c>
      <c r="AJ242" s="3">
        <v>1700000</v>
      </c>
      <c r="AK242" s="3">
        <v>1700000</v>
      </c>
      <c r="AL242" s="3">
        <v>1700000</v>
      </c>
      <c r="AM242" s="3">
        <v>1700000</v>
      </c>
      <c r="AN242" s="3">
        <v>1700000</v>
      </c>
      <c r="AO242" s="3">
        <v>1700000</v>
      </c>
      <c r="AP242" s="3">
        <v>1700000</v>
      </c>
      <c r="AQ242" s="3"/>
      <c r="AR242" s="3"/>
      <c r="AS242" s="3"/>
      <c r="AT242" s="3"/>
      <c r="AU242" s="3"/>
      <c r="AV242" s="3"/>
      <c r="AW242" s="3">
        <f t="shared" si="13"/>
        <v>5100000</v>
      </c>
      <c r="AX242" s="3">
        <f t="shared" si="14"/>
        <v>10200000</v>
      </c>
      <c r="AY242" s="4">
        <f t="shared" si="15"/>
        <v>9</v>
      </c>
      <c r="AZ242" s="8" t="s">
        <v>5693</v>
      </c>
      <c r="BA242" s="4" t="s">
        <v>5715</v>
      </c>
      <c r="BB242" s="2"/>
      <c r="BC242" s="3"/>
      <c r="BD242" s="3"/>
    </row>
    <row r="243" spans="1:56" ht="16.8" customHeight="1">
      <c r="A243" s="1">
        <v>242</v>
      </c>
      <c r="B243" s="1" t="s">
        <v>42</v>
      </c>
      <c r="C243" s="1" t="s">
        <v>43</v>
      </c>
      <c r="D243" s="1" t="s">
        <v>1002</v>
      </c>
      <c r="E243" s="1" t="s">
        <v>1002</v>
      </c>
      <c r="F243" s="1" t="s">
        <v>1003</v>
      </c>
      <c r="G243" s="1" t="s">
        <v>1004</v>
      </c>
      <c r="H243" s="1" t="s">
        <v>4555</v>
      </c>
      <c r="I243" s="18">
        <v>45931</v>
      </c>
      <c r="J243" s="18">
        <v>45931</v>
      </c>
      <c r="K243" s="18" t="s">
        <v>4768</v>
      </c>
      <c r="L243" s="18" t="s">
        <v>4734</v>
      </c>
      <c r="M243" s="2">
        <v>500000</v>
      </c>
      <c r="N243" s="2">
        <v>500000</v>
      </c>
      <c r="O243" s="2"/>
      <c r="P243" s="2" t="str">
        <f t="shared" si="12"/>
        <v/>
      </c>
      <c r="Q243" s="2"/>
      <c r="R243" s="2"/>
      <c r="S243" s="48"/>
      <c r="T243" s="2">
        <v>1500000</v>
      </c>
      <c r="U243" s="2">
        <v>0</v>
      </c>
      <c r="V243" s="1" t="s">
        <v>87</v>
      </c>
      <c r="W243" s="6" t="s">
        <v>88</v>
      </c>
      <c r="X243" s="1" t="s">
        <v>230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>
        <v>500000</v>
      </c>
      <c r="AI243" s="3">
        <v>500000</v>
      </c>
      <c r="AJ243" s="3">
        <v>500000</v>
      </c>
      <c r="AK243" s="3">
        <v>500000</v>
      </c>
      <c r="AL243" s="3">
        <v>500000</v>
      </c>
      <c r="AM243" s="3">
        <v>500000</v>
      </c>
      <c r="AN243" s="3">
        <v>500000</v>
      </c>
      <c r="AO243" s="3">
        <v>500000</v>
      </c>
      <c r="AP243" s="3">
        <v>500000</v>
      </c>
      <c r="AQ243" s="3"/>
      <c r="AR243" s="3"/>
      <c r="AS243" s="3"/>
      <c r="AT243" s="3"/>
      <c r="AU243" s="3"/>
      <c r="AV243" s="3"/>
      <c r="AW243" s="3">
        <f t="shared" si="13"/>
        <v>1500000</v>
      </c>
      <c r="AX243" s="3">
        <f t="shared" si="14"/>
        <v>3000000</v>
      </c>
      <c r="AY243" s="4">
        <f t="shared" si="15"/>
        <v>9</v>
      </c>
      <c r="AZ243" s="8" t="s">
        <v>5694</v>
      </c>
      <c r="BA243" s="4" t="s">
        <v>5727</v>
      </c>
      <c r="BB243" s="2"/>
      <c r="BC243" s="3"/>
      <c r="BD243" s="3"/>
    </row>
    <row r="244" spans="1:56" ht="16.8" customHeight="1">
      <c r="A244" s="1">
        <v>243</v>
      </c>
      <c r="B244" s="1" t="s">
        <v>42</v>
      </c>
      <c r="C244" s="1" t="s">
        <v>43</v>
      </c>
      <c r="D244" s="1" t="s">
        <v>1005</v>
      </c>
      <c r="E244" s="1" t="s">
        <v>1005</v>
      </c>
      <c r="F244" s="1" t="s">
        <v>1006</v>
      </c>
      <c r="G244" s="1" t="s">
        <v>1007</v>
      </c>
      <c r="H244" s="1" t="s">
        <v>4556</v>
      </c>
      <c r="I244" s="18">
        <v>45931</v>
      </c>
      <c r="J244" s="18">
        <v>45931</v>
      </c>
      <c r="K244" s="18" t="s">
        <v>4768</v>
      </c>
      <c r="L244" s="18" t="s">
        <v>4734</v>
      </c>
      <c r="M244" s="2">
        <v>500000</v>
      </c>
      <c r="N244" s="2">
        <v>500000</v>
      </c>
      <c r="O244" s="2"/>
      <c r="P244" s="2" t="str">
        <f t="shared" si="12"/>
        <v/>
      </c>
      <c r="Q244" s="2"/>
      <c r="R244" s="2"/>
      <c r="S244" s="48"/>
      <c r="T244" s="2">
        <v>1500000</v>
      </c>
      <c r="U244" s="2">
        <v>0</v>
      </c>
      <c r="V244" s="1" t="s">
        <v>87</v>
      </c>
      <c r="W244" s="6" t="s">
        <v>88</v>
      </c>
      <c r="X244" s="1" t="s">
        <v>230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>
        <v>500000</v>
      </c>
      <c r="AI244" s="3">
        <v>500000</v>
      </c>
      <c r="AJ244" s="3">
        <v>500000</v>
      </c>
      <c r="AK244" s="3">
        <v>500000</v>
      </c>
      <c r="AL244" s="3">
        <v>500000</v>
      </c>
      <c r="AM244" s="3">
        <v>500000</v>
      </c>
      <c r="AN244" s="3">
        <v>500000</v>
      </c>
      <c r="AO244" s="3">
        <v>500000</v>
      </c>
      <c r="AP244" s="3">
        <v>500000</v>
      </c>
      <c r="AQ244" s="3"/>
      <c r="AR244" s="3"/>
      <c r="AS244" s="3"/>
      <c r="AT244" s="3"/>
      <c r="AU244" s="3"/>
      <c r="AV244" s="3"/>
      <c r="AW244" s="3">
        <f t="shared" si="13"/>
        <v>1500000</v>
      </c>
      <c r="AX244" s="3">
        <f t="shared" si="14"/>
        <v>3000000</v>
      </c>
      <c r="AY244" s="4">
        <f t="shared" si="15"/>
        <v>9</v>
      </c>
      <c r="BA244" s="4" t="s">
        <v>5727</v>
      </c>
      <c r="BB244" s="2"/>
      <c r="BC244" s="3"/>
      <c r="BD244" s="3"/>
    </row>
    <row r="245" spans="1:56" ht="16.8" customHeight="1">
      <c r="A245" s="1">
        <v>244</v>
      </c>
      <c r="B245" s="1" t="s">
        <v>42</v>
      </c>
      <c r="C245" s="1" t="s">
        <v>43</v>
      </c>
      <c r="D245" s="1" t="s">
        <v>1008</v>
      </c>
      <c r="E245" s="1" t="s">
        <v>1008</v>
      </c>
      <c r="F245" s="1" t="s">
        <v>1009</v>
      </c>
      <c r="G245" s="1" t="s">
        <v>1010</v>
      </c>
      <c r="H245" s="1" t="s">
        <v>4557</v>
      </c>
      <c r="I245" s="18">
        <v>45931</v>
      </c>
      <c r="J245" s="18">
        <v>45931</v>
      </c>
      <c r="K245" s="18" t="s">
        <v>4737</v>
      </c>
      <c r="L245" s="18" t="s">
        <v>4734</v>
      </c>
      <c r="M245" s="2">
        <v>1800000</v>
      </c>
      <c r="N245" s="2">
        <v>1800000</v>
      </c>
      <c r="O245" s="2"/>
      <c r="P245" s="2" t="str">
        <f t="shared" si="12"/>
        <v/>
      </c>
      <c r="Q245" s="2"/>
      <c r="R245" s="2"/>
      <c r="S245" s="48"/>
      <c r="T245" s="2">
        <v>5400000</v>
      </c>
      <c r="U245" s="2">
        <v>0</v>
      </c>
      <c r="V245" s="1" t="s">
        <v>87</v>
      </c>
      <c r="W245" s="6" t="s">
        <v>88</v>
      </c>
      <c r="X245" s="1" t="s">
        <v>230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>
        <v>1800000</v>
      </c>
      <c r="AI245" s="3">
        <v>1800000</v>
      </c>
      <c r="AJ245" s="3">
        <v>1800000</v>
      </c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>
        <f t="shared" si="13"/>
        <v>5400000</v>
      </c>
      <c r="AX245" s="3">
        <f t="shared" si="14"/>
        <v>0</v>
      </c>
      <c r="AY245" s="4">
        <f t="shared" si="15"/>
        <v>3</v>
      </c>
      <c r="AZ245" s="8">
        <v>0</v>
      </c>
      <c r="BA245" s="4" t="s">
        <v>5726</v>
      </c>
      <c r="BB245" s="2"/>
      <c r="BC245" s="3"/>
      <c r="BD245" s="4"/>
    </row>
    <row r="246" spans="1:56" ht="16.8" customHeight="1">
      <c r="A246" s="1">
        <v>245</v>
      </c>
      <c r="B246" s="1" t="s">
        <v>42</v>
      </c>
      <c r="C246" s="1" t="s">
        <v>185</v>
      </c>
      <c r="D246" s="1" t="s">
        <v>1011</v>
      </c>
      <c r="E246" s="1" t="s">
        <v>1011</v>
      </c>
      <c r="F246" s="1" t="s">
        <v>1012</v>
      </c>
      <c r="G246" s="1" t="s">
        <v>975</v>
      </c>
      <c r="H246" s="1" t="s">
        <v>4531</v>
      </c>
      <c r="I246" s="18">
        <v>45931</v>
      </c>
      <c r="J246" s="18">
        <v>45931</v>
      </c>
      <c r="K246" s="18" t="s">
        <v>4733</v>
      </c>
      <c r="L246" s="18" t="s">
        <v>4734</v>
      </c>
      <c r="M246" s="2">
        <v>8200000</v>
      </c>
      <c r="N246" s="2">
        <v>8200000</v>
      </c>
      <c r="O246" s="2"/>
      <c r="P246" s="2" t="str">
        <f t="shared" si="12"/>
        <v/>
      </c>
      <c r="Q246" s="2"/>
      <c r="R246" s="2"/>
      <c r="S246" s="48"/>
      <c r="T246" s="2">
        <v>27060000</v>
      </c>
      <c r="U246" s="2">
        <v>0</v>
      </c>
      <c r="V246" s="1" t="s">
        <v>975</v>
      </c>
      <c r="W246" s="6" t="s">
        <v>976</v>
      </c>
      <c r="X246" s="1" t="s">
        <v>977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>
        <v>8200000</v>
      </c>
      <c r="AL246" s="3">
        <v>8200000</v>
      </c>
      <c r="AM246" s="3">
        <v>8200000</v>
      </c>
      <c r="AN246" s="3">
        <v>8200000</v>
      </c>
      <c r="AO246" s="3">
        <v>8200000</v>
      </c>
      <c r="AP246" s="3">
        <v>8200000</v>
      </c>
      <c r="AQ246" s="3"/>
      <c r="AR246" s="3"/>
      <c r="AS246" s="3"/>
      <c r="AT246" s="3"/>
      <c r="AU246" s="3"/>
      <c r="AV246" s="3"/>
      <c r="AW246" s="3">
        <f t="shared" si="13"/>
        <v>0</v>
      </c>
      <c r="AX246" s="3">
        <f t="shared" si="14"/>
        <v>49200000</v>
      </c>
      <c r="AY246" s="4">
        <f t="shared" si="15"/>
        <v>6</v>
      </c>
      <c r="AZ246" s="8" t="s">
        <v>5484</v>
      </c>
      <c r="BA246" s="4" t="s">
        <v>5727</v>
      </c>
      <c r="BB246" s="2"/>
      <c r="BC246" s="3"/>
      <c r="BD246" s="3"/>
    </row>
    <row r="247" spans="1:56" ht="16.8" customHeight="1">
      <c r="A247" s="1">
        <v>246</v>
      </c>
      <c r="B247" s="1" t="s">
        <v>42</v>
      </c>
      <c r="C247" s="1" t="s">
        <v>185</v>
      </c>
      <c r="D247" s="1" t="s">
        <v>1013</v>
      </c>
      <c r="E247" s="1" t="s">
        <v>1013</v>
      </c>
      <c r="F247" s="1" t="s">
        <v>1014</v>
      </c>
      <c r="G247" s="1" t="s">
        <v>975</v>
      </c>
      <c r="H247" s="1" t="s">
        <v>4531</v>
      </c>
      <c r="I247" s="18">
        <v>45931</v>
      </c>
      <c r="J247" s="18">
        <v>45931</v>
      </c>
      <c r="K247" s="18" t="s">
        <v>4733</v>
      </c>
      <c r="L247" s="18" t="s">
        <v>4734</v>
      </c>
      <c r="M247" s="2">
        <v>8200000</v>
      </c>
      <c r="N247" s="2">
        <v>8200000</v>
      </c>
      <c r="O247" s="2"/>
      <c r="P247" s="2" t="str">
        <f t="shared" si="12"/>
        <v/>
      </c>
      <c r="Q247" s="2"/>
      <c r="R247" s="2"/>
      <c r="S247" s="48"/>
      <c r="T247" s="2">
        <v>27060000</v>
      </c>
      <c r="U247" s="2">
        <v>0</v>
      </c>
      <c r="V247" s="1" t="s">
        <v>975</v>
      </c>
      <c r="W247" s="6" t="s">
        <v>976</v>
      </c>
      <c r="X247" s="1" t="s">
        <v>977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>
        <v>8200000</v>
      </c>
      <c r="AL247" s="3">
        <v>8200000</v>
      </c>
      <c r="AM247" s="3">
        <v>8200000</v>
      </c>
      <c r="AN247" s="3">
        <v>8200000</v>
      </c>
      <c r="AO247" s="3">
        <v>8200000</v>
      </c>
      <c r="AP247" s="3">
        <v>8200000</v>
      </c>
      <c r="AQ247" s="3"/>
      <c r="AR247" s="3"/>
      <c r="AS247" s="3"/>
      <c r="AT247" s="3"/>
      <c r="AU247" s="3"/>
      <c r="AV247" s="3"/>
      <c r="AW247" s="3">
        <f t="shared" si="13"/>
        <v>0</v>
      </c>
      <c r="AX247" s="3">
        <f t="shared" si="14"/>
        <v>49200000</v>
      </c>
      <c r="AY247" s="4">
        <f t="shared" si="15"/>
        <v>6</v>
      </c>
      <c r="AZ247" s="8" t="s">
        <v>5484</v>
      </c>
      <c r="BA247" s="4" t="s">
        <v>5727</v>
      </c>
      <c r="BB247" s="2"/>
      <c r="BC247" s="3"/>
      <c r="BD247" s="3"/>
    </row>
    <row r="248" spans="1:56" ht="16.8" customHeight="1">
      <c r="A248" s="1">
        <v>247</v>
      </c>
      <c r="B248" s="1" t="s">
        <v>42</v>
      </c>
      <c r="C248" s="1" t="s">
        <v>43</v>
      </c>
      <c r="D248" s="1" t="s">
        <v>1015</v>
      </c>
      <c r="E248" s="1" t="s">
        <v>1015</v>
      </c>
      <c r="F248" s="1" t="s">
        <v>1016</v>
      </c>
      <c r="G248" s="1" t="s">
        <v>1017</v>
      </c>
      <c r="H248" s="1" t="s">
        <v>4558</v>
      </c>
      <c r="I248" s="18">
        <v>45931</v>
      </c>
      <c r="J248" s="18">
        <v>45931</v>
      </c>
      <c r="K248" s="18" t="s">
        <v>4752</v>
      </c>
      <c r="L248" s="18" t="s">
        <v>4734</v>
      </c>
      <c r="M248" s="2">
        <v>1000000</v>
      </c>
      <c r="N248" s="2">
        <v>1000000</v>
      </c>
      <c r="O248" s="2"/>
      <c r="P248" s="2" t="str">
        <f t="shared" si="12"/>
        <v/>
      </c>
      <c r="Q248" s="2"/>
      <c r="R248" s="2"/>
      <c r="S248" s="48"/>
      <c r="T248" s="2">
        <v>3000000</v>
      </c>
      <c r="U248" s="2">
        <v>0</v>
      </c>
      <c r="V248" s="1" t="s">
        <v>146</v>
      </c>
      <c r="W248" s="6" t="s">
        <v>147</v>
      </c>
      <c r="X248" s="1" t="s">
        <v>148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>
        <v>1000000</v>
      </c>
      <c r="AI248" s="3">
        <v>1000000</v>
      </c>
      <c r="AJ248" s="3">
        <v>1000000</v>
      </c>
      <c r="AK248" s="3">
        <v>1000000</v>
      </c>
      <c r="AL248" s="3">
        <v>1000000</v>
      </c>
      <c r="AM248" s="3">
        <v>1000000</v>
      </c>
      <c r="AN248" s="3">
        <v>1000000</v>
      </c>
      <c r="AO248" s="3">
        <v>1000000</v>
      </c>
      <c r="AP248" s="3">
        <v>1000000</v>
      </c>
      <c r="AQ248" s="3"/>
      <c r="AR248" s="3"/>
      <c r="AS248" s="3"/>
      <c r="AT248" s="3"/>
      <c r="AU248" s="3"/>
      <c r="AV248" s="3"/>
      <c r="AW248" s="3">
        <f t="shared" si="13"/>
        <v>3000000</v>
      </c>
      <c r="AX248" s="3">
        <f t="shared" si="14"/>
        <v>6000000</v>
      </c>
      <c r="AY248" s="4">
        <f t="shared" si="15"/>
        <v>9</v>
      </c>
      <c r="AZ248" s="8" t="s">
        <v>5524</v>
      </c>
      <c r="BA248" s="4" t="s">
        <v>5715</v>
      </c>
      <c r="BB248" s="2"/>
      <c r="BC248" s="3"/>
      <c r="BD248" s="3"/>
    </row>
    <row r="249" spans="1:56" ht="16.8" customHeight="1">
      <c r="A249" s="1">
        <v>248</v>
      </c>
      <c r="B249" s="1" t="s">
        <v>42</v>
      </c>
      <c r="C249" s="1" t="s">
        <v>185</v>
      </c>
      <c r="D249" s="1" t="s">
        <v>1018</v>
      </c>
      <c r="E249" s="1" t="s">
        <v>1018</v>
      </c>
      <c r="F249" s="1" t="s">
        <v>1019</v>
      </c>
      <c r="G249" s="1" t="s">
        <v>1020</v>
      </c>
      <c r="H249" s="1" t="s">
        <v>4559</v>
      </c>
      <c r="I249" s="18">
        <v>45931</v>
      </c>
      <c r="J249" s="18">
        <v>45931</v>
      </c>
      <c r="K249" s="18" t="s">
        <v>4733</v>
      </c>
      <c r="L249" s="18" t="s">
        <v>4734</v>
      </c>
      <c r="M249" s="2">
        <v>8200000</v>
      </c>
      <c r="N249" s="2">
        <v>8200000</v>
      </c>
      <c r="O249" s="2"/>
      <c r="P249" s="2" t="str">
        <f t="shared" si="12"/>
        <v/>
      </c>
      <c r="Q249" s="2"/>
      <c r="R249" s="2"/>
      <c r="S249" s="48"/>
      <c r="T249" s="2">
        <v>24600000</v>
      </c>
      <c r="U249" s="2">
        <v>0</v>
      </c>
      <c r="V249" s="1" t="s">
        <v>1020</v>
      </c>
      <c r="W249" s="6" t="s">
        <v>1022</v>
      </c>
      <c r="X249" s="1" t="s">
        <v>1023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>
        <v>8200000</v>
      </c>
      <c r="AI249" s="3">
        <v>8200000</v>
      </c>
      <c r="AJ249" s="3">
        <v>8200000</v>
      </c>
      <c r="AK249" s="3">
        <v>8200000</v>
      </c>
      <c r="AL249" s="3">
        <v>8200000</v>
      </c>
      <c r="AM249" s="3">
        <v>8200000</v>
      </c>
      <c r="AN249" s="3">
        <v>8200000</v>
      </c>
      <c r="AO249" s="3">
        <v>8200000</v>
      </c>
      <c r="AP249" s="3">
        <v>8200000</v>
      </c>
      <c r="AQ249" s="3"/>
      <c r="AR249" s="3"/>
      <c r="AS249" s="3"/>
      <c r="AT249" s="3"/>
      <c r="AU249" s="3"/>
      <c r="AV249" s="3"/>
      <c r="AW249" s="3">
        <f t="shared" si="13"/>
        <v>24600000</v>
      </c>
      <c r="AX249" s="3">
        <f t="shared" si="14"/>
        <v>49200000</v>
      </c>
      <c r="AY249" s="4">
        <f t="shared" si="15"/>
        <v>9</v>
      </c>
      <c r="AZ249" s="8" t="s">
        <v>5486</v>
      </c>
      <c r="BA249" s="4" t="s">
        <v>5727</v>
      </c>
      <c r="BB249" s="2"/>
      <c r="BC249" s="3"/>
      <c r="BD249" s="3"/>
    </row>
    <row r="250" spans="1:56" ht="16.8" customHeight="1">
      <c r="A250" s="1">
        <v>249</v>
      </c>
      <c r="B250" s="1" t="s">
        <v>42</v>
      </c>
      <c r="C250" s="1" t="s">
        <v>185</v>
      </c>
      <c r="D250" s="1" t="s">
        <v>1024</v>
      </c>
      <c r="E250" s="1" t="s">
        <v>1024</v>
      </c>
      <c r="F250" s="1" t="s">
        <v>1025</v>
      </c>
      <c r="G250" s="1" t="s">
        <v>975</v>
      </c>
      <c r="H250" s="1" t="s">
        <v>4531</v>
      </c>
      <c r="I250" s="18">
        <v>45931</v>
      </c>
      <c r="J250" s="18">
        <v>45931</v>
      </c>
      <c r="K250" s="18" t="s">
        <v>4733</v>
      </c>
      <c r="L250" s="18" t="s">
        <v>4734</v>
      </c>
      <c r="M250" s="2">
        <v>8200000</v>
      </c>
      <c r="N250" s="2">
        <v>8200000</v>
      </c>
      <c r="O250" s="2"/>
      <c r="P250" s="2" t="str">
        <f t="shared" si="12"/>
        <v/>
      </c>
      <c r="Q250" s="2"/>
      <c r="R250" s="2"/>
      <c r="S250" s="48"/>
      <c r="T250" s="2">
        <v>27060000</v>
      </c>
      <c r="U250" s="2">
        <v>0</v>
      </c>
      <c r="V250" s="1" t="s">
        <v>975</v>
      </c>
      <c r="W250" s="6" t="s">
        <v>976</v>
      </c>
      <c r="X250" s="1" t="s">
        <v>977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>
        <v>8200000</v>
      </c>
      <c r="AL250" s="3">
        <v>8200000</v>
      </c>
      <c r="AM250" s="3">
        <v>8200000</v>
      </c>
      <c r="AN250" s="3">
        <v>8200000</v>
      </c>
      <c r="AO250" s="3">
        <v>8200000</v>
      </c>
      <c r="AP250" s="3">
        <v>8200000</v>
      </c>
      <c r="AQ250" s="3"/>
      <c r="AR250" s="3"/>
      <c r="AS250" s="3"/>
      <c r="AT250" s="3"/>
      <c r="AU250" s="3"/>
      <c r="AV250" s="3"/>
      <c r="AW250" s="3">
        <f t="shared" si="13"/>
        <v>0</v>
      </c>
      <c r="AX250" s="3">
        <f t="shared" si="14"/>
        <v>49200000</v>
      </c>
      <c r="AY250" s="4">
        <f t="shared" si="15"/>
        <v>6</v>
      </c>
      <c r="AZ250" s="8" t="s">
        <v>5484</v>
      </c>
      <c r="BA250" s="4" t="s">
        <v>5727</v>
      </c>
      <c r="BB250" s="2"/>
      <c r="BC250" s="3"/>
      <c r="BD250" s="3"/>
    </row>
    <row r="251" spans="1:56" ht="16.8" customHeight="1">
      <c r="A251" s="1">
        <v>250</v>
      </c>
      <c r="B251" s="1" t="s">
        <v>42</v>
      </c>
      <c r="C251" s="1" t="s">
        <v>185</v>
      </c>
      <c r="D251" s="1" t="s">
        <v>1026</v>
      </c>
      <c r="E251" s="1" t="s">
        <v>1026</v>
      </c>
      <c r="F251" s="1" t="s">
        <v>1027</v>
      </c>
      <c r="G251" s="1" t="s">
        <v>58</v>
      </c>
      <c r="H251" s="1" t="s">
        <v>4732</v>
      </c>
      <c r="I251" s="18">
        <v>45940</v>
      </c>
      <c r="J251" s="18">
        <v>45931</v>
      </c>
      <c r="K251" s="18" t="s">
        <v>4733</v>
      </c>
      <c r="L251" s="18" t="s">
        <v>4734</v>
      </c>
      <c r="M251" s="2">
        <v>8200000</v>
      </c>
      <c r="N251" s="2">
        <v>8200000</v>
      </c>
      <c r="O251" s="2"/>
      <c r="P251" s="2" t="str">
        <f t="shared" si="12"/>
        <v/>
      </c>
      <c r="Q251" s="2"/>
      <c r="R251" s="2"/>
      <c r="S251" s="48"/>
      <c r="T251" s="2">
        <v>27060000</v>
      </c>
      <c r="U251" s="2">
        <v>0</v>
      </c>
      <c r="V251" s="1" t="s">
        <v>58</v>
      </c>
      <c r="W251" s="6" t="s">
        <v>59</v>
      </c>
      <c r="X251" s="1" t="s">
        <v>60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>
        <v>8200000</v>
      </c>
      <c r="AL251" s="3">
        <v>8200000</v>
      </c>
      <c r="AM251" s="3">
        <v>8200000</v>
      </c>
      <c r="AN251" s="3">
        <v>8200000</v>
      </c>
      <c r="AO251" s="3">
        <v>8200000</v>
      </c>
      <c r="AP251" s="3">
        <v>8200000</v>
      </c>
      <c r="AQ251" s="3"/>
      <c r="AR251" s="3"/>
      <c r="AS251" s="3"/>
      <c r="AT251" s="3"/>
      <c r="AU251" s="3"/>
      <c r="AV251" s="3"/>
      <c r="AW251" s="3">
        <f t="shared" si="13"/>
        <v>0</v>
      </c>
      <c r="AX251" s="3">
        <f t="shared" si="14"/>
        <v>49200000</v>
      </c>
      <c r="AY251" s="4">
        <f t="shared" si="15"/>
        <v>6</v>
      </c>
      <c r="AZ251" s="8" t="s">
        <v>5483</v>
      </c>
      <c r="BA251" s="4" t="s">
        <v>5727</v>
      </c>
      <c r="BB251" s="2"/>
      <c r="BC251" s="3"/>
      <c r="BD251" s="3"/>
    </row>
    <row r="252" spans="1:56" ht="16.8" customHeight="1">
      <c r="A252" s="1">
        <v>251</v>
      </c>
      <c r="B252" s="1" t="s">
        <v>42</v>
      </c>
      <c r="C252" s="1" t="s">
        <v>185</v>
      </c>
      <c r="D252" s="1" t="s">
        <v>1028</v>
      </c>
      <c r="E252" s="1" t="s">
        <v>1028</v>
      </c>
      <c r="F252" s="1" t="s">
        <v>1029</v>
      </c>
      <c r="G252" s="1" t="s">
        <v>87</v>
      </c>
      <c r="H252" s="1" t="s">
        <v>4560</v>
      </c>
      <c r="I252" s="18">
        <v>45931</v>
      </c>
      <c r="J252" s="18">
        <v>45931</v>
      </c>
      <c r="K252" s="18" t="s">
        <v>4733</v>
      </c>
      <c r="L252" s="18" t="s">
        <v>4734</v>
      </c>
      <c r="M252" s="2">
        <v>8200000</v>
      </c>
      <c r="N252" s="2">
        <v>8200000</v>
      </c>
      <c r="O252" s="2"/>
      <c r="P252" s="2" t="str">
        <f t="shared" si="12"/>
        <v/>
      </c>
      <c r="Q252" s="2"/>
      <c r="R252" s="2"/>
      <c r="S252" s="48"/>
      <c r="T252" s="2">
        <v>24600000</v>
      </c>
      <c r="U252" s="2">
        <v>0</v>
      </c>
      <c r="V252" s="1" t="s">
        <v>87</v>
      </c>
      <c r="W252" s="6" t="s">
        <v>1030</v>
      </c>
      <c r="X252" s="1" t="s">
        <v>481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>
        <v>8200000</v>
      </c>
      <c r="AI252" s="3">
        <v>8200000</v>
      </c>
      <c r="AJ252" s="3">
        <v>8200000</v>
      </c>
      <c r="AK252" s="3">
        <v>8200000</v>
      </c>
      <c r="AL252" s="3">
        <v>8200000</v>
      </c>
      <c r="AM252" s="3">
        <v>8200000</v>
      </c>
      <c r="AN252" s="3">
        <v>8200000</v>
      </c>
      <c r="AO252" s="3">
        <v>8200000</v>
      </c>
      <c r="AP252" s="3">
        <v>8200000</v>
      </c>
      <c r="AQ252" s="3"/>
      <c r="AR252" s="3"/>
      <c r="AS252" s="3"/>
      <c r="AT252" s="3"/>
      <c r="AU252" s="3"/>
      <c r="AV252" s="3"/>
      <c r="AW252" s="3">
        <f t="shared" si="13"/>
        <v>24600000</v>
      </c>
      <c r="AX252" s="3">
        <f t="shared" si="14"/>
        <v>49200000</v>
      </c>
      <c r="AY252" s="4">
        <f t="shared" si="15"/>
        <v>9</v>
      </c>
      <c r="AZ252" s="8" t="s">
        <v>5486</v>
      </c>
      <c r="BA252" s="4" t="s">
        <v>5727</v>
      </c>
      <c r="BB252" s="2"/>
      <c r="BC252" s="3"/>
      <c r="BD252" s="3"/>
    </row>
    <row r="253" spans="1:56" ht="16.8" customHeight="1">
      <c r="A253" s="1">
        <v>252</v>
      </c>
      <c r="B253" s="1" t="s">
        <v>42</v>
      </c>
      <c r="C253" s="1" t="s">
        <v>43</v>
      </c>
      <c r="D253" s="1" t="s">
        <v>1031</v>
      </c>
      <c r="E253" s="1" t="s">
        <v>1031</v>
      </c>
      <c r="F253" s="1" t="s">
        <v>1032</v>
      </c>
      <c r="G253" s="1" t="s">
        <v>1033</v>
      </c>
      <c r="H253" s="1" t="s">
        <v>4891</v>
      </c>
      <c r="I253" s="18">
        <v>45931</v>
      </c>
      <c r="J253" s="18">
        <v>45931</v>
      </c>
      <c r="K253" s="18" t="s">
        <v>4752</v>
      </c>
      <c r="L253" s="18" t="s">
        <v>4734</v>
      </c>
      <c r="M253" s="2">
        <v>1200000</v>
      </c>
      <c r="N253" s="2">
        <v>1200000</v>
      </c>
      <c r="O253" s="2"/>
      <c r="P253" s="2" t="str">
        <f t="shared" si="12"/>
        <v/>
      </c>
      <c r="Q253" s="2"/>
      <c r="R253" s="2"/>
      <c r="S253" s="48"/>
      <c r="T253" s="2">
        <v>3600000</v>
      </c>
      <c r="U253" s="2">
        <v>0</v>
      </c>
      <c r="V253" s="1" t="s">
        <v>146</v>
      </c>
      <c r="W253" s="6" t="s">
        <v>147</v>
      </c>
      <c r="X253" s="1" t="s">
        <v>148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>
        <v>1200000</v>
      </c>
      <c r="AI253" s="3">
        <v>1200000</v>
      </c>
      <c r="AJ253" s="3">
        <v>1200000</v>
      </c>
      <c r="AK253" s="3">
        <v>1200000</v>
      </c>
      <c r="AL253" s="3">
        <v>1200000</v>
      </c>
      <c r="AM253" s="3">
        <v>1200000</v>
      </c>
      <c r="AN253" s="3">
        <v>1200000</v>
      </c>
      <c r="AO253" s="3">
        <v>1200000</v>
      </c>
      <c r="AP253" s="3">
        <v>1200000</v>
      </c>
      <c r="AQ253" s="3"/>
      <c r="AR253" s="3"/>
      <c r="AS253" s="3"/>
      <c r="AT253" s="3"/>
      <c r="AU253" s="3"/>
      <c r="AV253" s="3"/>
      <c r="AW253" s="3">
        <f t="shared" si="13"/>
        <v>3600000</v>
      </c>
      <c r="AX253" s="3">
        <f t="shared" si="14"/>
        <v>7200000</v>
      </c>
      <c r="AY253" s="4">
        <f t="shared" si="15"/>
        <v>9</v>
      </c>
      <c r="AZ253" s="8">
        <v>0</v>
      </c>
      <c r="BA253" s="4" t="s">
        <v>5715</v>
      </c>
      <c r="BB253" s="2"/>
      <c r="BC253" s="3"/>
      <c r="BD253" s="3"/>
    </row>
    <row r="254" spans="1:56" ht="16.8" customHeight="1">
      <c r="A254" s="1">
        <v>253</v>
      </c>
      <c r="B254" s="1" t="s">
        <v>42</v>
      </c>
      <c r="C254" s="1" t="s">
        <v>185</v>
      </c>
      <c r="D254" s="1" t="s">
        <v>1034</v>
      </c>
      <c r="E254" s="1" t="s">
        <v>1034</v>
      </c>
      <c r="F254" s="1" t="s">
        <v>1035</v>
      </c>
      <c r="G254" s="1" t="s">
        <v>1036</v>
      </c>
      <c r="H254" s="1" t="s">
        <v>4892</v>
      </c>
      <c r="I254" s="18">
        <v>45931</v>
      </c>
      <c r="J254" s="18">
        <v>45931</v>
      </c>
      <c r="K254" s="18" t="s">
        <v>4785</v>
      </c>
      <c r="L254" s="18" t="s">
        <v>4734</v>
      </c>
      <c r="M254" s="2">
        <v>1500000</v>
      </c>
      <c r="N254" s="2">
        <v>1500000</v>
      </c>
      <c r="O254" s="2"/>
      <c r="P254" s="2" t="str">
        <f t="shared" si="12"/>
        <v/>
      </c>
      <c r="Q254" s="2"/>
      <c r="R254" s="2"/>
      <c r="S254" s="48"/>
      <c r="T254" s="2">
        <v>4500000</v>
      </c>
      <c r="U254" s="2">
        <v>0</v>
      </c>
      <c r="V254" s="1" t="s">
        <v>1037</v>
      </c>
      <c r="W254" s="6" t="s">
        <v>1038</v>
      </c>
      <c r="X254" s="1" t="s">
        <v>1039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>
        <v>1500000</v>
      </c>
      <c r="AI254" s="3">
        <v>1500000</v>
      </c>
      <c r="AJ254" s="3">
        <v>1500000</v>
      </c>
      <c r="AK254" s="3">
        <v>1500000</v>
      </c>
      <c r="AL254" s="3">
        <v>1500000</v>
      </c>
      <c r="AM254" s="3">
        <v>1500000</v>
      </c>
      <c r="AN254" s="3">
        <v>1500000</v>
      </c>
      <c r="AO254" s="3">
        <v>1500000</v>
      </c>
      <c r="AP254" s="3">
        <v>1500000</v>
      </c>
      <c r="AQ254" s="3"/>
      <c r="AR254" s="3"/>
      <c r="AS254" s="3"/>
      <c r="AT254" s="3"/>
      <c r="AU254" s="3"/>
      <c r="AV254" s="3"/>
      <c r="AW254" s="3">
        <f t="shared" si="13"/>
        <v>4500000</v>
      </c>
      <c r="AX254" s="3">
        <f t="shared" si="14"/>
        <v>9000000</v>
      </c>
      <c r="AY254" s="4">
        <f t="shared" si="15"/>
        <v>9</v>
      </c>
      <c r="AZ254" s="8" t="s">
        <v>5514</v>
      </c>
      <c r="BA254" s="4" t="s">
        <v>5715</v>
      </c>
      <c r="BB254" s="2"/>
      <c r="BC254" s="3"/>
      <c r="BD254" s="3"/>
    </row>
    <row r="255" spans="1:56" ht="16.8" customHeight="1">
      <c r="A255" s="1">
        <v>254</v>
      </c>
      <c r="B255" s="1" t="s">
        <v>42</v>
      </c>
      <c r="C255" s="1" t="s">
        <v>43</v>
      </c>
      <c r="D255" s="1" t="s">
        <v>1040</v>
      </c>
      <c r="E255" s="1" t="s">
        <v>1040</v>
      </c>
      <c r="F255" s="1" t="s">
        <v>1041</v>
      </c>
      <c r="G255" s="1" t="s">
        <v>1042</v>
      </c>
      <c r="H255" s="1" t="s">
        <v>4561</v>
      </c>
      <c r="I255" s="18">
        <v>45931</v>
      </c>
      <c r="J255" s="18">
        <v>45931</v>
      </c>
      <c r="K255" s="18" t="s">
        <v>4884</v>
      </c>
      <c r="L255" s="18" t="s">
        <v>4734</v>
      </c>
      <c r="M255" s="2">
        <v>4000000</v>
      </c>
      <c r="N255" s="2">
        <v>4000000</v>
      </c>
      <c r="O255" s="2"/>
      <c r="P255" s="2" t="str">
        <f t="shared" si="12"/>
        <v/>
      </c>
      <c r="Q255" s="2"/>
      <c r="R255" s="2"/>
      <c r="S255" s="48"/>
      <c r="T255" s="2">
        <v>0</v>
      </c>
      <c r="U255" s="2">
        <v>0</v>
      </c>
      <c r="V255" s="1" t="s">
        <v>1043</v>
      </c>
      <c r="W255" s="6" t="s">
        <v>1044</v>
      </c>
      <c r="X255" s="1" t="s">
        <v>598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>
        <v>4000000</v>
      </c>
      <c r="AL255" s="3">
        <v>4000000</v>
      </c>
      <c r="AM255" s="3">
        <v>4000000</v>
      </c>
      <c r="AN255" s="3">
        <v>4000000</v>
      </c>
      <c r="AO255" s="3">
        <v>4000000</v>
      </c>
      <c r="AP255" s="3">
        <v>4000000</v>
      </c>
      <c r="AQ255" s="3"/>
      <c r="AR255" s="3"/>
      <c r="AS255" s="3"/>
      <c r="AT255" s="3"/>
      <c r="AU255" s="3"/>
      <c r="AV255" s="3"/>
      <c r="AW255" s="3">
        <f t="shared" si="13"/>
        <v>0</v>
      </c>
      <c r="AX255" s="3">
        <f t="shared" si="14"/>
        <v>24000000</v>
      </c>
      <c r="AY255" s="4">
        <f t="shared" si="15"/>
        <v>6</v>
      </c>
      <c r="AZ255" s="8" t="s">
        <v>5695</v>
      </c>
      <c r="BA255" s="4" t="s">
        <v>5726</v>
      </c>
      <c r="BB255" s="2">
        <v>24000000</v>
      </c>
      <c r="BC255" s="3"/>
      <c r="BD255" s="3"/>
    </row>
    <row r="256" spans="1:56" ht="16.8" customHeight="1">
      <c r="A256" s="1">
        <v>255</v>
      </c>
      <c r="B256" s="1" t="s">
        <v>42</v>
      </c>
      <c r="C256" s="1" t="s">
        <v>43</v>
      </c>
      <c r="D256" s="1" t="s">
        <v>1045</v>
      </c>
      <c r="E256" s="1" t="s">
        <v>1045</v>
      </c>
      <c r="F256" s="1" t="s">
        <v>1046</v>
      </c>
      <c r="G256" s="1" t="s">
        <v>1047</v>
      </c>
      <c r="H256" s="1" t="s">
        <v>4562</v>
      </c>
      <c r="I256" s="18">
        <v>45931</v>
      </c>
      <c r="J256" s="18">
        <v>45931</v>
      </c>
      <c r="K256" s="18" t="s">
        <v>4737</v>
      </c>
      <c r="L256" s="18" t="s">
        <v>4734</v>
      </c>
      <c r="M256" s="2">
        <v>2500000</v>
      </c>
      <c r="N256" s="2">
        <v>2500000</v>
      </c>
      <c r="O256" s="2"/>
      <c r="P256" s="2" t="str">
        <f t="shared" si="12"/>
        <v/>
      </c>
      <c r="Q256" s="2"/>
      <c r="R256" s="2"/>
      <c r="S256" s="48"/>
      <c r="T256" s="2">
        <v>7500000</v>
      </c>
      <c r="U256" s="2">
        <v>0</v>
      </c>
      <c r="V256" s="1" t="s">
        <v>1047</v>
      </c>
      <c r="W256" s="6" t="s">
        <v>1048</v>
      </c>
      <c r="X256" s="1" t="s">
        <v>274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>
        <v>2500000</v>
      </c>
      <c r="AI256" s="3">
        <v>2500000</v>
      </c>
      <c r="AJ256" s="3">
        <v>2500000</v>
      </c>
      <c r="AK256" s="3">
        <v>2500000</v>
      </c>
      <c r="AL256" s="3">
        <v>2500000</v>
      </c>
      <c r="AM256" s="3">
        <v>2500000</v>
      </c>
      <c r="AN256" s="3">
        <v>2500000</v>
      </c>
      <c r="AO256" s="3">
        <v>2500000</v>
      </c>
      <c r="AP256" s="3">
        <v>2500000</v>
      </c>
      <c r="AQ256" s="3"/>
      <c r="AR256" s="3"/>
      <c r="AS256" s="3"/>
      <c r="AT256" s="3"/>
      <c r="AU256" s="3"/>
      <c r="AV256" s="3"/>
      <c r="AW256" s="3">
        <f t="shared" si="13"/>
        <v>7500000</v>
      </c>
      <c r="AX256" s="3">
        <f t="shared" si="14"/>
        <v>15000000</v>
      </c>
      <c r="AY256" s="4">
        <f t="shared" si="15"/>
        <v>9</v>
      </c>
      <c r="BA256" s="4" t="s">
        <v>5715</v>
      </c>
      <c r="BB256" s="2"/>
      <c r="BC256" s="3"/>
      <c r="BD256" s="3"/>
    </row>
    <row r="257" spans="1:57" ht="16.8" customHeight="1">
      <c r="A257" s="1">
        <v>256</v>
      </c>
      <c r="B257" s="1" t="s">
        <v>42</v>
      </c>
      <c r="C257" s="1" t="s">
        <v>43</v>
      </c>
      <c r="D257" s="1" t="s">
        <v>1049</v>
      </c>
      <c r="E257" s="1" t="s">
        <v>1049</v>
      </c>
      <c r="F257" s="1" t="s">
        <v>1050</v>
      </c>
      <c r="G257" s="1" t="s">
        <v>1051</v>
      </c>
      <c r="H257" s="1" t="s">
        <v>4563</v>
      </c>
      <c r="I257" s="18">
        <v>45931</v>
      </c>
      <c r="J257" s="18">
        <v>45931</v>
      </c>
      <c r="K257" s="18" t="s">
        <v>4737</v>
      </c>
      <c r="L257" s="18" t="s">
        <v>4734</v>
      </c>
      <c r="M257" s="2">
        <v>1000000</v>
      </c>
      <c r="N257" s="2">
        <v>1000000</v>
      </c>
      <c r="O257" s="2"/>
      <c r="P257" s="2" t="str">
        <f t="shared" si="12"/>
        <v/>
      </c>
      <c r="Q257" s="2"/>
      <c r="R257" s="2"/>
      <c r="S257" s="48"/>
      <c r="T257" s="2">
        <v>3000000</v>
      </c>
      <c r="U257" s="2">
        <v>0</v>
      </c>
      <c r="V257" s="1" t="s">
        <v>1052</v>
      </c>
      <c r="W257" s="6" t="s">
        <v>1053</v>
      </c>
      <c r="X257" s="1" t="s">
        <v>415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>
        <v>1000000</v>
      </c>
      <c r="AI257" s="3">
        <v>1000000</v>
      </c>
      <c r="AJ257" s="3">
        <v>1000000</v>
      </c>
      <c r="AK257" s="3">
        <v>1000000</v>
      </c>
      <c r="AL257" s="3">
        <v>1000000</v>
      </c>
      <c r="AM257" s="3">
        <v>1000000</v>
      </c>
      <c r="AN257" s="3">
        <v>1000000</v>
      </c>
      <c r="AO257" s="3">
        <v>1000000</v>
      </c>
      <c r="AP257" s="3">
        <v>1000000</v>
      </c>
      <c r="AQ257" s="3"/>
      <c r="AR257" s="3"/>
      <c r="AS257" s="3"/>
      <c r="AT257" s="3"/>
      <c r="AU257" s="3"/>
      <c r="AV257" s="3"/>
      <c r="AW257" s="3">
        <f t="shared" si="13"/>
        <v>3000000</v>
      </c>
      <c r="AX257" s="3">
        <f t="shared" si="14"/>
        <v>6000000</v>
      </c>
      <c r="AY257" s="4">
        <f t="shared" si="15"/>
        <v>9</v>
      </c>
      <c r="AZ257" s="8" t="s">
        <v>5683</v>
      </c>
      <c r="BA257" s="4" t="s">
        <v>5715</v>
      </c>
      <c r="BB257" s="2"/>
      <c r="BC257" s="3"/>
      <c r="BD257" s="3"/>
    </row>
    <row r="258" spans="1:57" ht="16.8" customHeight="1">
      <c r="A258" s="1">
        <v>257</v>
      </c>
      <c r="B258" s="1" t="s">
        <v>42</v>
      </c>
      <c r="C258" s="1" t="s">
        <v>43</v>
      </c>
      <c r="D258" s="1" t="s">
        <v>1054</v>
      </c>
      <c r="E258" s="1" t="s">
        <v>1054</v>
      </c>
      <c r="F258" s="1" t="s">
        <v>1055</v>
      </c>
      <c r="G258" s="1" t="s">
        <v>1056</v>
      </c>
      <c r="H258" s="1"/>
      <c r="I258" s="18"/>
      <c r="J258" s="18"/>
      <c r="K258" s="18"/>
      <c r="L258" s="18"/>
      <c r="M258" s="2">
        <v>1000000</v>
      </c>
      <c r="N258" s="2">
        <v>1000000</v>
      </c>
      <c r="O258" s="2"/>
      <c r="P258" s="2" t="str">
        <f t="shared" ref="P258:P321" si="16">IF(OR(M258="",N258="",M258=N258),"",N258-M258)</f>
        <v/>
      </c>
      <c r="Q258" s="2"/>
      <c r="R258" s="2"/>
      <c r="S258" s="48"/>
      <c r="T258" s="2">
        <v>4000000</v>
      </c>
      <c r="U258" s="2">
        <v>0</v>
      </c>
      <c r="V258" s="1" t="s">
        <v>119</v>
      </c>
      <c r="W258" s="6" t="s">
        <v>1057</v>
      </c>
      <c r="X258" s="1" t="s">
        <v>115</v>
      </c>
      <c r="Y258" s="3"/>
      <c r="Z258" s="3"/>
      <c r="AA258" s="3"/>
      <c r="AB258" s="3"/>
      <c r="AC258" s="3"/>
      <c r="AD258" s="3"/>
      <c r="AE258" s="3"/>
      <c r="AF258" s="3"/>
      <c r="AG258" s="3">
        <v>1000000</v>
      </c>
      <c r="AH258" s="3">
        <v>1000000</v>
      </c>
      <c r="AI258" s="3">
        <v>1000000</v>
      </c>
      <c r="AJ258" s="3">
        <v>1000000</v>
      </c>
      <c r="AK258" s="3">
        <v>1000000</v>
      </c>
      <c r="AL258" s="3">
        <v>1000000</v>
      </c>
      <c r="AM258" s="3">
        <v>1000000</v>
      </c>
      <c r="AN258" s="3">
        <v>1000000</v>
      </c>
      <c r="AO258" s="3">
        <v>1000000</v>
      </c>
      <c r="AP258" s="3">
        <v>1000000</v>
      </c>
      <c r="AQ258" s="3"/>
      <c r="AR258" s="3"/>
      <c r="AS258" s="3"/>
      <c r="AT258" s="3"/>
      <c r="AU258" s="3"/>
      <c r="AV258" s="3"/>
      <c r="AW258" s="3">
        <f t="shared" ref="AW258:AW321" si="17">SUM(Y258:AJ258)</f>
        <v>4000000</v>
      </c>
      <c r="AX258" s="3">
        <f t="shared" ref="AX258:AX321" si="18">SUM(AK258:AV258)</f>
        <v>6000000</v>
      </c>
      <c r="AY258" s="4">
        <f t="shared" ref="AY258:AY321" si="19">COUNT(Y258:AV258)</f>
        <v>10</v>
      </c>
      <c r="BA258" s="4" t="s">
        <v>5715</v>
      </c>
      <c r="BB258" s="2"/>
      <c r="BC258" s="3"/>
      <c r="BD258" s="3"/>
    </row>
    <row r="259" spans="1:57" ht="16.8" customHeight="1">
      <c r="A259" s="1">
        <v>258</v>
      </c>
      <c r="B259" s="1" t="s">
        <v>42</v>
      </c>
      <c r="C259" s="1" t="s">
        <v>43</v>
      </c>
      <c r="D259" s="1" t="s">
        <v>1058</v>
      </c>
      <c r="E259" s="1" t="s">
        <v>1058</v>
      </c>
      <c r="F259" s="1" t="s">
        <v>1059</v>
      </c>
      <c r="G259" s="1" t="s">
        <v>1060</v>
      </c>
      <c r="H259" s="1" t="s">
        <v>366</v>
      </c>
      <c r="I259" s="18">
        <v>42370</v>
      </c>
      <c r="J259" s="18">
        <v>46023</v>
      </c>
      <c r="K259" s="18" t="s">
        <v>4827</v>
      </c>
      <c r="L259" s="18" t="s">
        <v>4734</v>
      </c>
      <c r="M259" s="2">
        <v>3000000</v>
      </c>
      <c r="N259" s="2">
        <v>3000000</v>
      </c>
      <c r="O259" s="2"/>
      <c r="P259" s="2" t="str">
        <f t="shared" si="16"/>
        <v/>
      </c>
      <c r="Q259" s="2"/>
      <c r="R259" s="2"/>
      <c r="S259" s="48"/>
      <c r="T259" s="2">
        <v>9000000</v>
      </c>
      <c r="U259" s="2">
        <v>0</v>
      </c>
      <c r="V259" s="1"/>
      <c r="W259" s="6"/>
      <c r="X259" s="1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>
        <f t="shared" si="17"/>
        <v>0</v>
      </c>
      <c r="AX259" s="3">
        <f t="shared" si="18"/>
        <v>0</v>
      </c>
      <c r="AY259" s="4">
        <f t="shared" si="19"/>
        <v>0</v>
      </c>
      <c r="AZ259" s="8">
        <v>0</v>
      </c>
      <c r="BA259" s="4" t="s">
        <v>5726</v>
      </c>
      <c r="BB259" s="2"/>
      <c r="BC259" s="3"/>
      <c r="BD259" s="4"/>
    </row>
    <row r="260" spans="1:57" ht="16.8" customHeight="1">
      <c r="A260" s="1">
        <v>259</v>
      </c>
      <c r="B260" s="1" t="s">
        <v>42</v>
      </c>
      <c r="C260" s="1" t="s">
        <v>43</v>
      </c>
      <c r="D260" s="1" t="s">
        <v>1061</v>
      </c>
      <c r="E260" s="1" t="s">
        <v>1061</v>
      </c>
      <c r="F260" s="1" t="s">
        <v>1062</v>
      </c>
      <c r="G260" s="1" t="s">
        <v>1063</v>
      </c>
      <c r="H260" s="1" t="s">
        <v>4893</v>
      </c>
      <c r="I260" s="18">
        <v>46726</v>
      </c>
      <c r="J260" s="18">
        <v>10</v>
      </c>
      <c r="K260" s="18">
        <v>1000000</v>
      </c>
      <c r="L260" s="18"/>
      <c r="M260" s="2">
        <v>1000000</v>
      </c>
      <c r="N260" s="2">
        <v>1000000</v>
      </c>
      <c r="O260" s="2"/>
      <c r="P260" s="2" t="str">
        <f t="shared" si="16"/>
        <v/>
      </c>
      <c r="Q260" s="2"/>
      <c r="R260" s="2"/>
      <c r="S260" s="48"/>
      <c r="T260" s="2">
        <v>0</v>
      </c>
      <c r="U260" s="2">
        <v>3000000</v>
      </c>
      <c r="V260" s="1"/>
      <c r="W260" s="6"/>
      <c r="X260" s="1"/>
      <c r="Y260" s="3"/>
      <c r="Z260" s="3"/>
      <c r="AA260" s="3"/>
      <c r="AB260" s="3"/>
      <c r="AC260" s="3"/>
      <c r="AD260" s="3"/>
      <c r="AE260" s="3"/>
      <c r="AF260" s="3"/>
      <c r="AG260" s="3"/>
      <c r="AH260" s="3">
        <v>1000000</v>
      </c>
      <c r="AI260" s="3">
        <v>1000000</v>
      </c>
      <c r="AJ260" s="3">
        <v>1000000</v>
      </c>
      <c r="AK260" s="3">
        <v>1000000</v>
      </c>
      <c r="AL260" s="3">
        <v>1000000</v>
      </c>
      <c r="AM260" s="3">
        <v>1000000</v>
      </c>
      <c r="AN260" s="3">
        <v>1000000</v>
      </c>
      <c r="AO260" s="3">
        <v>1000000</v>
      </c>
      <c r="AP260" s="3">
        <v>1000000</v>
      </c>
      <c r="AQ260" s="3"/>
      <c r="AR260" s="3"/>
      <c r="AS260" s="3"/>
      <c r="AT260" s="3"/>
      <c r="AU260" s="3"/>
      <c r="AV260" s="3"/>
      <c r="AW260" s="3">
        <f t="shared" si="17"/>
        <v>3000000</v>
      </c>
      <c r="AX260" s="3">
        <f t="shared" si="18"/>
        <v>6000000</v>
      </c>
      <c r="AY260" s="4">
        <f t="shared" si="19"/>
        <v>9</v>
      </c>
      <c r="BA260" s="4" t="s">
        <v>5728</v>
      </c>
      <c r="BB260" s="2"/>
      <c r="BC260" s="3"/>
      <c r="BD260" s="3"/>
    </row>
    <row r="261" spans="1:57" ht="16.8" customHeight="1">
      <c r="A261" s="1">
        <v>260</v>
      </c>
      <c r="B261" s="1" t="s">
        <v>42</v>
      </c>
      <c r="C261" s="1" t="s">
        <v>47</v>
      </c>
      <c r="D261" s="1" t="s">
        <v>1064</v>
      </c>
      <c r="E261" s="1" t="s">
        <v>1064</v>
      </c>
      <c r="F261" s="1" t="s">
        <v>1065</v>
      </c>
      <c r="G261" s="1" t="s">
        <v>1066</v>
      </c>
      <c r="H261" s="1" t="s">
        <v>4894</v>
      </c>
      <c r="I261" s="18">
        <v>45931</v>
      </c>
      <c r="J261" s="18">
        <v>45931</v>
      </c>
      <c r="K261" s="18" t="s">
        <v>4753</v>
      </c>
      <c r="L261" s="18" t="s">
        <v>4734</v>
      </c>
      <c r="M261" s="2">
        <v>1200000</v>
      </c>
      <c r="N261" s="2">
        <v>1200000</v>
      </c>
      <c r="O261" s="2"/>
      <c r="P261" s="2" t="str">
        <f t="shared" si="16"/>
        <v/>
      </c>
      <c r="Q261" s="2"/>
      <c r="R261" s="2"/>
      <c r="S261" s="48"/>
      <c r="T261" s="2">
        <v>3600000</v>
      </c>
      <c r="U261" s="2">
        <v>0</v>
      </c>
      <c r="V261" s="1" t="s">
        <v>1067</v>
      </c>
      <c r="W261" s="6" t="s">
        <v>1068</v>
      </c>
      <c r="X261" s="1" t="s">
        <v>1069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>
        <v>1200000</v>
      </c>
      <c r="AI261" s="3">
        <v>1200000</v>
      </c>
      <c r="AJ261" s="3">
        <v>1200000</v>
      </c>
      <c r="AK261" s="3">
        <v>1200000</v>
      </c>
      <c r="AL261" s="3">
        <v>1200000</v>
      </c>
      <c r="AM261" s="3">
        <v>1200000</v>
      </c>
      <c r="AN261" s="3">
        <v>1200000</v>
      </c>
      <c r="AO261" s="3">
        <v>1200000</v>
      </c>
      <c r="AP261" s="3">
        <v>1200000</v>
      </c>
      <c r="AQ261" s="3"/>
      <c r="AR261" s="3"/>
      <c r="AS261" s="3"/>
      <c r="AT261" s="3"/>
      <c r="AU261" s="3"/>
      <c r="AV261" s="3"/>
      <c r="AW261" s="3">
        <f t="shared" si="17"/>
        <v>3600000</v>
      </c>
      <c r="AX261" s="3">
        <f t="shared" si="18"/>
        <v>7200000</v>
      </c>
      <c r="AY261" s="4">
        <f t="shared" si="19"/>
        <v>9</v>
      </c>
      <c r="AZ261" s="8" t="s">
        <v>5525</v>
      </c>
      <c r="BA261" s="4" t="s">
        <v>5715</v>
      </c>
      <c r="BB261" s="2"/>
      <c r="BC261" s="3"/>
      <c r="BD261" s="3"/>
    </row>
    <row r="262" spans="1:57" ht="16.8" customHeight="1">
      <c r="A262" s="1">
        <v>261</v>
      </c>
      <c r="B262" s="1" t="s">
        <v>42</v>
      </c>
      <c r="C262" s="1" t="s">
        <v>47</v>
      </c>
      <c r="D262" s="1" t="s">
        <v>1070</v>
      </c>
      <c r="E262" s="1" t="s">
        <v>1070</v>
      </c>
      <c r="F262" s="1" t="s">
        <v>1071</v>
      </c>
      <c r="G262" s="1" t="s">
        <v>1072</v>
      </c>
      <c r="H262" s="1" t="s">
        <v>490</v>
      </c>
      <c r="I262" s="18">
        <v>45931</v>
      </c>
      <c r="J262" s="18">
        <v>45931</v>
      </c>
      <c r="K262" s="18" t="s">
        <v>4785</v>
      </c>
      <c r="L262" s="18" t="s">
        <v>4734</v>
      </c>
      <c r="M262" s="2">
        <v>1200000</v>
      </c>
      <c r="N262" s="2">
        <v>1200000</v>
      </c>
      <c r="O262" s="2"/>
      <c r="P262" s="2" t="str">
        <f t="shared" si="16"/>
        <v/>
      </c>
      <c r="Q262" s="2"/>
      <c r="R262" s="2"/>
      <c r="S262" s="48"/>
      <c r="T262" s="2">
        <v>3600000</v>
      </c>
      <c r="U262" s="2">
        <v>0</v>
      </c>
      <c r="V262" s="1" t="s">
        <v>328</v>
      </c>
      <c r="W262" s="6" t="s">
        <v>329</v>
      </c>
      <c r="X262" s="1" t="s">
        <v>333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>
        <v>1200000</v>
      </c>
      <c r="AI262" s="3">
        <v>1200000</v>
      </c>
      <c r="AJ262" s="3">
        <v>1200000</v>
      </c>
      <c r="AK262" s="3">
        <v>1200000</v>
      </c>
      <c r="AL262" s="3">
        <v>1200000</v>
      </c>
      <c r="AM262" s="3">
        <v>1200000</v>
      </c>
      <c r="AN262" s="3">
        <v>1200000</v>
      </c>
      <c r="AO262" s="3">
        <v>1200000</v>
      </c>
      <c r="AP262" s="3">
        <v>1200000</v>
      </c>
      <c r="AQ262" s="3"/>
      <c r="AR262" s="3"/>
      <c r="AS262" s="3"/>
      <c r="AT262" s="3"/>
      <c r="AU262" s="3"/>
      <c r="AV262" s="3"/>
      <c r="AW262" s="3">
        <f t="shared" si="17"/>
        <v>3600000</v>
      </c>
      <c r="AX262" s="3">
        <f t="shared" si="18"/>
        <v>7200000</v>
      </c>
      <c r="AY262" s="4">
        <f t="shared" si="19"/>
        <v>9</v>
      </c>
      <c r="AZ262" s="8">
        <v>0</v>
      </c>
      <c r="BA262" s="4" t="s">
        <v>5726</v>
      </c>
      <c r="BB262" s="2"/>
      <c r="BC262" s="3"/>
      <c r="BD262" s="3"/>
    </row>
    <row r="263" spans="1:57" ht="16.8" customHeight="1">
      <c r="A263" s="1">
        <v>262</v>
      </c>
      <c r="B263" s="1" t="s">
        <v>42</v>
      </c>
      <c r="C263" s="1" t="s">
        <v>47</v>
      </c>
      <c r="D263" s="1" t="s">
        <v>1073</v>
      </c>
      <c r="E263" s="1" t="s">
        <v>1073</v>
      </c>
      <c r="F263" s="1" t="s">
        <v>1074</v>
      </c>
      <c r="G263" s="1" t="s">
        <v>1063</v>
      </c>
      <c r="H263" s="1" t="s">
        <v>4895</v>
      </c>
      <c r="I263" s="18">
        <v>45931</v>
      </c>
      <c r="J263" s="18">
        <v>45931</v>
      </c>
      <c r="K263" s="18" t="s">
        <v>4785</v>
      </c>
      <c r="L263" s="18" t="s">
        <v>4734</v>
      </c>
      <c r="M263" s="2">
        <v>1200000</v>
      </c>
      <c r="N263" s="2">
        <v>1200000</v>
      </c>
      <c r="O263" s="2"/>
      <c r="P263" s="2" t="str">
        <f t="shared" si="16"/>
        <v/>
      </c>
      <c r="Q263" s="2"/>
      <c r="R263" s="2"/>
      <c r="S263" s="48"/>
      <c r="T263" s="2">
        <v>3600000</v>
      </c>
      <c r="U263" s="2">
        <v>0</v>
      </c>
      <c r="V263" s="1" t="s">
        <v>328</v>
      </c>
      <c r="W263" s="6" t="s">
        <v>329</v>
      </c>
      <c r="X263" s="1" t="s">
        <v>333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>
        <v>1200000</v>
      </c>
      <c r="AI263" s="3">
        <v>1200000</v>
      </c>
      <c r="AJ263" s="3">
        <v>1200000</v>
      </c>
      <c r="AK263" s="3">
        <v>1200000</v>
      </c>
      <c r="AL263" s="3">
        <v>1200000</v>
      </c>
      <c r="AM263" s="3">
        <v>1200000</v>
      </c>
      <c r="AN263" s="3">
        <v>1200000</v>
      </c>
      <c r="AO263" s="3">
        <v>1200000</v>
      </c>
      <c r="AP263" s="3">
        <v>1200000</v>
      </c>
      <c r="AQ263" s="3"/>
      <c r="AR263" s="3"/>
      <c r="AS263" s="3"/>
      <c r="AT263" s="3"/>
      <c r="AU263" s="3"/>
      <c r="AV263" s="3"/>
      <c r="AW263" s="3">
        <f t="shared" si="17"/>
        <v>3600000</v>
      </c>
      <c r="AX263" s="3">
        <f t="shared" si="18"/>
        <v>7200000</v>
      </c>
      <c r="AY263" s="4">
        <f t="shared" si="19"/>
        <v>9</v>
      </c>
      <c r="AZ263" s="8">
        <v>0</v>
      </c>
      <c r="BA263" s="4" t="s">
        <v>5726</v>
      </c>
      <c r="BB263" s="2"/>
      <c r="BC263" s="3"/>
      <c r="BD263" s="3"/>
    </row>
    <row r="264" spans="1:57" ht="16.8" customHeight="1">
      <c r="A264" s="1">
        <v>263</v>
      </c>
      <c r="B264" s="1" t="s">
        <v>42</v>
      </c>
      <c r="C264" s="1" t="s">
        <v>43</v>
      </c>
      <c r="D264" s="1" t="s">
        <v>1075</v>
      </c>
      <c r="E264" s="1" t="s">
        <v>1075</v>
      </c>
      <c r="F264" s="1" t="s">
        <v>1076</v>
      </c>
      <c r="G264" s="1" t="s">
        <v>58</v>
      </c>
      <c r="H264" s="1" t="s">
        <v>4732</v>
      </c>
      <c r="I264" s="18">
        <v>45940</v>
      </c>
      <c r="J264" s="18">
        <v>45931</v>
      </c>
      <c r="K264" s="18" t="s">
        <v>4733</v>
      </c>
      <c r="L264" s="18" t="s">
        <v>4734</v>
      </c>
      <c r="M264" s="2">
        <v>8200000</v>
      </c>
      <c r="N264" s="2">
        <v>8200000</v>
      </c>
      <c r="O264" s="2"/>
      <c r="P264" s="2" t="str">
        <f t="shared" si="16"/>
        <v/>
      </c>
      <c r="Q264" s="2"/>
      <c r="R264" s="2"/>
      <c r="S264" s="48"/>
      <c r="T264" s="2">
        <v>27060000</v>
      </c>
      <c r="U264" s="2">
        <v>0</v>
      </c>
      <c r="V264" s="1" t="s">
        <v>58</v>
      </c>
      <c r="W264" s="6" t="s">
        <v>59</v>
      </c>
      <c r="X264" s="1" t="s">
        <v>60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>
        <v>8200000</v>
      </c>
      <c r="AL264" s="3">
        <v>8200000</v>
      </c>
      <c r="AM264" s="3">
        <v>8200000</v>
      </c>
      <c r="AN264" s="3">
        <v>8200000</v>
      </c>
      <c r="AO264" s="3">
        <v>8200000</v>
      </c>
      <c r="AP264" s="3">
        <v>8200000</v>
      </c>
      <c r="AQ264" s="3"/>
      <c r="AR264" s="3"/>
      <c r="AS264" s="3"/>
      <c r="AT264" s="3"/>
      <c r="AU264" s="3"/>
      <c r="AV264" s="3"/>
      <c r="AW264" s="3">
        <f t="shared" si="17"/>
        <v>0</v>
      </c>
      <c r="AX264" s="3">
        <f t="shared" si="18"/>
        <v>49200000</v>
      </c>
      <c r="AY264" s="4">
        <f t="shared" si="19"/>
        <v>6</v>
      </c>
      <c r="AZ264" s="8" t="s">
        <v>5483</v>
      </c>
      <c r="BA264" s="4" t="s">
        <v>5727</v>
      </c>
      <c r="BB264" s="2"/>
      <c r="BC264" s="3"/>
      <c r="BD264" s="3"/>
    </row>
    <row r="265" spans="1:57" s="45" customFormat="1" ht="16.8" customHeight="1">
      <c r="A265" s="16">
        <v>264</v>
      </c>
      <c r="B265" s="16" t="s">
        <v>42</v>
      </c>
      <c r="C265" s="1" t="s">
        <v>185</v>
      </c>
      <c r="D265" s="16" t="s">
        <v>1077</v>
      </c>
      <c r="E265" s="16" t="s">
        <v>1077</v>
      </c>
      <c r="F265" s="16" t="s">
        <v>1078</v>
      </c>
      <c r="G265" s="16" t="s">
        <v>1079</v>
      </c>
      <c r="H265" s="16" t="s">
        <v>4896</v>
      </c>
      <c r="I265" s="40">
        <v>46874</v>
      </c>
      <c r="J265" s="40">
        <v>10</v>
      </c>
      <c r="K265" s="40">
        <v>1000000</v>
      </c>
      <c r="L265" s="40" t="s">
        <v>4734</v>
      </c>
      <c r="M265" s="41">
        <v>4000000</v>
      </c>
      <c r="N265" s="41">
        <v>4000000</v>
      </c>
      <c r="O265" s="41"/>
      <c r="P265" s="41" t="str">
        <f t="shared" si="16"/>
        <v/>
      </c>
      <c r="Q265" s="2"/>
      <c r="R265" s="2"/>
      <c r="S265" s="48"/>
      <c r="T265" s="41">
        <v>16050000</v>
      </c>
      <c r="U265" s="41">
        <v>0</v>
      </c>
      <c r="V265" s="16" t="s">
        <v>1079</v>
      </c>
      <c r="W265" s="42" t="s">
        <v>1080</v>
      </c>
      <c r="X265" s="16" t="s">
        <v>137</v>
      </c>
      <c r="Y265" s="43"/>
      <c r="Z265" s="43"/>
      <c r="AA265" s="43"/>
      <c r="AB265" s="43"/>
      <c r="AC265" s="43"/>
      <c r="AD265" s="43"/>
      <c r="AE265" s="43"/>
      <c r="AF265" s="43"/>
      <c r="AG265" s="43"/>
      <c r="AH265" s="43">
        <v>950000</v>
      </c>
      <c r="AI265" s="43">
        <v>950000</v>
      </c>
      <c r="AJ265" s="43">
        <v>950000</v>
      </c>
      <c r="AK265" s="43">
        <v>950000</v>
      </c>
      <c r="AL265" s="43">
        <v>950000</v>
      </c>
      <c r="AM265" s="43">
        <v>950000</v>
      </c>
      <c r="AN265" s="43">
        <v>950000</v>
      </c>
      <c r="AO265" s="43">
        <v>950000</v>
      </c>
      <c r="AP265" s="43">
        <v>950000</v>
      </c>
      <c r="AQ265" s="43"/>
      <c r="AR265" s="43"/>
      <c r="AS265" s="43"/>
      <c r="AT265" s="43"/>
      <c r="AU265" s="43"/>
      <c r="AV265" s="43"/>
      <c r="AW265" s="43">
        <f t="shared" si="17"/>
        <v>2850000</v>
      </c>
      <c r="AX265" s="43">
        <f t="shared" si="18"/>
        <v>5700000</v>
      </c>
      <c r="AY265" s="44">
        <f t="shared" si="19"/>
        <v>9</v>
      </c>
      <c r="AZ265" s="45" t="s">
        <v>5526</v>
      </c>
      <c r="BA265" s="44" t="s">
        <v>5732</v>
      </c>
      <c r="BB265" s="41"/>
      <c r="BC265" s="43"/>
      <c r="BD265" s="43"/>
      <c r="BE265" s="8"/>
    </row>
    <row r="266" spans="1:57" s="45" customFormat="1" ht="16.8" customHeight="1">
      <c r="A266" s="16">
        <v>265</v>
      </c>
      <c r="B266" s="16" t="s">
        <v>42</v>
      </c>
      <c r="C266" s="1" t="s">
        <v>185</v>
      </c>
      <c r="D266" s="16" t="s">
        <v>1077</v>
      </c>
      <c r="E266" s="16" t="s">
        <v>1077</v>
      </c>
      <c r="F266" s="16" t="s">
        <v>1078</v>
      </c>
      <c r="G266" s="16" t="s">
        <v>1081</v>
      </c>
      <c r="H266" s="16" t="s">
        <v>4896</v>
      </c>
      <c r="I266" s="40">
        <v>46874</v>
      </c>
      <c r="J266" s="40">
        <v>10</v>
      </c>
      <c r="K266" s="40">
        <v>1000000</v>
      </c>
      <c r="L266" s="40" t="s">
        <v>4734</v>
      </c>
      <c r="M266" s="41">
        <v>4000000</v>
      </c>
      <c r="N266" s="41">
        <v>4000000</v>
      </c>
      <c r="O266" s="41"/>
      <c r="P266" s="41" t="str">
        <f t="shared" si="16"/>
        <v/>
      </c>
      <c r="Q266" s="2"/>
      <c r="R266" s="2"/>
      <c r="S266" s="48"/>
      <c r="T266" s="41">
        <v>16050000</v>
      </c>
      <c r="U266" s="41">
        <v>0</v>
      </c>
      <c r="V266" s="16" t="s">
        <v>1082</v>
      </c>
      <c r="W266" s="42" t="s">
        <v>1083</v>
      </c>
      <c r="X266" s="16" t="s">
        <v>1084</v>
      </c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>
        <v>4000000</v>
      </c>
      <c r="AL266" s="43">
        <v>4000000</v>
      </c>
      <c r="AM266" s="43">
        <v>4000000</v>
      </c>
      <c r="AN266" s="43">
        <v>4000000</v>
      </c>
      <c r="AO266" s="43">
        <v>4000000</v>
      </c>
      <c r="AP266" s="43">
        <v>4000000</v>
      </c>
      <c r="AQ266" s="43"/>
      <c r="AR266" s="43"/>
      <c r="AS266" s="43"/>
      <c r="AT266" s="43"/>
      <c r="AU266" s="43"/>
      <c r="AV266" s="43"/>
      <c r="AW266" s="43">
        <f t="shared" si="17"/>
        <v>0</v>
      </c>
      <c r="AX266" s="43">
        <f t="shared" si="18"/>
        <v>24000000</v>
      </c>
      <c r="AY266" s="44">
        <f t="shared" si="19"/>
        <v>6</v>
      </c>
      <c r="AZ266" s="45" t="s">
        <v>5526</v>
      </c>
      <c r="BA266" s="44" t="s">
        <v>5732</v>
      </c>
      <c r="BB266" s="41"/>
      <c r="BC266" s="43"/>
      <c r="BD266" s="43"/>
      <c r="BE266" s="8"/>
    </row>
    <row r="267" spans="1:57" ht="16.8" customHeight="1">
      <c r="A267" s="1">
        <v>266</v>
      </c>
      <c r="B267" s="1" t="s">
        <v>42</v>
      </c>
      <c r="C267" s="1" t="s">
        <v>43</v>
      </c>
      <c r="D267" s="1" t="s">
        <v>1085</v>
      </c>
      <c r="E267" s="1" t="s">
        <v>1085</v>
      </c>
      <c r="F267" s="1" t="s">
        <v>1086</v>
      </c>
      <c r="G267" s="1" t="s">
        <v>1087</v>
      </c>
      <c r="H267" s="1" t="s">
        <v>4564</v>
      </c>
      <c r="I267" s="18">
        <v>45944</v>
      </c>
      <c r="J267" s="18">
        <v>45931</v>
      </c>
      <c r="K267" s="18" t="s">
        <v>4733</v>
      </c>
      <c r="L267" s="18" t="s">
        <v>4734</v>
      </c>
      <c r="M267" s="2">
        <v>8200000</v>
      </c>
      <c r="N267" s="2">
        <v>8200000</v>
      </c>
      <c r="O267" s="2"/>
      <c r="P267" s="2" t="str">
        <f t="shared" si="16"/>
        <v/>
      </c>
      <c r="Q267" s="2"/>
      <c r="R267" s="2"/>
      <c r="S267" s="48"/>
      <c r="T267" s="2">
        <v>24600000</v>
      </c>
      <c r="U267" s="2">
        <v>0</v>
      </c>
      <c r="V267" s="1" t="s">
        <v>1087</v>
      </c>
      <c r="W267" s="6" t="s">
        <v>1088</v>
      </c>
      <c r="X267" s="1" t="s">
        <v>481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>
        <v>8200000</v>
      </c>
      <c r="AI267" s="3">
        <v>8200000</v>
      </c>
      <c r="AJ267" s="3">
        <v>8200000</v>
      </c>
      <c r="AK267" s="3">
        <v>8200000</v>
      </c>
      <c r="AL267" s="3">
        <v>8200000</v>
      </c>
      <c r="AM267" s="3">
        <v>8200000</v>
      </c>
      <c r="AN267" s="3">
        <v>8200000</v>
      </c>
      <c r="AO267" s="3">
        <v>8200000</v>
      </c>
      <c r="AP267" s="3">
        <v>8200000</v>
      </c>
      <c r="AQ267" s="3"/>
      <c r="AR267" s="3"/>
      <c r="AS267" s="3"/>
      <c r="AT267" s="3"/>
      <c r="AU267" s="3"/>
      <c r="AV267" s="3"/>
      <c r="AW267" s="3">
        <f t="shared" si="17"/>
        <v>24600000</v>
      </c>
      <c r="AX267" s="3">
        <f t="shared" si="18"/>
        <v>49200000</v>
      </c>
      <c r="AY267" s="4">
        <f t="shared" si="19"/>
        <v>9</v>
      </c>
      <c r="AZ267" s="8" t="s">
        <v>5486</v>
      </c>
      <c r="BA267" s="4" t="s">
        <v>5727</v>
      </c>
      <c r="BB267" s="2"/>
      <c r="BC267" s="3"/>
      <c r="BD267" s="3"/>
    </row>
    <row r="268" spans="1:57" ht="16.8" customHeight="1">
      <c r="A268" s="1">
        <v>267</v>
      </c>
      <c r="B268" s="1" t="s">
        <v>42</v>
      </c>
      <c r="C268" s="1" t="s">
        <v>43</v>
      </c>
      <c r="D268" s="1" t="s">
        <v>1089</v>
      </c>
      <c r="E268" s="1" t="s">
        <v>1089</v>
      </c>
      <c r="F268" s="1" t="s">
        <v>1090</v>
      </c>
      <c r="G268" s="1" t="s">
        <v>401</v>
      </c>
      <c r="H268" s="1" t="s">
        <v>4565</v>
      </c>
      <c r="I268" s="18">
        <v>45931</v>
      </c>
      <c r="J268" s="18">
        <v>45931</v>
      </c>
      <c r="K268" s="18" t="s">
        <v>4733</v>
      </c>
      <c r="L268" s="18" t="s">
        <v>4734</v>
      </c>
      <c r="M268" s="2">
        <v>8200000</v>
      </c>
      <c r="N268" s="2">
        <v>8200000</v>
      </c>
      <c r="O268" s="2"/>
      <c r="P268" s="2" t="str">
        <f t="shared" si="16"/>
        <v/>
      </c>
      <c r="Q268" s="2"/>
      <c r="R268" s="2"/>
      <c r="S268" s="48"/>
      <c r="T268" s="2">
        <v>24600000</v>
      </c>
      <c r="U268" s="2">
        <v>0</v>
      </c>
      <c r="V268" s="1" t="s">
        <v>401</v>
      </c>
      <c r="W268" s="6" t="s">
        <v>402</v>
      </c>
      <c r="X268" s="1" t="s">
        <v>403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>
        <v>8200000</v>
      </c>
      <c r="AI268" s="3">
        <v>8200000</v>
      </c>
      <c r="AJ268" s="3">
        <v>8200000</v>
      </c>
      <c r="AK268" s="3">
        <v>8200000</v>
      </c>
      <c r="AL268" s="3">
        <v>8200000</v>
      </c>
      <c r="AM268" s="3">
        <v>8200000</v>
      </c>
      <c r="AN268" s="3">
        <v>8200000</v>
      </c>
      <c r="AO268" s="3">
        <v>8200000</v>
      </c>
      <c r="AP268" s="3">
        <v>8200000</v>
      </c>
      <c r="AQ268" s="3"/>
      <c r="AR268" s="3"/>
      <c r="AS268" s="3"/>
      <c r="AT268" s="3"/>
      <c r="AU268" s="3"/>
      <c r="AV268" s="3"/>
      <c r="AW268" s="3">
        <f t="shared" si="17"/>
        <v>24600000</v>
      </c>
      <c r="AX268" s="3">
        <f t="shared" si="18"/>
        <v>49200000</v>
      </c>
      <c r="AY268" s="4">
        <f t="shared" si="19"/>
        <v>9</v>
      </c>
      <c r="AZ268" s="8" t="s">
        <v>5486</v>
      </c>
      <c r="BA268" s="4" t="s">
        <v>5727</v>
      </c>
      <c r="BB268" s="2"/>
      <c r="BC268" s="3"/>
      <c r="BD268" s="3"/>
    </row>
    <row r="269" spans="1:57" ht="16.8" customHeight="1">
      <c r="A269" s="1">
        <v>268</v>
      </c>
      <c r="B269" s="1" t="s">
        <v>42</v>
      </c>
      <c r="C269" s="1" t="s">
        <v>47</v>
      </c>
      <c r="D269" s="1" t="s">
        <v>1091</v>
      </c>
      <c r="E269" s="1" t="s">
        <v>1091</v>
      </c>
      <c r="F269" s="1" t="s">
        <v>1092</v>
      </c>
      <c r="G269" s="1" t="s">
        <v>1093</v>
      </c>
      <c r="H269" s="1" t="s">
        <v>4566</v>
      </c>
      <c r="I269" s="18">
        <v>45931</v>
      </c>
      <c r="J269" s="18">
        <v>45931</v>
      </c>
      <c r="K269" s="18" t="s">
        <v>4777</v>
      </c>
      <c r="L269" s="18" t="s">
        <v>4734</v>
      </c>
      <c r="M269" s="2">
        <v>1200000</v>
      </c>
      <c r="N269" s="2">
        <v>1200000</v>
      </c>
      <c r="O269" s="2"/>
      <c r="P269" s="2" t="str">
        <f t="shared" si="16"/>
        <v/>
      </c>
      <c r="Q269" s="2"/>
      <c r="R269" s="2"/>
      <c r="S269" s="48"/>
      <c r="T269" s="2">
        <v>3600000</v>
      </c>
      <c r="U269" s="2">
        <v>0</v>
      </c>
      <c r="V269" s="1" t="s">
        <v>1093</v>
      </c>
      <c r="W269" s="6" t="s">
        <v>1094</v>
      </c>
      <c r="X269" s="1" t="s">
        <v>224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>
        <v>1200000</v>
      </c>
      <c r="AI269" s="3">
        <v>1200000</v>
      </c>
      <c r="AJ269" s="3">
        <v>1200000</v>
      </c>
      <c r="AK269" s="3">
        <v>1200000</v>
      </c>
      <c r="AL269" s="3">
        <v>1200000</v>
      </c>
      <c r="AM269" s="3">
        <v>1200000</v>
      </c>
      <c r="AN269" s="3">
        <v>1200000</v>
      </c>
      <c r="AO269" s="3">
        <v>1200000</v>
      </c>
      <c r="AP269" s="3">
        <v>1200000</v>
      </c>
      <c r="AQ269" s="3"/>
      <c r="AR269" s="3"/>
      <c r="AS269" s="3"/>
      <c r="AT269" s="3"/>
      <c r="AU269" s="3"/>
      <c r="AV269" s="3"/>
      <c r="AW269" s="3">
        <f t="shared" si="17"/>
        <v>3600000</v>
      </c>
      <c r="AX269" s="3">
        <f t="shared" si="18"/>
        <v>7200000</v>
      </c>
      <c r="AY269" s="4">
        <f t="shared" si="19"/>
        <v>9</v>
      </c>
      <c r="AZ269" s="8" t="s">
        <v>5696</v>
      </c>
      <c r="BA269" s="4" t="s">
        <v>5726</v>
      </c>
      <c r="BB269" s="2"/>
      <c r="BC269" s="3"/>
      <c r="BD269" s="3"/>
    </row>
    <row r="270" spans="1:57" ht="16.8" customHeight="1">
      <c r="A270" s="1">
        <v>269</v>
      </c>
      <c r="B270" s="1" t="s">
        <v>42</v>
      </c>
      <c r="C270" s="1" t="s">
        <v>43</v>
      </c>
      <c r="D270" s="1" t="s">
        <v>1095</v>
      </c>
      <c r="E270" s="1" t="s">
        <v>1095</v>
      </c>
      <c r="F270" s="1" t="s">
        <v>1096</v>
      </c>
      <c r="G270" s="1" t="s">
        <v>1097</v>
      </c>
      <c r="H270" s="1" t="s">
        <v>4567</v>
      </c>
      <c r="I270" s="18">
        <v>45931</v>
      </c>
      <c r="J270" s="18">
        <v>45931</v>
      </c>
      <c r="K270" s="18" t="s">
        <v>4752</v>
      </c>
      <c r="L270" s="18" t="s">
        <v>4734</v>
      </c>
      <c r="M270" s="2">
        <v>1200000</v>
      </c>
      <c r="N270" s="2">
        <v>1200000</v>
      </c>
      <c r="O270" s="2"/>
      <c r="P270" s="2" t="str">
        <f t="shared" si="16"/>
        <v/>
      </c>
      <c r="Q270" s="2"/>
      <c r="R270" s="2"/>
      <c r="S270" s="48"/>
      <c r="T270" s="2">
        <v>3600000</v>
      </c>
      <c r="U270" s="2">
        <v>0</v>
      </c>
      <c r="V270" s="1" t="s">
        <v>146</v>
      </c>
      <c r="W270" s="6" t="s">
        <v>147</v>
      </c>
      <c r="X270" s="1" t="s">
        <v>148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>
        <v>1200000</v>
      </c>
      <c r="AI270" s="3">
        <v>1200000</v>
      </c>
      <c r="AJ270" s="3">
        <v>1200000</v>
      </c>
      <c r="AK270" s="3">
        <v>1200000</v>
      </c>
      <c r="AL270" s="3">
        <v>1200000</v>
      </c>
      <c r="AM270" s="3">
        <v>1200000</v>
      </c>
      <c r="AN270" s="3">
        <v>1200000</v>
      </c>
      <c r="AO270" s="3">
        <v>1200000</v>
      </c>
      <c r="AP270" s="3">
        <v>1200000</v>
      </c>
      <c r="AQ270" s="3"/>
      <c r="AR270" s="3"/>
      <c r="AS270" s="3"/>
      <c r="AT270" s="3"/>
      <c r="AU270" s="3"/>
      <c r="AV270" s="3"/>
      <c r="AW270" s="3">
        <f t="shared" si="17"/>
        <v>3600000</v>
      </c>
      <c r="AX270" s="3">
        <f t="shared" si="18"/>
        <v>7200000</v>
      </c>
      <c r="AY270" s="4">
        <f t="shared" si="19"/>
        <v>9</v>
      </c>
      <c r="AZ270" s="8" t="s">
        <v>5489</v>
      </c>
      <c r="BA270" s="4" t="s">
        <v>5715</v>
      </c>
      <c r="BB270" s="2"/>
      <c r="BC270" s="3"/>
      <c r="BD270" s="3"/>
    </row>
    <row r="271" spans="1:57" ht="16.8" customHeight="1">
      <c r="A271" s="1">
        <v>270</v>
      </c>
      <c r="B271" s="1" t="s">
        <v>42</v>
      </c>
      <c r="C271" s="1" t="s">
        <v>47</v>
      </c>
      <c r="D271" s="1" t="s">
        <v>1098</v>
      </c>
      <c r="E271" s="1" t="s">
        <v>1098</v>
      </c>
      <c r="F271" s="1" t="s">
        <v>1099</v>
      </c>
      <c r="G271" s="1" t="s">
        <v>1100</v>
      </c>
      <c r="H271" s="1" t="s">
        <v>4897</v>
      </c>
      <c r="I271" s="18">
        <v>45931</v>
      </c>
      <c r="J271" s="18">
        <v>45931</v>
      </c>
      <c r="K271" s="18" t="s">
        <v>4742</v>
      </c>
      <c r="L271" s="18" t="s">
        <v>4734</v>
      </c>
      <c r="M271" s="2">
        <v>1400000</v>
      </c>
      <c r="N271" s="2">
        <v>1400000</v>
      </c>
      <c r="O271" s="2"/>
      <c r="P271" s="2" t="str">
        <f t="shared" si="16"/>
        <v/>
      </c>
      <c r="Q271" s="2"/>
      <c r="R271" s="2"/>
      <c r="S271" s="48"/>
      <c r="T271" s="2">
        <v>4200000</v>
      </c>
      <c r="U271" s="2">
        <v>0</v>
      </c>
      <c r="V271" s="1" t="s">
        <v>1100</v>
      </c>
      <c r="W271" s="6" t="s">
        <v>1101</v>
      </c>
      <c r="X271" s="1" t="s">
        <v>106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>
        <v>1400000</v>
      </c>
      <c r="AI271" s="3">
        <v>1400000</v>
      </c>
      <c r="AJ271" s="3">
        <v>1400000</v>
      </c>
      <c r="AK271" s="3">
        <v>1400000</v>
      </c>
      <c r="AL271" s="3">
        <v>1400000</v>
      </c>
      <c r="AM271" s="3">
        <v>1400000</v>
      </c>
      <c r="AN271" s="3">
        <v>1400000</v>
      </c>
      <c r="AO271" s="3">
        <v>1400000</v>
      </c>
      <c r="AP271" s="3">
        <v>1400000</v>
      </c>
      <c r="AQ271" s="3"/>
      <c r="AR271" s="3"/>
      <c r="AS271" s="3"/>
      <c r="AT271" s="3"/>
      <c r="AU271" s="3"/>
      <c r="AV271" s="3"/>
      <c r="AW271" s="3">
        <f t="shared" si="17"/>
        <v>4200000</v>
      </c>
      <c r="AX271" s="3">
        <f t="shared" si="18"/>
        <v>8400000</v>
      </c>
      <c r="AY271" s="4">
        <f t="shared" si="19"/>
        <v>9</v>
      </c>
      <c r="AZ271" s="8" t="s">
        <v>5527</v>
      </c>
      <c r="BA271" s="4" t="s">
        <v>5726</v>
      </c>
      <c r="BB271" s="2"/>
      <c r="BC271" s="3"/>
      <c r="BD271" s="3"/>
    </row>
    <row r="272" spans="1:57" ht="16.8" customHeight="1">
      <c r="A272" s="1">
        <v>271</v>
      </c>
      <c r="B272" s="1" t="s">
        <v>42</v>
      </c>
      <c r="C272" s="1" t="s">
        <v>185</v>
      </c>
      <c r="D272" s="1" t="s">
        <v>1102</v>
      </c>
      <c r="E272" s="1" t="s">
        <v>1102</v>
      </c>
      <c r="F272" s="1" t="s">
        <v>1103</v>
      </c>
      <c r="G272" s="1" t="s">
        <v>1104</v>
      </c>
      <c r="H272" s="1" t="s">
        <v>4568</v>
      </c>
      <c r="I272" s="18">
        <v>45931</v>
      </c>
      <c r="J272" s="18">
        <v>45931</v>
      </c>
      <c r="K272" s="18" t="s">
        <v>4898</v>
      </c>
      <c r="L272" s="18" t="s">
        <v>4734</v>
      </c>
      <c r="M272" s="2">
        <v>300000</v>
      </c>
      <c r="N272" s="2">
        <v>300000</v>
      </c>
      <c r="O272" s="2"/>
      <c r="P272" s="2" t="str">
        <f t="shared" si="16"/>
        <v/>
      </c>
      <c r="Q272" s="2"/>
      <c r="R272" s="2"/>
      <c r="S272" s="48"/>
      <c r="T272" s="2">
        <v>900000</v>
      </c>
      <c r="U272" s="2">
        <v>0</v>
      </c>
      <c r="V272" s="1" t="s">
        <v>1105</v>
      </c>
      <c r="W272" s="6" t="s">
        <v>1106</v>
      </c>
      <c r="X272" s="1" t="s">
        <v>324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>
        <v>300000</v>
      </c>
      <c r="AI272" s="3">
        <v>300000</v>
      </c>
      <c r="AJ272" s="3">
        <v>300000</v>
      </c>
      <c r="AK272" s="3">
        <v>300000</v>
      </c>
      <c r="AL272" s="3">
        <v>300000</v>
      </c>
      <c r="AM272" s="3">
        <v>300000</v>
      </c>
      <c r="AN272" s="3">
        <v>300000</v>
      </c>
      <c r="AO272" s="3">
        <v>300000</v>
      </c>
      <c r="AP272" s="3">
        <v>300000</v>
      </c>
      <c r="AQ272" s="3"/>
      <c r="AR272" s="3"/>
      <c r="AS272" s="3"/>
      <c r="AT272" s="3"/>
      <c r="AU272" s="3"/>
      <c r="AV272" s="3"/>
      <c r="AW272" s="3">
        <f t="shared" si="17"/>
        <v>900000</v>
      </c>
      <c r="AX272" s="3">
        <f t="shared" si="18"/>
        <v>1800000</v>
      </c>
      <c r="AY272" s="4">
        <f t="shared" si="19"/>
        <v>9</v>
      </c>
      <c r="AZ272" s="8" t="s">
        <v>5528</v>
      </c>
      <c r="BA272" s="4" t="s">
        <v>5726</v>
      </c>
      <c r="BB272" s="2"/>
      <c r="BC272" s="3"/>
      <c r="BD272" s="3"/>
    </row>
    <row r="273" spans="1:56" ht="16.8" customHeight="1">
      <c r="A273" s="1">
        <v>272</v>
      </c>
      <c r="B273" s="1" t="s">
        <v>42</v>
      </c>
      <c r="C273" s="1" t="s">
        <v>47</v>
      </c>
      <c r="D273" s="1" t="s">
        <v>1107</v>
      </c>
      <c r="E273" s="1" t="s">
        <v>1107</v>
      </c>
      <c r="F273" s="1" t="s">
        <v>1108</v>
      </c>
      <c r="G273" s="1" t="s">
        <v>1109</v>
      </c>
      <c r="H273" s="1" t="s">
        <v>4899</v>
      </c>
      <c r="I273" s="18">
        <v>47178</v>
      </c>
      <c r="J273" s="18">
        <v>10</v>
      </c>
      <c r="K273" s="18">
        <v>300000</v>
      </c>
      <c r="L273" s="18"/>
      <c r="M273" s="2">
        <v>300000</v>
      </c>
      <c r="N273" s="2">
        <v>300000</v>
      </c>
      <c r="O273" s="2"/>
      <c r="P273" s="2" t="str">
        <f t="shared" si="16"/>
        <v/>
      </c>
      <c r="Q273" s="2"/>
      <c r="R273" s="2"/>
      <c r="S273" s="48"/>
      <c r="T273" s="2">
        <v>900000</v>
      </c>
      <c r="U273" s="2">
        <v>0</v>
      </c>
      <c r="V273" s="1" t="s">
        <v>1110</v>
      </c>
      <c r="W273" s="6" t="s">
        <v>1111</v>
      </c>
      <c r="X273" s="1" t="s">
        <v>224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>
        <v>300000</v>
      </c>
      <c r="AI273" s="3">
        <v>300000</v>
      </c>
      <c r="AJ273" s="3">
        <v>300000</v>
      </c>
      <c r="AK273" s="3">
        <v>300000</v>
      </c>
      <c r="AL273" s="3">
        <v>300000</v>
      </c>
      <c r="AM273" s="3">
        <v>300000</v>
      </c>
      <c r="AN273" s="3">
        <v>300000</v>
      </c>
      <c r="AO273" s="3">
        <v>300000</v>
      </c>
      <c r="AP273" s="3">
        <v>300000</v>
      </c>
      <c r="AQ273" s="3"/>
      <c r="AR273" s="3"/>
      <c r="AS273" s="3"/>
      <c r="AT273" s="3"/>
      <c r="AU273" s="3"/>
      <c r="AV273" s="3"/>
      <c r="AW273" s="3">
        <f t="shared" si="17"/>
        <v>900000</v>
      </c>
      <c r="AX273" s="3">
        <f t="shared" si="18"/>
        <v>1800000</v>
      </c>
      <c r="AY273" s="4">
        <f t="shared" si="19"/>
        <v>9</v>
      </c>
      <c r="BA273" s="4" t="s">
        <v>5726</v>
      </c>
      <c r="BB273" s="2"/>
      <c r="BC273" s="3"/>
      <c r="BD273" s="3"/>
    </row>
    <row r="274" spans="1:56" ht="16.8" customHeight="1">
      <c r="A274" s="1">
        <v>273</v>
      </c>
      <c r="B274" s="1" t="s">
        <v>42</v>
      </c>
      <c r="C274" s="1" t="s">
        <v>43</v>
      </c>
      <c r="D274" s="1" t="s">
        <v>1112</v>
      </c>
      <c r="E274" s="1" t="s">
        <v>1112</v>
      </c>
      <c r="F274" s="1" t="s">
        <v>1113</v>
      </c>
      <c r="G274" s="1" t="s">
        <v>92</v>
      </c>
      <c r="H274" s="1" t="s">
        <v>4740</v>
      </c>
      <c r="I274" s="18">
        <v>45931</v>
      </c>
      <c r="J274" s="18">
        <v>45931</v>
      </c>
      <c r="K274" s="18" t="s">
        <v>4741</v>
      </c>
      <c r="L274" s="18" t="s">
        <v>4734</v>
      </c>
      <c r="M274" s="2">
        <v>8200000</v>
      </c>
      <c r="N274" s="2">
        <v>8200000</v>
      </c>
      <c r="O274" s="2"/>
      <c r="P274" s="2" t="str">
        <f t="shared" si="16"/>
        <v/>
      </c>
      <c r="Q274" s="2"/>
      <c r="R274" s="2"/>
      <c r="S274" s="48"/>
      <c r="T274" s="2">
        <v>27060000</v>
      </c>
      <c r="U274" s="2">
        <v>0</v>
      </c>
      <c r="V274" s="1" t="s">
        <v>93</v>
      </c>
      <c r="W274" s="6" t="s">
        <v>94</v>
      </c>
      <c r="X274" s="1" t="s">
        <v>95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>
        <v>8200000</v>
      </c>
      <c r="AL274" s="3">
        <v>8200000</v>
      </c>
      <c r="AM274" s="3">
        <v>8200000</v>
      </c>
      <c r="AN274" s="3">
        <v>8200000</v>
      </c>
      <c r="AO274" s="3">
        <v>8200000</v>
      </c>
      <c r="AP274" s="3">
        <v>8200000</v>
      </c>
      <c r="AQ274" s="3"/>
      <c r="AR274" s="3"/>
      <c r="AS274" s="3"/>
      <c r="AT274" s="3"/>
      <c r="AU274" s="3"/>
      <c r="AV274" s="3"/>
      <c r="AW274" s="3">
        <f t="shared" si="17"/>
        <v>0</v>
      </c>
      <c r="AX274" s="3">
        <f t="shared" si="18"/>
        <v>49200000</v>
      </c>
      <c r="AY274" s="4">
        <f t="shared" si="19"/>
        <v>6</v>
      </c>
      <c r="AZ274" s="8" t="s">
        <v>5484</v>
      </c>
      <c r="BA274" s="4" t="s">
        <v>5727</v>
      </c>
      <c r="BB274" s="2"/>
      <c r="BC274" s="3"/>
      <c r="BD274" s="3"/>
    </row>
    <row r="275" spans="1:56" ht="16.8" customHeight="1">
      <c r="A275" s="1">
        <v>274</v>
      </c>
      <c r="B275" s="1" t="s">
        <v>42</v>
      </c>
      <c r="C275" s="1" t="s">
        <v>47</v>
      </c>
      <c r="D275" s="1" t="s">
        <v>1114</v>
      </c>
      <c r="E275" s="1" t="s">
        <v>1114</v>
      </c>
      <c r="F275" s="1" t="s">
        <v>1115</v>
      </c>
      <c r="G275" s="1" t="s">
        <v>1116</v>
      </c>
      <c r="H275" s="1" t="s">
        <v>1117</v>
      </c>
      <c r="I275" s="18">
        <v>45405</v>
      </c>
      <c r="J275" s="18">
        <v>45405</v>
      </c>
      <c r="K275" s="18">
        <v>47231</v>
      </c>
      <c r="L275" s="18" t="s">
        <v>4734</v>
      </c>
      <c r="M275" s="2">
        <v>1200000</v>
      </c>
      <c r="N275" s="2">
        <v>1200000</v>
      </c>
      <c r="O275" s="2"/>
      <c r="P275" s="2" t="str">
        <f t="shared" si="16"/>
        <v/>
      </c>
      <c r="Q275" s="2"/>
      <c r="R275" s="2"/>
      <c r="S275" s="48"/>
      <c r="T275" s="2">
        <v>7920000</v>
      </c>
      <c r="U275" s="2">
        <v>0</v>
      </c>
      <c r="V275" s="1"/>
      <c r="W275" s="6"/>
      <c r="X275" s="1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>
        <f t="shared" si="17"/>
        <v>0</v>
      </c>
      <c r="AX275" s="3">
        <f t="shared" si="18"/>
        <v>0</v>
      </c>
      <c r="AY275" s="4">
        <f t="shared" si="19"/>
        <v>0</v>
      </c>
      <c r="AZ275" s="8" t="s">
        <v>5484</v>
      </c>
      <c r="BA275" s="4" t="s">
        <v>5726</v>
      </c>
      <c r="BB275" s="2"/>
      <c r="BC275" s="3"/>
      <c r="BD275" s="4"/>
    </row>
    <row r="276" spans="1:56" ht="16.8" customHeight="1">
      <c r="A276" s="1">
        <v>275</v>
      </c>
      <c r="B276" s="1" t="s">
        <v>42</v>
      </c>
      <c r="C276" s="1" t="s">
        <v>185</v>
      </c>
      <c r="D276" s="1" t="s">
        <v>1118</v>
      </c>
      <c r="E276" s="1" t="s">
        <v>1118</v>
      </c>
      <c r="F276" s="1" t="s">
        <v>1119</v>
      </c>
      <c r="G276" s="1" t="s">
        <v>1116</v>
      </c>
      <c r="H276" s="1" t="s">
        <v>1120</v>
      </c>
      <c r="I276" s="18">
        <v>41279</v>
      </c>
      <c r="J276" s="18">
        <v>41275</v>
      </c>
      <c r="K276" s="18" t="s">
        <v>4774</v>
      </c>
      <c r="L276" s="18" t="s">
        <v>4734</v>
      </c>
      <c r="M276" s="2">
        <v>1200000</v>
      </c>
      <c r="N276" s="2">
        <v>1200000</v>
      </c>
      <c r="O276" s="2"/>
      <c r="P276" s="2" t="str">
        <f t="shared" si="16"/>
        <v/>
      </c>
      <c r="Q276" s="2"/>
      <c r="R276" s="2"/>
      <c r="S276" s="48"/>
      <c r="T276" s="2">
        <v>0</v>
      </c>
      <c r="U276" s="2">
        <v>0</v>
      </c>
      <c r="V276" s="1"/>
      <c r="W276" s="6"/>
      <c r="X276" s="1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>
        <f t="shared" si="17"/>
        <v>0</v>
      </c>
      <c r="AX276" s="3">
        <f t="shared" si="18"/>
        <v>0</v>
      </c>
      <c r="AY276" s="4">
        <f t="shared" si="19"/>
        <v>0</v>
      </c>
      <c r="AZ276" s="8" t="s">
        <v>5484</v>
      </c>
      <c r="BA276" s="4" t="s">
        <v>5726</v>
      </c>
      <c r="BB276" s="2"/>
      <c r="BC276" s="3"/>
      <c r="BD276" s="4"/>
    </row>
    <row r="277" spans="1:56" ht="16.8" customHeight="1">
      <c r="A277" s="1">
        <v>276</v>
      </c>
      <c r="B277" s="1" t="s">
        <v>42</v>
      </c>
      <c r="C277" s="1" t="s">
        <v>185</v>
      </c>
      <c r="D277" s="1" t="s">
        <v>1121</v>
      </c>
      <c r="E277" s="1" t="s">
        <v>1121</v>
      </c>
      <c r="F277" s="1" t="s">
        <v>1122</v>
      </c>
      <c r="G277" s="1" t="s">
        <v>1123</v>
      </c>
      <c r="H277" s="1" t="s">
        <v>4569</v>
      </c>
      <c r="I277" s="18">
        <v>45931</v>
      </c>
      <c r="J277" s="18">
        <v>45931</v>
      </c>
      <c r="K277" s="18" t="s">
        <v>4900</v>
      </c>
      <c r="L277" s="18"/>
      <c r="M277" s="2">
        <v>1500000</v>
      </c>
      <c r="N277" s="2">
        <v>1500000</v>
      </c>
      <c r="O277" s="2"/>
      <c r="P277" s="2" t="str">
        <f t="shared" si="16"/>
        <v/>
      </c>
      <c r="Q277" s="2"/>
      <c r="R277" s="2"/>
      <c r="S277" s="48"/>
      <c r="T277" s="2">
        <v>4500000</v>
      </c>
      <c r="U277" s="2">
        <v>0</v>
      </c>
      <c r="V277" s="1" t="s">
        <v>633</v>
      </c>
      <c r="W277" s="6" t="s">
        <v>634</v>
      </c>
      <c r="X277" s="1" t="s">
        <v>1124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>
        <v>1500000</v>
      </c>
      <c r="AI277" s="3">
        <v>1500000</v>
      </c>
      <c r="AJ277" s="3">
        <v>1500000</v>
      </c>
      <c r="AK277" s="3">
        <v>1500000</v>
      </c>
      <c r="AL277" s="3">
        <v>1500000</v>
      </c>
      <c r="AM277" s="3">
        <v>1500000</v>
      </c>
      <c r="AN277" s="3">
        <v>1500000</v>
      </c>
      <c r="AO277" s="3">
        <v>1500000</v>
      </c>
      <c r="AP277" s="3">
        <v>1500000</v>
      </c>
      <c r="AQ277" s="3"/>
      <c r="AR277" s="3"/>
      <c r="AS277" s="3"/>
      <c r="AT277" s="3"/>
      <c r="AU277" s="3"/>
      <c r="AV277" s="3"/>
      <c r="AW277" s="3">
        <f t="shared" si="17"/>
        <v>4500000</v>
      </c>
      <c r="AX277" s="3">
        <f t="shared" si="18"/>
        <v>9000000</v>
      </c>
      <c r="AY277" s="4">
        <f t="shared" si="19"/>
        <v>9</v>
      </c>
      <c r="BA277" s="4" t="s">
        <v>5715</v>
      </c>
      <c r="BB277" s="2"/>
      <c r="BC277" s="3"/>
      <c r="BD277" s="3"/>
    </row>
    <row r="278" spans="1:56" ht="16.8" customHeight="1">
      <c r="A278" s="1">
        <v>277</v>
      </c>
      <c r="B278" s="1" t="s">
        <v>42</v>
      </c>
      <c r="C278" s="1" t="s">
        <v>47</v>
      </c>
      <c r="D278" s="1" t="s">
        <v>1125</v>
      </c>
      <c r="E278" s="1" t="s">
        <v>1125</v>
      </c>
      <c r="F278" s="1" t="s">
        <v>1126</v>
      </c>
      <c r="G278" s="1" t="s">
        <v>1127</v>
      </c>
      <c r="H278" s="1" t="s">
        <v>4570</v>
      </c>
      <c r="I278" s="18">
        <v>45931</v>
      </c>
      <c r="J278" s="18">
        <v>45931</v>
      </c>
      <c r="K278" s="18" t="s">
        <v>4742</v>
      </c>
      <c r="L278" s="18" t="s">
        <v>4734</v>
      </c>
      <c r="M278" s="2">
        <v>1500000</v>
      </c>
      <c r="N278" s="2">
        <v>1500000</v>
      </c>
      <c r="O278" s="2"/>
      <c r="P278" s="2" t="str">
        <f t="shared" si="16"/>
        <v/>
      </c>
      <c r="Q278" s="2"/>
      <c r="R278" s="2"/>
      <c r="S278" s="48"/>
      <c r="T278" s="2">
        <v>4500000</v>
      </c>
      <c r="U278" s="2">
        <v>0</v>
      </c>
      <c r="V278" s="1" t="s">
        <v>1127</v>
      </c>
      <c r="W278" s="6" t="s">
        <v>1128</v>
      </c>
      <c r="X278" s="1" t="s">
        <v>1129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>
        <v>1500000</v>
      </c>
      <c r="AI278" s="3">
        <v>1500000</v>
      </c>
      <c r="AJ278" s="3">
        <v>1500000</v>
      </c>
      <c r="AK278" s="3">
        <v>1500000</v>
      </c>
      <c r="AL278" s="3">
        <v>1500000</v>
      </c>
      <c r="AM278" s="3">
        <v>1500000</v>
      </c>
      <c r="AN278" s="3">
        <v>1500000</v>
      </c>
      <c r="AO278" s="3">
        <v>1500000</v>
      </c>
      <c r="AP278" s="3">
        <v>1500000</v>
      </c>
      <c r="AQ278" s="3"/>
      <c r="AR278" s="3"/>
      <c r="AS278" s="3"/>
      <c r="AT278" s="3"/>
      <c r="AU278" s="3"/>
      <c r="AV278" s="3"/>
      <c r="AW278" s="3">
        <f t="shared" si="17"/>
        <v>4500000</v>
      </c>
      <c r="AX278" s="3">
        <f t="shared" si="18"/>
        <v>9000000</v>
      </c>
      <c r="AY278" s="4">
        <f t="shared" si="19"/>
        <v>9</v>
      </c>
      <c r="AZ278" s="8">
        <v>0</v>
      </c>
      <c r="BA278" s="4" t="s">
        <v>5726</v>
      </c>
      <c r="BB278" s="2"/>
      <c r="BC278" s="3"/>
      <c r="BD278" s="3"/>
    </row>
    <row r="279" spans="1:56" ht="16.8" customHeight="1">
      <c r="A279" s="1">
        <v>278</v>
      </c>
      <c r="B279" s="1" t="s">
        <v>42</v>
      </c>
      <c r="C279" s="1" t="s">
        <v>185</v>
      </c>
      <c r="D279" s="1" t="s">
        <v>1130</v>
      </c>
      <c r="E279" s="1" t="s">
        <v>1130</v>
      </c>
      <c r="F279" s="1" t="s">
        <v>1131</v>
      </c>
      <c r="G279" s="1" t="s">
        <v>1132</v>
      </c>
      <c r="H279" s="1" t="s">
        <v>4901</v>
      </c>
      <c r="I279" s="18">
        <v>47208</v>
      </c>
      <c r="J279" s="18">
        <v>4</v>
      </c>
      <c r="K279" s="18">
        <v>300000</v>
      </c>
      <c r="L279" s="18"/>
      <c r="M279" s="2">
        <v>300000</v>
      </c>
      <c r="N279" s="2">
        <v>300000</v>
      </c>
      <c r="O279" s="2"/>
      <c r="P279" s="2" t="str">
        <f t="shared" si="16"/>
        <v/>
      </c>
      <c r="Q279" s="2"/>
      <c r="R279" s="2"/>
      <c r="S279" s="48"/>
      <c r="T279" s="2">
        <v>0</v>
      </c>
      <c r="U279" s="2">
        <v>900000</v>
      </c>
      <c r="V279" s="1"/>
      <c r="W279" s="6"/>
      <c r="X279" s="1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>
        <f t="shared" si="17"/>
        <v>0</v>
      </c>
      <c r="AX279" s="3">
        <f t="shared" si="18"/>
        <v>0</v>
      </c>
      <c r="AY279" s="4">
        <f t="shared" si="19"/>
        <v>0</v>
      </c>
      <c r="BA279" s="4" t="s">
        <v>5726</v>
      </c>
      <c r="BB279" s="2"/>
      <c r="BC279" s="3"/>
      <c r="BD279" s="4"/>
    </row>
    <row r="280" spans="1:56" ht="16.8" customHeight="1">
      <c r="A280" s="1">
        <v>279</v>
      </c>
      <c r="B280" s="1" t="s">
        <v>42</v>
      </c>
      <c r="C280" s="1" t="s">
        <v>43</v>
      </c>
      <c r="D280" s="1" t="s">
        <v>1133</v>
      </c>
      <c r="E280" s="1" t="s">
        <v>1133</v>
      </c>
      <c r="F280" s="1" t="s">
        <v>1134</v>
      </c>
      <c r="G280" s="1" t="s">
        <v>58</v>
      </c>
      <c r="H280" s="1" t="s">
        <v>4902</v>
      </c>
      <c r="I280" s="18">
        <v>45940</v>
      </c>
      <c r="J280" s="18">
        <v>45931</v>
      </c>
      <c r="K280" s="18" t="s">
        <v>4733</v>
      </c>
      <c r="L280" s="18" t="s">
        <v>4734</v>
      </c>
      <c r="M280" s="2">
        <v>8200000</v>
      </c>
      <c r="N280" s="2">
        <v>8200000</v>
      </c>
      <c r="O280" s="2"/>
      <c r="P280" s="2" t="str">
        <f t="shared" si="16"/>
        <v/>
      </c>
      <c r="Q280" s="2"/>
      <c r="R280" s="2"/>
      <c r="S280" s="48"/>
      <c r="T280" s="2">
        <v>27060000</v>
      </c>
      <c r="U280" s="2">
        <v>0</v>
      </c>
      <c r="V280" s="1" t="s">
        <v>58</v>
      </c>
      <c r="W280" s="6" t="s">
        <v>59</v>
      </c>
      <c r="X280" s="1" t="s">
        <v>60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>
        <v>8200000</v>
      </c>
      <c r="AL280" s="3">
        <v>8200000</v>
      </c>
      <c r="AM280" s="3">
        <v>8200000</v>
      </c>
      <c r="AN280" s="3">
        <v>8200000</v>
      </c>
      <c r="AO280" s="3">
        <v>8200000</v>
      </c>
      <c r="AP280" s="3">
        <v>8200000</v>
      </c>
      <c r="AQ280" s="3"/>
      <c r="AR280" s="3"/>
      <c r="AS280" s="3"/>
      <c r="AT280" s="3"/>
      <c r="AU280" s="3"/>
      <c r="AV280" s="3"/>
      <c r="AW280" s="3">
        <f t="shared" si="17"/>
        <v>0</v>
      </c>
      <c r="AX280" s="3">
        <f t="shared" si="18"/>
        <v>49200000</v>
      </c>
      <c r="AY280" s="4">
        <f t="shared" si="19"/>
        <v>6</v>
      </c>
      <c r="AZ280" s="8" t="s">
        <v>5483</v>
      </c>
      <c r="BA280" s="4" t="s">
        <v>5727</v>
      </c>
      <c r="BB280" s="2"/>
      <c r="BC280" s="3"/>
      <c r="BD280" s="3"/>
    </row>
    <row r="281" spans="1:56" ht="16.8" customHeight="1">
      <c r="A281" s="1">
        <v>280</v>
      </c>
      <c r="B281" s="1" t="s">
        <v>42</v>
      </c>
      <c r="C281" s="1" t="s">
        <v>43</v>
      </c>
      <c r="D281" s="1" t="s">
        <v>1135</v>
      </c>
      <c r="E281" s="1" t="s">
        <v>1135</v>
      </c>
      <c r="F281" s="1" t="s">
        <v>1136</v>
      </c>
      <c r="G281" s="1" t="s">
        <v>157</v>
      </c>
      <c r="H281" s="1" t="s">
        <v>4754</v>
      </c>
      <c r="I281" s="18">
        <v>45931</v>
      </c>
      <c r="J281" s="18">
        <v>45931</v>
      </c>
      <c r="K281" s="18" t="s">
        <v>4755</v>
      </c>
      <c r="L281" s="18" t="s">
        <v>4734</v>
      </c>
      <c r="M281" s="2">
        <v>8200000</v>
      </c>
      <c r="N281" s="2">
        <v>8200000</v>
      </c>
      <c r="O281" s="2"/>
      <c r="P281" s="2" t="str">
        <f t="shared" si="16"/>
        <v/>
      </c>
      <c r="Q281" s="2"/>
      <c r="R281" s="2"/>
      <c r="S281" s="48"/>
      <c r="T281" s="2">
        <v>27060000</v>
      </c>
      <c r="U281" s="2">
        <v>0</v>
      </c>
      <c r="V281" s="1" t="s">
        <v>157</v>
      </c>
      <c r="W281" s="6" t="s">
        <v>158</v>
      </c>
      <c r="X281" s="1" t="s">
        <v>159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>
        <v>8200000</v>
      </c>
      <c r="AL281" s="3">
        <v>8200000</v>
      </c>
      <c r="AM281" s="3">
        <v>8200000</v>
      </c>
      <c r="AN281" s="3">
        <v>8200000</v>
      </c>
      <c r="AO281" s="3">
        <v>8200000</v>
      </c>
      <c r="AP281" s="3">
        <v>8200000</v>
      </c>
      <c r="AQ281" s="3"/>
      <c r="AR281" s="3"/>
      <c r="AS281" s="3"/>
      <c r="AT281" s="3"/>
      <c r="AU281" s="3"/>
      <c r="AV281" s="3"/>
      <c r="AW281" s="3">
        <f t="shared" si="17"/>
        <v>0</v>
      </c>
      <c r="AX281" s="3">
        <f t="shared" si="18"/>
        <v>49200000</v>
      </c>
      <c r="AY281" s="4">
        <f t="shared" si="19"/>
        <v>6</v>
      </c>
      <c r="AZ281" s="8" t="s">
        <v>5488</v>
      </c>
      <c r="BA281" s="4" t="s">
        <v>5727</v>
      </c>
      <c r="BB281" s="2"/>
      <c r="BC281" s="3"/>
      <c r="BD281" s="3"/>
    </row>
    <row r="282" spans="1:56" ht="16.8" customHeight="1">
      <c r="A282" s="1">
        <v>281</v>
      </c>
      <c r="B282" s="1" t="s">
        <v>42</v>
      </c>
      <c r="C282" s="1" t="s">
        <v>43</v>
      </c>
      <c r="D282" s="1" t="s">
        <v>1137</v>
      </c>
      <c r="E282" s="1" t="s">
        <v>1137</v>
      </c>
      <c r="F282" s="1" t="s">
        <v>1138</v>
      </c>
      <c r="G282" s="1" t="s">
        <v>207</v>
      </c>
      <c r="H282" s="1" t="s">
        <v>4903</v>
      </c>
      <c r="I282" s="18">
        <v>45931</v>
      </c>
      <c r="J282" s="18">
        <v>45931</v>
      </c>
      <c r="K282" s="18" t="s">
        <v>4770</v>
      </c>
      <c r="L282" s="18" t="s">
        <v>4734</v>
      </c>
      <c r="M282" s="2">
        <v>7500000</v>
      </c>
      <c r="N282" s="2">
        <v>7500000</v>
      </c>
      <c r="O282" s="2"/>
      <c r="P282" s="2" t="str">
        <f t="shared" si="16"/>
        <v/>
      </c>
      <c r="Q282" s="2"/>
      <c r="R282" s="2"/>
      <c r="S282" s="48"/>
      <c r="T282" s="2">
        <v>24750000</v>
      </c>
      <c r="U282" s="2">
        <v>0</v>
      </c>
      <c r="V282" s="1" t="s">
        <v>208</v>
      </c>
      <c r="W282" s="6" t="s">
        <v>209</v>
      </c>
      <c r="X282" s="1" t="s">
        <v>210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>
        <v>7500000</v>
      </c>
      <c r="AL282" s="3">
        <v>7500000</v>
      </c>
      <c r="AM282" s="3">
        <v>7500000</v>
      </c>
      <c r="AN282" s="3">
        <v>7500000</v>
      </c>
      <c r="AO282" s="3">
        <v>7500000</v>
      </c>
      <c r="AP282" s="3">
        <v>7500000</v>
      </c>
      <c r="AQ282" s="3"/>
      <c r="AR282" s="3"/>
      <c r="AS282" s="3"/>
      <c r="AT282" s="3"/>
      <c r="AU282" s="3"/>
      <c r="AV282" s="3"/>
      <c r="AW282" s="3">
        <f t="shared" si="17"/>
        <v>0</v>
      </c>
      <c r="AX282" s="3">
        <f t="shared" si="18"/>
        <v>45000000</v>
      </c>
      <c r="AY282" s="4">
        <f t="shared" si="19"/>
        <v>6</v>
      </c>
      <c r="AZ282" s="8" t="s">
        <v>5484</v>
      </c>
      <c r="BA282" s="4" t="s">
        <v>5727</v>
      </c>
      <c r="BB282" s="2"/>
      <c r="BC282" s="3"/>
      <c r="BD282" s="3"/>
    </row>
    <row r="283" spans="1:56" ht="16.8" customHeight="1">
      <c r="A283" s="1">
        <v>282</v>
      </c>
      <c r="B283" s="1" t="s">
        <v>42</v>
      </c>
      <c r="C283" s="1" t="s">
        <v>43</v>
      </c>
      <c r="D283" s="1" t="s">
        <v>1139</v>
      </c>
      <c r="E283" s="1" t="s">
        <v>1139</v>
      </c>
      <c r="F283" s="1" t="s">
        <v>1140</v>
      </c>
      <c r="G283" s="1" t="s">
        <v>58</v>
      </c>
      <c r="H283" s="1" t="s">
        <v>4902</v>
      </c>
      <c r="I283" s="18">
        <v>45940</v>
      </c>
      <c r="J283" s="18">
        <v>45931</v>
      </c>
      <c r="K283" s="18" t="s">
        <v>4733</v>
      </c>
      <c r="L283" s="18" t="s">
        <v>4734</v>
      </c>
      <c r="M283" s="2">
        <v>8200000</v>
      </c>
      <c r="N283" s="2">
        <v>8200000</v>
      </c>
      <c r="O283" s="2"/>
      <c r="P283" s="2" t="str">
        <f t="shared" si="16"/>
        <v/>
      </c>
      <c r="Q283" s="2"/>
      <c r="R283" s="2"/>
      <c r="S283" s="48"/>
      <c r="T283" s="2">
        <v>27060000</v>
      </c>
      <c r="U283" s="2">
        <v>0</v>
      </c>
      <c r="V283" s="1" t="s">
        <v>58</v>
      </c>
      <c r="W283" s="6" t="s">
        <v>59</v>
      </c>
      <c r="X283" s="1" t="s">
        <v>60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>
        <v>8200000</v>
      </c>
      <c r="AL283" s="3">
        <v>8200000</v>
      </c>
      <c r="AM283" s="3">
        <v>8200000</v>
      </c>
      <c r="AN283" s="3">
        <v>8200000</v>
      </c>
      <c r="AO283" s="3">
        <v>8200000</v>
      </c>
      <c r="AP283" s="3">
        <v>8200000</v>
      </c>
      <c r="AQ283" s="3"/>
      <c r="AR283" s="3"/>
      <c r="AS283" s="3"/>
      <c r="AT283" s="3"/>
      <c r="AU283" s="3"/>
      <c r="AV283" s="3"/>
      <c r="AW283" s="3">
        <f t="shared" si="17"/>
        <v>0</v>
      </c>
      <c r="AX283" s="3">
        <f t="shared" si="18"/>
        <v>49200000</v>
      </c>
      <c r="AY283" s="4">
        <f t="shared" si="19"/>
        <v>6</v>
      </c>
      <c r="AZ283" s="8" t="s">
        <v>5483</v>
      </c>
      <c r="BA283" s="4" t="s">
        <v>5727</v>
      </c>
      <c r="BB283" s="2"/>
      <c r="BC283" s="3"/>
      <c r="BD283" s="3"/>
    </row>
    <row r="284" spans="1:56" ht="16.8" customHeight="1">
      <c r="A284" s="1">
        <v>283</v>
      </c>
      <c r="B284" s="1" t="s">
        <v>42</v>
      </c>
      <c r="C284" s="1" t="s">
        <v>43</v>
      </c>
      <c r="D284" s="1" t="s">
        <v>1141</v>
      </c>
      <c r="E284" s="1" t="s">
        <v>1141</v>
      </c>
      <c r="F284" s="1" t="s">
        <v>1142</v>
      </c>
      <c r="G284" s="1" t="s">
        <v>312</v>
      </c>
      <c r="H284" s="1" t="s">
        <v>4904</v>
      </c>
      <c r="I284" s="18">
        <v>45931</v>
      </c>
      <c r="J284" s="18">
        <v>45931</v>
      </c>
      <c r="K284" s="18" t="s">
        <v>4752</v>
      </c>
      <c r="L284" s="18" t="s">
        <v>4734</v>
      </c>
      <c r="M284" s="2">
        <v>7272727</v>
      </c>
      <c r="N284" s="2">
        <v>7272727</v>
      </c>
      <c r="O284" s="2"/>
      <c r="P284" s="2" t="str">
        <f t="shared" si="16"/>
        <v/>
      </c>
      <c r="Q284" s="2"/>
      <c r="R284" s="2"/>
      <c r="S284" s="48"/>
      <c r="T284" s="2">
        <v>24000000</v>
      </c>
      <c r="U284" s="2">
        <v>0</v>
      </c>
      <c r="V284" s="1" t="s">
        <v>312</v>
      </c>
      <c r="W284" s="6" t="s">
        <v>313</v>
      </c>
      <c r="X284" s="1" t="s">
        <v>314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>
        <v>7272727</v>
      </c>
      <c r="AL284" s="3">
        <v>7272727</v>
      </c>
      <c r="AM284" s="3">
        <v>7272727</v>
      </c>
      <c r="AN284" s="3">
        <v>7272727</v>
      </c>
      <c r="AO284" s="3">
        <v>7272727</v>
      </c>
      <c r="AP284" s="3">
        <v>7272727</v>
      </c>
      <c r="AQ284" s="3"/>
      <c r="AR284" s="3"/>
      <c r="AS284" s="3"/>
      <c r="AT284" s="3"/>
      <c r="AU284" s="3"/>
      <c r="AV284" s="3"/>
      <c r="AW284" s="3">
        <f t="shared" si="17"/>
        <v>0</v>
      </c>
      <c r="AX284" s="3">
        <f t="shared" si="18"/>
        <v>43636362</v>
      </c>
      <c r="AY284" s="4">
        <f t="shared" si="19"/>
        <v>6</v>
      </c>
      <c r="AZ284" s="8" t="s">
        <v>5484</v>
      </c>
      <c r="BA284" s="4" t="s">
        <v>5727</v>
      </c>
      <c r="BB284" s="2"/>
      <c r="BC284" s="3"/>
      <c r="BD284" s="3"/>
    </row>
    <row r="285" spans="1:56" ht="16.8" customHeight="1">
      <c r="A285" s="1">
        <v>284</v>
      </c>
      <c r="B285" s="1" t="s">
        <v>42</v>
      </c>
      <c r="C285" s="1" t="s">
        <v>43</v>
      </c>
      <c r="D285" s="1" t="s">
        <v>1143</v>
      </c>
      <c r="E285" s="1" t="s">
        <v>1143</v>
      </c>
      <c r="F285" s="1" t="s">
        <v>1144</v>
      </c>
      <c r="G285" s="1" t="s">
        <v>1145</v>
      </c>
      <c r="H285" s="1" t="s">
        <v>4571</v>
      </c>
      <c r="I285" s="18">
        <v>45931</v>
      </c>
      <c r="J285" s="18">
        <v>45931</v>
      </c>
      <c r="K285" s="18" t="s">
        <v>4752</v>
      </c>
      <c r="L285" s="18" t="s">
        <v>4734</v>
      </c>
      <c r="M285" s="2">
        <v>1200000</v>
      </c>
      <c r="N285" s="2">
        <v>1200000</v>
      </c>
      <c r="O285" s="2"/>
      <c r="P285" s="2" t="str">
        <f t="shared" si="16"/>
        <v/>
      </c>
      <c r="Q285" s="2"/>
      <c r="R285" s="2"/>
      <c r="S285" s="48"/>
      <c r="T285" s="2">
        <v>3600000</v>
      </c>
      <c r="U285" s="2">
        <v>0</v>
      </c>
      <c r="V285" s="1" t="s">
        <v>1145</v>
      </c>
      <c r="W285" s="6" t="s">
        <v>1146</v>
      </c>
      <c r="X285" s="1" t="s">
        <v>696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>
        <v>1200000</v>
      </c>
      <c r="AI285" s="3">
        <v>1200000</v>
      </c>
      <c r="AJ285" s="3">
        <v>1200000</v>
      </c>
      <c r="AK285" s="3">
        <v>1200000</v>
      </c>
      <c r="AL285" s="3">
        <v>1200000</v>
      </c>
      <c r="AM285" s="3">
        <v>1200000</v>
      </c>
      <c r="AN285" s="3">
        <v>1200000</v>
      </c>
      <c r="AO285" s="3">
        <v>1200000</v>
      </c>
      <c r="AP285" s="3">
        <v>1200000</v>
      </c>
      <c r="AQ285" s="3"/>
      <c r="AR285" s="3"/>
      <c r="AS285" s="3"/>
      <c r="AT285" s="3"/>
      <c r="AU285" s="3"/>
      <c r="AV285" s="3"/>
      <c r="AW285" s="3">
        <f t="shared" si="17"/>
        <v>3600000</v>
      </c>
      <c r="AX285" s="3">
        <f t="shared" si="18"/>
        <v>7200000</v>
      </c>
      <c r="AY285" s="4">
        <f t="shared" si="19"/>
        <v>9</v>
      </c>
      <c r="AZ285" s="8" t="s">
        <v>5489</v>
      </c>
      <c r="BA285" s="4" t="s">
        <v>5715</v>
      </c>
      <c r="BB285" s="2"/>
      <c r="BC285" s="3"/>
      <c r="BD285" s="3"/>
    </row>
    <row r="286" spans="1:56" ht="16.8" customHeight="1">
      <c r="A286" s="1">
        <v>285</v>
      </c>
      <c r="B286" s="1" t="s">
        <v>42</v>
      </c>
      <c r="C286" s="1" t="s">
        <v>185</v>
      </c>
      <c r="D286" s="1" t="s">
        <v>1147</v>
      </c>
      <c r="E286" s="1" t="s">
        <v>1147</v>
      </c>
      <c r="F286" s="1" t="s">
        <v>1148</v>
      </c>
      <c r="G286" s="1" t="s">
        <v>1149</v>
      </c>
      <c r="H286" s="1" t="s">
        <v>4572</v>
      </c>
      <c r="I286" s="18">
        <v>45931</v>
      </c>
      <c r="J286" s="18">
        <v>45931</v>
      </c>
      <c r="K286" s="18" t="s">
        <v>4733</v>
      </c>
      <c r="L286" s="18" t="s">
        <v>4734</v>
      </c>
      <c r="M286" s="2">
        <v>8200000</v>
      </c>
      <c r="N286" s="2">
        <v>8200000</v>
      </c>
      <c r="O286" s="2"/>
      <c r="P286" s="2" t="str">
        <f t="shared" si="16"/>
        <v/>
      </c>
      <c r="Q286" s="2"/>
      <c r="R286" s="2"/>
      <c r="S286" s="48"/>
      <c r="T286" s="2">
        <v>24600000</v>
      </c>
      <c r="U286" s="2">
        <v>0</v>
      </c>
      <c r="V286" s="1" t="s">
        <v>1149</v>
      </c>
      <c r="W286" s="6" t="s">
        <v>1151</v>
      </c>
      <c r="X286" s="1" t="s">
        <v>481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>
        <v>8200000</v>
      </c>
      <c r="AI286" s="3">
        <v>8200000</v>
      </c>
      <c r="AJ286" s="3">
        <v>8200000</v>
      </c>
      <c r="AK286" s="3">
        <v>8200000</v>
      </c>
      <c r="AL286" s="3">
        <v>8200000</v>
      </c>
      <c r="AM286" s="3">
        <v>8200000</v>
      </c>
      <c r="AN286" s="3">
        <v>8200000</v>
      </c>
      <c r="AO286" s="3">
        <v>8200000</v>
      </c>
      <c r="AP286" s="3">
        <v>8200000</v>
      </c>
      <c r="AQ286" s="3"/>
      <c r="AR286" s="3"/>
      <c r="AS286" s="3"/>
      <c r="AT286" s="3"/>
      <c r="AU286" s="3"/>
      <c r="AV286" s="3"/>
      <c r="AW286" s="3">
        <f t="shared" si="17"/>
        <v>24600000</v>
      </c>
      <c r="AX286" s="3">
        <f t="shared" si="18"/>
        <v>49200000</v>
      </c>
      <c r="AY286" s="4">
        <f t="shared" si="19"/>
        <v>9</v>
      </c>
      <c r="AZ286" s="8" t="s">
        <v>5486</v>
      </c>
      <c r="BA286" s="4" t="s">
        <v>5727</v>
      </c>
      <c r="BB286" s="2"/>
      <c r="BC286" s="3"/>
      <c r="BD286" s="3"/>
    </row>
    <row r="287" spans="1:56" ht="16.8" customHeight="1">
      <c r="A287" s="1">
        <v>286</v>
      </c>
      <c r="B287" s="1" t="s">
        <v>42</v>
      </c>
      <c r="C287" s="1" t="s">
        <v>47</v>
      </c>
      <c r="D287" s="1" t="s">
        <v>1152</v>
      </c>
      <c r="E287" s="1" t="s">
        <v>1152</v>
      </c>
      <c r="F287" s="1" t="s">
        <v>1153</v>
      </c>
      <c r="G287" s="1" t="s">
        <v>1154</v>
      </c>
      <c r="H287" s="1" t="s">
        <v>1379</v>
      </c>
      <c r="I287" s="18">
        <v>45931</v>
      </c>
      <c r="J287" s="18">
        <v>45931</v>
      </c>
      <c r="K287" s="18" t="s">
        <v>4777</v>
      </c>
      <c r="L287" s="18" t="s">
        <v>4734</v>
      </c>
      <c r="M287" s="2">
        <v>1200000</v>
      </c>
      <c r="N287" s="2">
        <v>1200000</v>
      </c>
      <c r="O287" s="2"/>
      <c r="P287" s="2" t="str">
        <f t="shared" si="16"/>
        <v/>
      </c>
      <c r="Q287" s="2"/>
      <c r="R287" s="2"/>
      <c r="S287" s="48"/>
      <c r="T287" s="2">
        <v>3600000</v>
      </c>
      <c r="U287" s="2">
        <v>0</v>
      </c>
      <c r="V287" s="1" t="s">
        <v>1155</v>
      </c>
      <c r="W287" s="6" t="s">
        <v>1156</v>
      </c>
      <c r="X287" s="1" t="s">
        <v>101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>
        <v>1200000</v>
      </c>
      <c r="AI287" s="3">
        <v>1200000</v>
      </c>
      <c r="AJ287" s="3">
        <v>1200000</v>
      </c>
      <c r="AK287" s="3">
        <v>1200000</v>
      </c>
      <c r="AL287" s="3">
        <v>1200000</v>
      </c>
      <c r="AM287" s="3">
        <v>1200000</v>
      </c>
      <c r="AN287" s="3">
        <v>1200000</v>
      </c>
      <c r="AO287" s="3">
        <v>1200000</v>
      </c>
      <c r="AP287" s="3">
        <v>1200000</v>
      </c>
      <c r="AQ287" s="3"/>
      <c r="AR287" s="3"/>
      <c r="AS287" s="3"/>
      <c r="AT287" s="3"/>
      <c r="AU287" s="3"/>
      <c r="AV287" s="3"/>
      <c r="AW287" s="3">
        <f t="shared" si="17"/>
        <v>3600000</v>
      </c>
      <c r="AX287" s="3">
        <f t="shared" si="18"/>
        <v>7200000</v>
      </c>
      <c r="AY287" s="4">
        <f t="shared" si="19"/>
        <v>9</v>
      </c>
      <c r="AZ287" s="8" t="s">
        <v>5529</v>
      </c>
      <c r="BA287" s="4" t="s">
        <v>5726</v>
      </c>
      <c r="BB287" s="2"/>
      <c r="BC287" s="3"/>
      <c r="BD287" s="3"/>
    </row>
    <row r="288" spans="1:56" ht="16.8" customHeight="1">
      <c r="A288" s="1">
        <v>287</v>
      </c>
      <c r="B288" s="1" t="s">
        <v>42</v>
      </c>
      <c r="C288" s="1" t="s">
        <v>47</v>
      </c>
      <c r="D288" s="1" t="s">
        <v>1157</v>
      </c>
      <c r="E288" s="1" t="s">
        <v>1157</v>
      </c>
      <c r="F288" s="1" t="s">
        <v>1158</v>
      </c>
      <c r="G288" s="1" t="s">
        <v>1159</v>
      </c>
      <c r="H288" s="1" t="s">
        <v>4905</v>
      </c>
      <c r="I288" s="18">
        <v>45931</v>
      </c>
      <c r="J288" s="18">
        <v>45931</v>
      </c>
      <c r="K288" s="18" t="s">
        <v>4777</v>
      </c>
      <c r="L288" s="18" t="s">
        <v>4734</v>
      </c>
      <c r="M288" s="2">
        <v>1200000</v>
      </c>
      <c r="N288" s="2">
        <v>1200000</v>
      </c>
      <c r="O288" s="2"/>
      <c r="P288" s="2" t="str">
        <f t="shared" si="16"/>
        <v/>
      </c>
      <c r="Q288" s="2"/>
      <c r="R288" s="2"/>
      <c r="S288" s="48"/>
      <c r="T288" s="2">
        <v>3600000</v>
      </c>
      <c r="U288" s="2">
        <v>0</v>
      </c>
      <c r="V288" s="1" t="s">
        <v>328</v>
      </c>
      <c r="W288" s="6" t="s">
        <v>329</v>
      </c>
      <c r="X288" s="1" t="s">
        <v>333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>
        <v>1200000</v>
      </c>
      <c r="AI288" s="3">
        <v>1200000</v>
      </c>
      <c r="AJ288" s="3">
        <v>1200000</v>
      </c>
      <c r="AK288" s="3">
        <v>1200000</v>
      </c>
      <c r="AL288" s="3">
        <v>1200000</v>
      </c>
      <c r="AM288" s="3">
        <v>1200000</v>
      </c>
      <c r="AN288" s="3">
        <v>1200000</v>
      </c>
      <c r="AO288" s="3">
        <v>1200000</v>
      </c>
      <c r="AP288" s="3">
        <v>1200000</v>
      </c>
      <c r="AQ288" s="3"/>
      <c r="AR288" s="3"/>
      <c r="AS288" s="3"/>
      <c r="AT288" s="3"/>
      <c r="AU288" s="3"/>
      <c r="AV288" s="3"/>
      <c r="AW288" s="3">
        <f t="shared" si="17"/>
        <v>3600000</v>
      </c>
      <c r="AX288" s="3">
        <f t="shared" si="18"/>
        <v>7200000</v>
      </c>
      <c r="AY288" s="4">
        <f t="shared" si="19"/>
        <v>9</v>
      </c>
      <c r="AZ288" s="8">
        <v>0</v>
      </c>
      <c r="BA288" s="4" t="s">
        <v>5726</v>
      </c>
      <c r="BB288" s="2"/>
      <c r="BC288" s="3"/>
      <c r="BD288" s="3"/>
    </row>
    <row r="289" spans="1:56" ht="16.8" customHeight="1">
      <c r="A289" s="1">
        <v>288</v>
      </c>
      <c r="B289" s="1" t="s">
        <v>42</v>
      </c>
      <c r="C289" s="1" t="s">
        <v>47</v>
      </c>
      <c r="D289" s="1" t="s">
        <v>1160</v>
      </c>
      <c r="E289" s="1" t="s">
        <v>1160</v>
      </c>
      <c r="F289" s="1" t="s">
        <v>1161</v>
      </c>
      <c r="G289" s="1" t="s">
        <v>1162</v>
      </c>
      <c r="H289" s="1" t="s">
        <v>4573</v>
      </c>
      <c r="I289" s="18">
        <v>45931</v>
      </c>
      <c r="J289" s="18">
        <v>45931</v>
      </c>
      <c r="K289" s="18" t="s">
        <v>4733</v>
      </c>
      <c r="L289" s="18" t="s">
        <v>4734</v>
      </c>
      <c r="M289" s="2">
        <v>7600000</v>
      </c>
      <c r="N289" s="2">
        <v>7600000</v>
      </c>
      <c r="O289" s="2"/>
      <c r="P289" s="2" t="str">
        <f t="shared" si="16"/>
        <v/>
      </c>
      <c r="Q289" s="2"/>
      <c r="R289" s="2"/>
      <c r="S289" s="48"/>
      <c r="T289" s="2">
        <v>22800000</v>
      </c>
      <c r="U289" s="2">
        <v>0</v>
      </c>
      <c r="V289" s="1" t="s">
        <v>1162</v>
      </c>
      <c r="W289" s="6" t="s">
        <v>1163</v>
      </c>
      <c r="X289" s="1" t="s">
        <v>547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>
        <v>7600000</v>
      </c>
      <c r="AI289" s="3">
        <v>7600000</v>
      </c>
      <c r="AJ289" s="3">
        <v>7600000</v>
      </c>
      <c r="AK289" s="3">
        <v>7600000</v>
      </c>
      <c r="AL289" s="3">
        <v>7600000</v>
      </c>
      <c r="AM289" s="3">
        <v>7600000</v>
      </c>
      <c r="AN289" s="3">
        <v>7600000</v>
      </c>
      <c r="AO289" s="3">
        <v>7600000</v>
      </c>
      <c r="AP289" s="3">
        <v>7600000</v>
      </c>
      <c r="AQ289" s="3"/>
      <c r="AR289" s="3"/>
      <c r="AS289" s="3"/>
      <c r="AT289" s="3"/>
      <c r="AU289" s="3"/>
      <c r="AV289" s="3"/>
      <c r="AW289" s="3">
        <f t="shared" si="17"/>
        <v>22800000</v>
      </c>
      <c r="AX289" s="3">
        <f t="shared" si="18"/>
        <v>45600000</v>
      </c>
      <c r="AY289" s="4">
        <f t="shared" si="19"/>
        <v>9</v>
      </c>
      <c r="AZ289" s="8" t="s">
        <v>5486</v>
      </c>
      <c r="BA289" s="4" t="s">
        <v>5727</v>
      </c>
      <c r="BB289" s="2"/>
      <c r="BC289" s="3"/>
      <c r="BD289" s="3"/>
    </row>
    <row r="290" spans="1:56" ht="16.8" customHeight="1">
      <c r="A290" s="1">
        <v>289</v>
      </c>
      <c r="B290" s="1" t="s">
        <v>42</v>
      </c>
      <c r="C290" s="1" t="s">
        <v>185</v>
      </c>
      <c r="D290" s="1" t="s">
        <v>1164</v>
      </c>
      <c r="E290" s="1" t="s">
        <v>1164</v>
      </c>
      <c r="F290" s="1" t="s">
        <v>1165</v>
      </c>
      <c r="G290" s="1" t="s">
        <v>1166</v>
      </c>
      <c r="H290" s="1" t="s">
        <v>4574</v>
      </c>
      <c r="I290" s="18">
        <v>45931</v>
      </c>
      <c r="J290" s="18">
        <v>45931</v>
      </c>
      <c r="K290" s="18" t="s">
        <v>4900</v>
      </c>
      <c r="L290" s="18"/>
      <c r="M290" s="2">
        <v>2000000</v>
      </c>
      <c r="N290" s="2">
        <v>2000000</v>
      </c>
      <c r="O290" s="2"/>
      <c r="P290" s="2" t="str">
        <f t="shared" si="16"/>
        <v/>
      </c>
      <c r="Q290" s="2"/>
      <c r="R290" s="2"/>
      <c r="S290" s="48"/>
      <c r="T290" s="2">
        <v>6000000</v>
      </c>
      <c r="U290" s="2">
        <v>0</v>
      </c>
      <c r="V290" s="1" t="s">
        <v>633</v>
      </c>
      <c r="W290" s="6" t="s">
        <v>634</v>
      </c>
      <c r="X290" s="1" t="s">
        <v>635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>
        <v>2000000</v>
      </c>
      <c r="AI290" s="3">
        <v>2000000</v>
      </c>
      <c r="AJ290" s="3">
        <v>2000000</v>
      </c>
      <c r="AK290" s="3">
        <v>2000000</v>
      </c>
      <c r="AL290" s="3">
        <v>2000000</v>
      </c>
      <c r="AM290" s="3">
        <v>2000000</v>
      </c>
      <c r="AN290" s="3">
        <v>2000000</v>
      </c>
      <c r="AO290" s="3">
        <v>2000000</v>
      </c>
      <c r="AP290" s="3">
        <v>2000000</v>
      </c>
      <c r="AQ290" s="3"/>
      <c r="AR290" s="3"/>
      <c r="AS290" s="3"/>
      <c r="AT290" s="3"/>
      <c r="AU290" s="3"/>
      <c r="AV290" s="3"/>
      <c r="AW290" s="3">
        <f t="shared" si="17"/>
        <v>6000000</v>
      </c>
      <c r="AX290" s="3">
        <f t="shared" si="18"/>
        <v>12000000</v>
      </c>
      <c r="AY290" s="4">
        <f t="shared" si="19"/>
        <v>9</v>
      </c>
      <c r="BA290" s="4" t="s">
        <v>5715</v>
      </c>
      <c r="BB290" s="2"/>
      <c r="BC290" s="3"/>
      <c r="BD290" s="3"/>
    </row>
    <row r="291" spans="1:56" ht="16.8" customHeight="1">
      <c r="A291" s="1">
        <v>290</v>
      </c>
      <c r="B291" s="1" t="s">
        <v>42</v>
      </c>
      <c r="C291" s="1" t="s">
        <v>185</v>
      </c>
      <c r="D291" s="1" t="s">
        <v>1167</v>
      </c>
      <c r="E291" s="1" t="s">
        <v>1167</v>
      </c>
      <c r="F291" s="1" t="s">
        <v>1168</v>
      </c>
      <c r="G291" s="1" t="s">
        <v>802</v>
      </c>
      <c r="H291" s="1" t="s">
        <v>4575</v>
      </c>
      <c r="I291" s="18">
        <v>45931</v>
      </c>
      <c r="J291" s="18">
        <v>45931</v>
      </c>
      <c r="K291" s="18" t="s">
        <v>4733</v>
      </c>
      <c r="L291" s="18" t="s">
        <v>4734</v>
      </c>
      <c r="M291" s="2">
        <v>7600000</v>
      </c>
      <c r="N291" s="2">
        <v>7600000</v>
      </c>
      <c r="O291" s="2"/>
      <c r="P291" s="2" t="str">
        <f t="shared" si="16"/>
        <v/>
      </c>
      <c r="Q291" s="2"/>
      <c r="R291" s="2"/>
      <c r="S291" s="48"/>
      <c r="T291" s="2">
        <v>22800000</v>
      </c>
      <c r="U291" s="2">
        <v>0</v>
      </c>
      <c r="V291" s="1" t="s">
        <v>802</v>
      </c>
      <c r="W291" s="6" t="s">
        <v>1169</v>
      </c>
      <c r="X291" s="1" t="s">
        <v>1170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>
        <v>7600000</v>
      </c>
      <c r="AI291" s="3">
        <v>7600000</v>
      </c>
      <c r="AJ291" s="3">
        <v>7600000</v>
      </c>
      <c r="AK291" s="3">
        <v>7600000</v>
      </c>
      <c r="AL291" s="3">
        <v>7600000</v>
      </c>
      <c r="AM291" s="3">
        <v>7600000</v>
      </c>
      <c r="AN291" s="3">
        <v>7600000</v>
      </c>
      <c r="AO291" s="3">
        <v>7600000</v>
      </c>
      <c r="AP291" s="3">
        <v>7600000</v>
      </c>
      <c r="AQ291" s="3"/>
      <c r="AR291" s="3"/>
      <c r="AS291" s="3"/>
      <c r="AT291" s="3"/>
      <c r="AU291" s="3"/>
      <c r="AV291" s="3"/>
      <c r="AW291" s="3">
        <f t="shared" si="17"/>
        <v>22800000</v>
      </c>
      <c r="AX291" s="3">
        <f t="shared" si="18"/>
        <v>45600000</v>
      </c>
      <c r="AY291" s="4">
        <f t="shared" si="19"/>
        <v>9</v>
      </c>
      <c r="AZ291" s="8" t="s">
        <v>5486</v>
      </c>
      <c r="BA291" s="4" t="s">
        <v>5727</v>
      </c>
      <c r="BB291" s="2"/>
      <c r="BC291" s="3"/>
      <c r="BD291" s="3"/>
    </row>
    <row r="292" spans="1:56" ht="16.8" customHeight="1">
      <c r="A292" s="1">
        <v>291</v>
      </c>
      <c r="B292" s="1" t="s">
        <v>42</v>
      </c>
      <c r="C292" s="1" t="s">
        <v>185</v>
      </c>
      <c r="D292" s="1" t="s">
        <v>1171</v>
      </c>
      <c r="E292" s="1" t="s">
        <v>1171</v>
      </c>
      <c r="F292" s="1" t="s">
        <v>1172</v>
      </c>
      <c r="G292" s="1" t="s">
        <v>933</v>
      </c>
      <c r="H292" s="1" t="s">
        <v>4576</v>
      </c>
      <c r="I292" s="18">
        <v>45931</v>
      </c>
      <c r="J292" s="18">
        <v>45931</v>
      </c>
      <c r="K292" s="18" t="s">
        <v>4733</v>
      </c>
      <c r="L292" s="18" t="s">
        <v>4734</v>
      </c>
      <c r="M292" s="2">
        <v>8200000</v>
      </c>
      <c r="N292" s="2">
        <v>8200000</v>
      </c>
      <c r="O292" s="2"/>
      <c r="P292" s="2" t="str">
        <f t="shared" si="16"/>
        <v/>
      </c>
      <c r="Q292" s="2"/>
      <c r="R292" s="2"/>
      <c r="S292" s="48"/>
      <c r="T292" s="2">
        <v>24600000</v>
      </c>
      <c r="U292" s="2">
        <v>0</v>
      </c>
      <c r="V292" s="1" t="s">
        <v>933</v>
      </c>
      <c r="W292" s="6" t="s">
        <v>1173</v>
      </c>
      <c r="X292" s="1" t="s">
        <v>1174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>
        <v>8200000</v>
      </c>
      <c r="AI292" s="3">
        <v>8200000</v>
      </c>
      <c r="AJ292" s="3">
        <v>8200000</v>
      </c>
      <c r="AK292" s="3">
        <v>8200000</v>
      </c>
      <c r="AL292" s="3">
        <v>8200000</v>
      </c>
      <c r="AM292" s="3">
        <v>8200000</v>
      </c>
      <c r="AN292" s="3">
        <v>8200000</v>
      </c>
      <c r="AO292" s="3">
        <v>8200000</v>
      </c>
      <c r="AP292" s="3">
        <v>8200000</v>
      </c>
      <c r="AQ292" s="3"/>
      <c r="AR292" s="3"/>
      <c r="AS292" s="3"/>
      <c r="AT292" s="3"/>
      <c r="AU292" s="3"/>
      <c r="AV292" s="3"/>
      <c r="AW292" s="3">
        <f t="shared" si="17"/>
        <v>24600000</v>
      </c>
      <c r="AX292" s="3">
        <f t="shared" si="18"/>
        <v>49200000</v>
      </c>
      <c r="AY292" s="4">
        <f t="shared" si="19"/>
        <v>9</v>
      </c>
      <c r="AZ292" s="8" t="s">
        <v>5486</v>
      </c>
      <c r="BA292" s="4" t="s">
        <v>5727</v>
      </c>
      <c r="BB292" s="2"/>
      <c r="BC292" s="3"/>
      <c r="BD292" s="3"/>
    </row>
    <row r="293" spans="1:56" ht="16.8" customHeight="1">
      <c r="A293" s="1">
        <v>292</v>
      </c>
      <c r="B293" s="1" t="s">
        <v>42</v>
      </c>
      <c r="C293" s="1" t="s">
        <v>43</v>
      </c>
      <c r="D293" s="1" t="s">
        <v>1175</v>
      </c>
      <c r="E293" s="1" t="s">
        <v>1175</v>
      </c>
      <c r="F293" s="1" t="s">
        <v>1176</v>
      </c>
      <c r="G293" s="1" t="s">
        <v>1177</v>
      </c>
      <c r="H293" s="1" t="s">
        <v>4906</v>
      </c>
      <c r="I293" s="18">
        <v>45931</v>
      </c>
      <c r="J293" s="18">
        <v>45931</v>
      </c>
      <c r="K293" s="18">
        <v>47757</v>
      </c>
      <c r="L293" s="18" t="s">
        <v>4734</v>
      </c>
      <c r="M293" s="2">
        <v>1000000</v>
      </c>
      <c r="N293" s="2">
        <v>1000000</v>
      </c>
      <c r="O293" s="2"/>
      <c r="P293" s="2" t="str">
        <f t="shared" si="16"/>
        <v/>
      </c>
      <c r="Q293" s="2"/>
      <c r="R293" s="2"/>
      <c r="S293" s="48"/>
      <c r="T293" s="2">
        <v>3000000</v>
      </c>
      <c r="U293" s="2">
        <v>0</v>
      </c>
      <c r="V293" s="1" t="s">
        <v>146</v>
      </c>
      <c r="W293" s="6" t="s">
        <v>147</v>
      </c>
      <c r="X293" s="1" t="s">
        <v>148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>
        <v>1000000</v>
      </c>
      <c r="AI293" s="3">
        <v>1000000</v>
      </c>
      <c r="AJ293" s="3">
        <v>1000000</v>
      </c>
      <c r="AK293" s="3">
        <v>1000000</v>
      </c>
      <c r="AL293" s="3">
        <v>1000000</v>
      </c>
      <c r="AM293" s="3">
        <v>1000000</v>
      </c>
      <c r="AN293" s="3">
        <v>1000000</v>
      </c>
      <c r="AO293" s="3">
        <v>1000000</v>
      </c>
      <c r="AP293" s="3">
        <v>1000000</v>
      </c>
      <c r="AQ293" s="3"/>
      <c r="AR293" s="3"/>
      <c r="AS293" s="3"/>
      <c r="AT293" s="3"/>
      <c r="AU293" s="3"/>
      <c r="AV293" s="3"/>
      <c r="AW293" s="3">
        <f t="shared" si="17"/>
        <v>3000000</v>
      </c>
      <c r="AX293" s="3">
        <f t="shared" si="18"/>
        <v>6000000</v>
      </c>
      <c r="AY293" s="4">
        <f t="shared" si="19"/>
        <v>9</v>
      </c>
      <c r="AZ293" s="8">
        <v>0</v>
      </c>
      <c r="BA293" s="4" t="s">
        <v>5715</v>
      </c>
      <c r="BB293" s="2"/>
      <c r="BC293" s="3"/>
      <c r="BD293" s="3"/>
    </row>
    <row r="294" spans="1:56" ht="16.8" customHeight="1">
      <c r="A294" s="1">
        <v>293</v>
      </c>
      <c r="B294" s="1" t="s">
        <v>42</v>
      </c>
      <c r="C294" s="1" t="s">
        <v>43</v>
      </c>
      <c r="D294" s="1" t="s">
        <v>1178</v>
      </c>
      <c r="E294" s="1" t="s">
        <v>1178</v>
      </c>
      <c r="F294" s="1" t="s">
        <v>1179</v>
      </c>
      <c r="G294" s="1" t="s">
        <v>1180</v>
      </c>
      <c r="H294" s="1" t="s">
        <v>4907</v>
      </c>
      <c r="I294" s="18">
        <v>45931</v>
      </c>
      <c r="J294" s="18">
        <v>45931</v>
      </c>
      <c r="K294" s="18" t="s">
        <v>4733</v>
      </c>
      <c r="L294" s="18" t="s">
        <v>4734</v>
      </c>
      <c r="M294" s="2">
        <v>1000000</v>
      </c>
      <c r="N294" s="2">
        <v>1000000</v>
      </c>
      <c r="O294" s="2"/>
      <c r="P294" s="2" t="str">
        <f t="shared" si="16"/>
        <v/>
      </c>
      <c r="Q294" s="2"/>
      <c r="R294" s="2"/>
      <c r="S294" s="48"/>
      <c r="T294" s="2">
        <v>3000000</v>
      </c>
      <c r="U294" s="2">
        <v>0</v>
      </c>
      <c r="V294" s="1" t="s">
        <v>1180</v>
      </c>
      <c r="W294" s="6" t="s">
        <v>1181</v>
      </c>
      <c r="X294" s="1" t="s">
        <v>1182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>
        <v>1000000</v>
      </c>
      <c r="AI294" s="3">
        <v>1000000</v>
      </c>
      <c r="AJ294" s="3">
        <v>1000000</v>
      </c>
      <c r="AK294" s="3">
        <v>1000000</v>
      </c>
      <c r="AL294" s="3">
        <v>1000000</v>
      </c>
      <c r="AM294" s="3">
        <v>1000000</v>
      </c>
      <c r="AN294" s="3">
        <v>1000000</v>
      </c>
      <c r="AO294" s="3">
        <v>1000000</v>
      </c>
      <c r="AP294" s="3">
        <v>1000000</v>
      </c>
      <c r="AQ294" s="3"/>
      <c r="AR294" s="3"/>
      <c r="AS294" s="3"/>
      <c r="AT294" s="3"/>
      <c r="AU294" s="3"/>
      <c r="AV294" s="3"/>
      <c r="AW294" s="3">
        <f t="shared" si="17"/>
        <v>3000000</v>
      </c>
      <c r="AX294" s="3">
        <f t="shared" si="18"/>
        <v>6000000</v>
      </c>
      <c r="AY294" s="4">
        <f t="shared" si="19"/>
        <v>9</v>
      </c>
      <c r="AZ294" s="8">
        <v>0</v>
      </c>
      <c r="BA294" s="4" t="s">
        <v>5715</v>
      </c>
      <c r="BB294" s="2"/>
      <c r="BC294" s="3"/>
      <c r="BD294" s="3"/>
    </row>
    <row r="295" spans="1:56" ht="16.8" customHeight="1">
      <c r="A295" s="1">
        <v>294</v>
      </c>
      <c r="B295" s="1" t="s">
        <v>42</v>
      </c>
      <c r="C295" s="1" t="s">
        <v>43</v>
      </c>
      <c r="D295" s="1" t="s">
        <v>1183</v>
      </c>
      <c r="E295" s="1" t="s">
        <v>1183</v>
      </c>
      <c r="F295" s="1" t="s">
        <v>1184</v>
      </c>
      <c r="G295" s="1" t="s">
        <v>1185</v>
      </c>
      <c r="H295" s="1" t="s">
        <v>4908</v>
      </c>
      <c r="I295" s="18">
        <v>47392</v>
      </c>
      <c r="J295" s="18">
        <v>10</v>
      </c>
      <c r="K295" s="18">
        <v>1000000</v>
      </c>
      <c r="L295" s="18"/>
      <c r="M295" s="2">
        <v>1000000</v>
      </c>
      <c r="N295" s="2">
        <v>1000000</v>
      </c>
      <c r="O295" s="2"/>
      <c r="P295" s="2" t="str">
        <f t="shared" si="16"/>
        <v/>
      </c>
      <c r="Q295" s="2"/>
      <c r="R295" s="2"/>
      <c r="S295" s="48"/>
      <c r="T295" s="2">
        <v>0</v>
      </c>
      <c r="U295" s="2">
        <v>3000000</v>
      </c>
      <c r="V295" s="1"/>
      <c r="W295" s="6"/>
      <c r="X295" s="1"/>
      <c r="Y295" s="3"/>
      <c r="Z295" s="3"/>
      <c r="AA295" s="3"/>
      <c r="AB295" s="3"/>
      <c r="AC295" s="3"/>
      <c r="AD295" s="3"/>
      <c r="AE295" s="3"/>
      <c r="AF295" s="3"/>
      <c r="AG295" s="3"/>
      <c r="AH295" s="3">
        <v>1000000</v>
      </c>
      <c r="AI295" s="3">
        <v>1000000</v>
      </c>
      <c r="AJ295" s="3">
        <v>1000000</v>
      </c>
      <c r="AK295" s="3">
        <v>1000000</v>
      </c>
      <c r="AL295" s="3">
        <v>1000000</v>
      </c>
      <c r="AM295" s="3">
        <v>1000000</v>
      </c>
      <c r="AN295" s="3">
        <v>1000000</v>
      </c>
      <c r="AO295" s="3">
        <v>1000000</v>
      </c>
      <c r="AP295" s="3">
        <v>1000000</v>
      </c>
      <c r="AQ295" s="3"/>
      <c r="AR295" s="3"/>
      <c r="AS295" s="3"/>
      <c r="AT295" s="3"/>
      <c r="AU295" s="3"/>
      <c r="AV295" s="3"/>
      <c r="AW295" s="3">
        <f t="shared" si="17"/>
        <v>3000000</v>
      </c>
      <c r="AX295" s="3">
        <f t="shared" si="18"/>
        <v>6000000</v>
      </c>
      <c r="AY295" s="4">
        <f t="shared" si="19"/>
        <v>9</v>
      </c>
      <c r="BA295" s="4" t="s">
        <v>5728</v>
      </c>
      <c r="BB295" s="2"/>
      <c r="BC295" s="3"/>
      <c r="BD295" s="3"/>
    </row>
    <row r="296" spans="1:56" ht="16.8" customHeight="1">
      <c r="A296" s="1">
        <v>295</v>
      </c>
      <c r="B296" s="1" t="s">
        <v>42</v>
      </c>
      <c r="C296" s="1" t="s">
        <v>43</v>
      </c>
      <c r="D296" s="1" t="s">
        <v>1186</v>
      </c>
      <c r="E296" s="1" t="s">
        <v>1186</v>
      </c>
      <c r="F296" s="1" t="s">
        <v>1187</v>
      </c>
      <c r="G296" s="1" t="s">
        <v>1188</v>
      </c>
      <c r="H296" s="1" t="s">
        <v>4909</v>
      </c>
      <c r="I296" s="18">
        <v>47484</v>
      </c>
      <c r="J296" s="18">
        <v>10</v>
      </c>
      <c r="K296" s="18">
        <v>1000000</v>
      </c>
      <c r="L296" s="18"/>
      <c r="M296" s="2">
        <v>1000000</v>
      </c>
      <c r="N296" s="2">
        <v>1000000</v>
      </c>
      <c r="O296" s="2"/>
      <c r="P296" s="2" t="str">
        <f t="shared" si="16"/>
        <v/>
      </c>
      <c r="Q296" s="2"/>
      <c r="R296" s="2"/>
      <c r="S296" s="48"/>
      <c r="T296" s="2">
        <v>0</v>
      </c>
      <c r="U296" s="2">
        <v>3000000</v>
      </c>
      <c r="V296" s="1"/>
      <c r="W296" s="6"/>
      <c r="X296" s="1"/>
      <c r="Y296" s="3"/>
      <c r="Z296" s="3"/>
      <c r="AA296" s="3"/>
      <c r="AB296" s="3"/>
      <c r="AC296" s="3"/>
      <c r="AD296" s="3"/>
      <c r="AE296" s="3"/>
      <c r="AF296" s="3"/>
      <c r="AG296" s="3"/>
      <c r="AH296" s="3">
        <v>1000000</v>
      </c>
      <c r="AI296" s="3">
        <v>1000000</v>
      </c>
      <c r="AJ296" s="3">
        <v>1000000</v>
      </c>
      <c r="AK296" s="3">
        <v>1000000</v>
      </c>
      <c r="AL296" s="3">
        <v>1000000</v>
      </c>
      <c r="AM296" s="3">
        <v>1000000</v>
      </c>
      <c r="AN296" s="3">
        <v>1000000</v>
      </c>
      <c r="AO296" s="3">
        <v>1000000</v>
      </c>
      <c r="AP296" s="3">
        <v>1000000</v>
      </c>
      <c r="AQ296" s="3"/>
      <c r="AR296" s="3"/>
      <c r="AS296" s="3"/>
      <c r="AT296" s="3"/>
      <c r="AU296" s="3"/>
      <c r="AV296" s="3"/>
      <c r="AW296" s="3">
        <f t="shared" si="17"/>
        <v>3000000</v>
      </c>
      <c r="AX296" s="3">
        <f t="shared" si="18"/>
        <v>6000000</v>
      </c>
      <c r="AY296" s="4">
        <f t="shared" si="19"/>
        <v>9</v>
      </c>
      <c r="BA296" s="4" t="s">
        <v>5728</v>
      </c>
      <c r="BB296" s="2"/>
      <c r="BC296" s="3"/>
      <c r="BD296" s="3"/>
    </row>
    <row r="297" spans="1:56" ht="16.8" customHeight="1">
      <c r="A297" s="1">
        <v>296</v>
      </c>
      <c r="B297" s="1" t="s">
        <v>42</v>
      </c>
      <c r="C297" s="1" t="s">
        <v>43</v>
      </c>
      <c r="D297" s="1" t="s">
        <v>1189</v>
      </c>
      <c r="E297" s="1" t="s">
        <v>1189</v>
      </c>
      <c r="F297" s="1" t="s">
        <v>1190</v>
      </c>
      <c r="G297" s="1" t="s">
        <v>1191</v>
      </c>
      <c r="H297" s="1" t="s">
        <v>4910</v>
      </c>
      <c r="I297" s="18">
        <v>47484</v>
      </c>
      <c r="J297" s="18">
        <v>10</v>
      </c>
      <c r="K297" s="18">
        <v>1000000</v>
      </c>
      <c r="L297" s="18"/>
      <c r="M297" s="2">
        <v>1000000</v>
      </c>
      <c r="N297" s="2">
        <v>1000000</v>
      </c>
      <c r="O297" s="2"/>
      <c r="P297" s="2" t="str">
        <f t="shared" si="16"/>
        <v/>
      </c>
      <c r="Q297" s="2"/>
      <c r="R297" s="2"/>
      <c r="S297" s="48"/>
      <c r="T297" s="2">
        <v>0</v>
      </c>
      <c r="U297" s="2">
        <v>3000000</v>
      </c>
      <c r="V297" s="1"/>
      <c r="W297" s="6"/>
      <c r="X297" s="1"/>
      <c r="Y297" s="3"/>
      <c r="Z297" s="3"/>
      <c r="AA297" s="3"/>
      <c r="AB297" s="3"/>
      <c r="AC297" s="3"/>
      <c r="AD297" s="3"/>
      <c r="AE297" s="3"/>
      <c r="AF297" s="3"/>
      <c r="AG297" s="3"/>
      <c r="AH297" s="3">
        <v>1000000</v>
      </c>
      <c r="AI297" s="3">
        <v>1000000</v>
      </c>
      <c r="AJ297" s="3">
        <v>1000000</v>
      </c>
      <c r="AK297" s="3">
        <v>1000000</v>
      </c>
      <c r="AL297" s="3">
        <v>1000000</v>
      </c>
      <c r="AM297" s="3">
        <v>1000000</v>
      </c>
      <c r="AN297" s="3">
        <v>1000000</v>
      </c>
      <c r="AO297" s="3">
        <v>1000000</v>
      </c>
      <c r="AP297" s="3">
        <v>1000000</v>
      </c>
      <c r="AQ297" s="3"/>
      <c r="AR297" s="3"/>
      <c r="AS297" s="3"/>
      <c r="AT297" s="3"/>
      <c r="AU297" s="3"/>
      <c r="AV297" s="3"/>
      <c r="AW297" s="3">
        <f t="shared" si="17"/>
        <v>3000000</v>
      </c>
      <c r="AX297" s="3">
        <f t="shared" si="18"/>
        <v>6000000</v>
      </c>
      <c r="AY297" s="4">
        <f t="shared" si="19"/>
        <v>9</v>
      </c>
      <c r="BA297" s="4" t="s">
        <v>5728</v>
      </c>
      <c r="BB297" s="2"/>
      <c r="BC297" s="3"/>
      <c r="BD297" s="3"/>
    </row>
    <row r="298" spans="1:56" ht="16.8" customHeight="1">
      <c r="A298" s="1">
        <v>297</v>
      </c>
      <c r="B298" s="1" t="s">
        <v>42</v>
      </c>
      <c r="C298" s="1" t="s">
        <v>185</v>
      </c>
      <c r="D298" s="1" t="s">
        <v>1192</v>
      </c>
      <c r="E298" s="1" t="s">
        <v>1192</v>
      </c>
      <c r="F298" s="1" t="s">
        <v>1193</v>
      </c>
      <c r="G298" s="1" t="s">
        <v>1194</v>
      </c>
      <c r="H298" s="1" t="s">
        <v>4911</v>
      </c>
      <c r="I298" s="18">
        <v>45931</v>
      </c>
      <c r="J298" s="18">
        <v>45931</v>
      </c>
      <c r="K298" s="18" t="s">
        <v>4912</v>
      </c>
      <c r="L298" s="18" t="s">
        <v>4734</v>
      </c>
      <c r="M298" s="2">
        <v>1200000</v>
      </c>
      <c r="N298" s="2">
        <v>1200000</v>
      </c>
      <c r="O298" s="2"/>
      <c r="P298" s="2" t="str">
        <f t="shared" si="16"/>
        <v/>
      </c>
      <c r="Q298" s="2"/>
      <c r="R298" s="2"/>
      <c r="S298" s="48"/>
      <c r="T298" s="2">
        <v>3600000</v>
      </c>
      <c r="U298" s="2">
        <v>0</v>
      </c>
      <c r="V298" s="1" t="s">
        <v>633</v>
      </c>
      <c r="W298" s="6" t="s">
        <v>634</v>
      </c>
      <c r="X298" s="1" t="s">
        <v>635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>
        <v>1200000</v>
      </c>
      <c r="AI298" s="3">
        <v>1200000</v>
      </c>
      <c r="AJ298" s="3">
        <v>1200000</v>
      </c>
      <c r="AK298" s="3">
        <v>1200000</v>
      </c>
      <c r="AL298" s="3">
        <v>1200000</v>
      </c>
      <c r="AM298" s="3">
        <v>1200000</v>
      </c>
      <c r="AN298" s="3">
        <v>1200000</v>
      </c>
      <c r="AO298" s="3">
        <v>1200000</v>
      </c>
      <c r="AP298" s="3">
        <v>1200000</v>
      </c>
      <c r="AQ298" s="3"/>
      <c r="AR298" s="3"/>
      <c r="AS298" s="3"/>
      <c r="AT298" s="3"/>
      <c r="AU298" s="3"/>
      <c r="AV298" s="3"/>
      <c r="AW298" s="3">
        <f t="shared" si="17"/>
        <v>3600000</v>
      </c>
      <c r="AX298" s="3">
        <f t="shared" si="18"/>
        <v>7200000</v>
      </c>
      <c r="AY298" s="4">
        <f t="shared" si="19"/>
        <v>9</v>
      </c>
      <c r="AZ298" s="8" t="s">
        <v>5530</v>
      </c>
      <c r="BA298" s="4" t="s">
        <v>5715</v>
      </c>
      <c r="BB298" s="2"/>
      <c r="BC298" s="3"/>
      <c r="BD298" s="3"/>
    </row>
    <row r="299" spans="1:56" ht="16.8" customHeight="1">
      <c r="A299" s="1">
        <v>298</v>
      </c>
      <c r="B299" s="1" t="s">
        <v>42</v>
      </c>
      <c r="C299" s="1" t="s">
        <v>47</v>
      </c>
      <c r="D299" s="1" t="s">
        <v>1195</v>
      </c>
      <c r="E299" s="1" t="s">
        <v>1195</v>
      </c>
      <c r="F299" s="1" t="s">
        <v>1196</v>
      </c>
      <c r="G299" s="1" t="s">
        <v>1197</v>
      </c>
      <c r="H299" s="1" t="s">
        <v>984</v>
      </c>
      <c r="I299" s="18">
        <v>45931</v>
      </c>
      <c r="J299" s="18">
        <v>45931</v>
      </c>
      <c r="K299" s="18" t="s">
        <v>4777</v>
      </c>
      <c r="L299" s="18" t="s">
        <v>4734</v>
      </c>
      <c r="M299" s="2">
        <v>1200000</v>
      </c>
      <c r="N299" s="2">
        <v>1200000</v>
      </c>
      <c r="O299" s="2"/>
      <c r="P299" s="2" t="str">
        <f t="shared" si="16"/>
        <v/>
      </c>
      <c r="Q299" s="2"/>
      <c r="R299" s="2"/>
      <c r="S299" s="48"/>
      <c r="T299" s="2">
        <v>3600000</v>
      </c>
      <c r="U299" s="2">
        <v>0</v>
      </c>
      <c r="V299" s="1" t="s">
        <v>328</v>
      </c>
      <c r="W299" s="6" t="s">
        <v>329</v>
      </c>
      <c r="X299" s="1" t="s">
        <v>333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>
        <v>1200000</v>
      </c>
      <c r="AI299" s="3">
        <v>1200000</v>
      </c>
      <c r="AJ299" s="3">
        <v>1200000</v>
      </c>
      <c r="AK299" s="3">
        <v>1200000</v>
      </c>
      <c r="AL299" s="3">
        <v>1200000</v>
      </c>
      <c r="AM299" s="3">
        <v>1200000</v>
      </c>
      <c r="AN299" s="3">
        <v>1200000</v>
      </c>
      <c r="AO299" s="3">
        <v>1200000</v>
      </c>
      <c r="AP299" s="3">
        <v>1200000</v>
      </c>
      <c r="AQ299" s="3"/>
      <c r="AR299" s="3"/>
      <c r="AS299" s="3"/>
      <c r="AT299" s="3"/>
      <c r="AU299" s="3"/>
      <c r="AV299" s="3"/>
      <c r="AW299" s="3">
        <f t="shared" si="17"/>
        <v>3600000</v>
      </c>
      <c r="AX299" s="3">
        <f t="shared" si="18"/>
        <v>7200000</v>
      </c>
      <c r="AY299" s="4">
        <f t="shared" si="19"/>
        <v>9</v>
      </c>
      <c r="AZ299" s="8">
        <v>0</v>
      </c>
      <c r="BA299" s="4" t="s">
        <v>5726</v>
      </c>
      <c r="BB299" s="2"/>
      <c r="BC299" s="3"/>
      <c r="BD299" s="3"/>
    </row>
    <row r="300" spans="1:56" s="33" customFormat="1" ht="16.8" customHeight="1">
      <c r="A300" s="29">
        <v>299</v>
      </c>
      <c r="B300" s="29" t="s">
        <v>42</v>
      </c>
      <c r="C300" s="1" t="s">
        <v>185</v>
      </c>
      <c r="D300" s="29" t="s">
        <v>1198</v>
      </c>
      <c r="E300" s="29" t="s">
        <v>1198</v>
      </c>
      <c r="F300" s="1" t="s">
        <v>1199</v>
      </c>
      <c r="G300" s="1" t="s">
        <v>1200</v>
      </c>
      <c r="H300" s="1" t="s">
        <v>4577</v>
      </c>
      <c r="I300" s="18">
        <v>45931</v>
      </c>
      <c r="J300" s="18">
        <v>45931</v>
      </c>
      <c r="K300" s="18" t="s">
        <v>4913</v>
      </c>
      <c r="L300" s="18" t="s">
        <v>4734</v>
      </c>
      <c r="M300" s="30">
        <v>1500000</v>
      </c>
      <c r="N300" s="30">
        <v>2000000</v>
      </c>
      <c r="O300" s="30">
        <v>2000000</v>
      </c>
      <c r="P300" s="2">
        <f t="shared" si="16"/>
        <v>500000</v>
      </c>
      <c r="Q300" s="2"/>
      <c r="R300" s="2"/>
      <c r="S300" s="48"/>
      <c r="T300" s="2">
        <v>4500000</v>
      </c>
      <c r="U300" s="2">
        <v>0</v>
      </c>
      <c r="V300" s="1" t="s">
        <v>1201</v>
      </c>
      <c r="W300" s="6" t="s">
        <v>1202</v>
      </c>
      <c r="X300" s="1" t="s">
        <v>106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>
        <v>1500000</v>
      </c>
      <c r="AI300" s="3">
        <v>1500000</v>
      </c>
      <c r="AJ300" s="3">
        <v>1500000</v>
      </c>
      <c r="AK300" s="3">
        <v>1500000</v>
      </c>
      <c r="AL300" s="3">
        <v>1500000</v>
      </c>
      <c r="AM300" s="3">
        <v>1500000</v>
      </c>
      <c r="AN300" s="3">
        <v>1500000</v>
      </c>
      <c r="AO300" s="3">
        <v>1500000</v>
      </c>
      <c r="AP300" s="3">
        <v>1500000</v>
      </c>
      <c r="AQ300" s="31"/>
      <c r="AR300" s="31"/>
      <c r="AS300" s="31"/>
      <c r="AT300" s="31"/>
      <c r="AU300" s="31"/>
      <c r="AV300" s="31"/>
      <c r="AW300" s="31">
        <f t="shared" si="17"/>
        <v>4500000</v>
      </c>
      <c r="AX300" s="31">
        <f t="shared" si="18"/>
        <v>9000000</v>
      </c>
      <c r="AY300" s="32">
        <f t="shared" si="19"/>
        <v>9</v>
      </c>
      <c r="AZ300" s="33" t="s">
        <v>5531</v>
      </c>
      <c r="BA300" s="4" t="s">
        <v>5715</v>
      </c>
      <c r="BB300" s="30"/>
      <c r="BC300" s="3"/>
      <c r="BD300" s="31"/>
    </row>
    <row r="301" spans="1:56" ht="16.8" customHeight="1">
      <c r="A301" s="1">
        <v>300</v>
      </c>
      <c r="B301" s="1" t="s">
        <v>42</v>
      </c>
      <c r="C301" s="1" t="s">
        <v>185</v>
      </c>
      <c r="D301" s="1" t="s">
        <v>1203</v>
      </c>
      <c r="E301" s="1" t="s">
        <v>1203</v>
      </c>
      <c r="F301" s="1" t="s">
        <v>1204</v>
      </c>
      <c r="G301" s="1" t="s">
        <v>1205</v>
      </c>
      <c r="H301" s="1" t="s">
        <v>4914</v>
      </c>
      <c r="I301" s="18">
        <v>45931</v>
      </c>
      <c r="J301" s="18">
        <v>45931</v>
      </c>
      <c r="K301" s="18" t="s">
        <v>4733</v>
      </c>
      <c r="L301" s="18" t="s">
        <v>4734</v>
      </c>
      <c r="M301" s="2">
        <v>7600000</v>
      </c>
      <c r="N301" s="2">
        <v>7600000</v>
      </c>
      <c r="O301" s="2"/>
      <c r="P301" s="2" t="str">
        <f t="shared" si="16"/>
        <v/>
      </c>
      <c r="Q301" s="2"/>
      <c r="R301" s="2"/>
      <c r="S301" s="48"/>
      <c r="T301" s="2">
        <v>22800000</v>
      </c>
      <c r="U301" s="2">
        <v>0</v>
      </c>
      <c r="V301" s="1" t="s">
        <v>1205</v>
      </c>
      <c r="W301" s="6" t="s">
        <v>1206</v>
      </c>
      <c r="X301" s="1" t="s">
        <v>1207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>
        <v>7600000</v>
      </c>
      <c r="AI301" s="3">
        <v>7600000</v>
      </c>
      <c r="AJ301" s="3">
        <v>7600000</v>
      </c>
      <c r="AK301" s="3">
        <v>7600000</v>
      </c>
      <c r="AL301" s="3">
        <v>7600000</v>
      </c>
      <c r="AM301" s="3">
        <v>7600000</v>
      </c>
      <c r="AN301" s="3">
        <v>7600000</v>
      </c>
      <c r="AO301" s="3">
        <v>7600000</v>
      </c>
      <c r="AP301" s="3">
        <v>7600000</v>
      </c>
      <c r="AQ301" s="3"/>
      <c r="AR301" s="3"/>
      <c r="AS301" s="3"/>
      <c r="AT301" s="3"/>
      <c r="AU301" s="3"/>
      <c r="AV301" s="3"/>
      <c r="AW301" s="3">
        <f t="shared" si="17"/>
        <v>22800000</v>
      </c>
      <c r="AX301" s="3">
        <f t="shared" si="18"/>
        <v>45600000</v>
      </c>
      <c r="AY301" s="4">
        <f t="shared" si="19"/>
        <v>9</v>
      </c>
      <c r="AZ301" s="8" t="s">
        <v>5486</v>
      </c>
      <c r="BA301" s="4" t="s">
        <v>5717</v>
      </c>
      <c r="BB301" s="2">
        <v>22800000</v>
      </c>
      <c r="BC301" s="3"/>
      <c r="BD301" s="3"/>
    </row>
    <row r="302" spans="1:56" ht="16.8" customHeight="1">
      <c r="A302" s="1">
        <v>301</v>
      </c>
      <c r="B302" s="1" t="s">
        <v>42</v>
      </c>
      <c r="C302" s="1" t="s">
        <v>185</v>
      </c>
      <c r="D302" s="1" t="s">
        <v>1208</v>
      </c>
      <c r="E302" s="1" t="s">
        <v>1208</v>
      </c>
      <c r="F302" s="1" t="s">
        <v>1209</v>
      </c>
      <c r="G302" s="1" t="s">
        <v>109</v>
      </c>
      <c r="H302" s="1" t="s">
        <v>4744</v>
      </c>
      <c r="I302" s="18">
        <v>45931</v>
      </c>
      <c r="J302" s="18">
        <v>45931</v>
      </c>
      <c r="K302" s="18" t="s">
        <v>4745</v>
      </c>
      <c r="L302" s="18" t="s">
        <v>4734</v>
      </c>
      <c r="M302" s="2">
        <v>8200000</v>
      </c>
      <c r="N302" s="2">
        <v>8200000</v>
      </c>
      <c r="O302" s="2"/>
      <c r="P302" s="2" t="str">
        <f t="shared" si="16"/>
        <v/>
      </c>
      <c r="Q302" s="2"/>
      <c r="R302" s="2"/>
      <c r="S302" s="48"/>
      <c r="T302" s="2">
        <v>27060000</v>
      </c>
      <c r="U302" s="2">
        <v>0</v>
      </c>
      <c r="V302" s="1" t="s">
        <v>93</v>
      </c>
      <c r="W302" s="6" t="s">
        <v>94</v>
      </c>
      <c r="X302" s="1" t="s">
        <v>95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>
        <v>8200000</v>
      </c>
      <c r="AL302" s="3">
        <v>8200000</v>
      </c>
      <c r="AM302" s="3">
        <v>8200000</v>
      </c>
      <c r="AN302" s="3">
        <v>8200000</v>
      </c>
      <c r="AO302" s="3">
        <v>8200000</v>
      </c>
      <c r="AP302" s="3">
        <v>8200000</v>
      </c>
      <c r="AQ302" s="3"/>
      <c r="AR302" s="3"/>
      <c r="AS302" s="3"/>
      <c r="AT302" s="3"/>
      <c r="AU302" s="3"/>
      <c r="AV302" s="3"/>
      <c r="AW302" s="3">
        <f t="shared" si="17"/>
        <v>0</v>
      </c>
      <c r="AX302" s="3">
        <f t="shared" si="18"/>
        <v>49200000</v>
      </c>
      <c r="AY302" s="4">
        <f t="shared" si="19"/>
        <v>6</v>
      </c>
      <c r="AZ302" s="8" t="s">
        <v>5484</v>
      </c>
      <c r="BA302" s="4" t="s">
        <v>5727</v>
      </c>
      <c r="BB302" s="2"/>
      <c r="BC302" s="3"/>
      <c r="BD302" s="3"/>
    </row>
    <row r="303" spans="1:56" ht="16.8" customHeight="1">
      <c r="A303" s="1">
        <v>302</v>
      </c>
      <c r="B303" s="1" t="s">
        <v>42</v>
      </c>
      <c r="C303" s="1" t="s">
        <v>47</v>
      </c>
      <c r="D303" s="1" t="s">
        <v>1210</v>
      </c>
      <c r="E303" s="1" t="s">
        <v>1210</v>
      </c>
      <c r="F303" s="1" t="s">
        <v>1211</v>
      </c>
      <c r="G303" s="1" t="s">
        <v>1212</v>
      </c>
      <c r="H303" s="1" t="s">
        <v>4915</v>
      </c>
      <c r="I303" s="18">
        <v>45931</v>
      </c>
      <c r="J303" s="18">
        <v>45931</v>
      </c>
      <c r="K303" s="18" t="s">
        <v>4777</v>
      </c>
      <c r="L303" s="18" t="s">
        <v>4734</v>
      </c>
      <c r="M303" s="2">
        <v>1500000</v>
      </c>
      <c r="N303" s="2">
        <v>1500000</v>
      </c>
      <c r="O303" s="2"/>
      <c r="P303" s="2" t="str">
        <f t="shared" si="16"/>
        <v/>
      </c>
      <c r="Q303" s="2"/>
      <c r="R303" s="2"/>
      <c r="S303" s="48"/>
      <c r="T303" s="2">
        <v>4500000</v>
      </c>
      <c r="U303" s="2">
        <v>0</v>
      </c>
      <c r="V303" s="1" t="s">
        <v>1212</v>
      </c>
      <c r="W303" s="6" t="s">
        <v>1213</v>
      </c>
      <c r="X303" s="1" t="s">
        <v>224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>
        <v>1500000</v>
      </c>
      <c r="AI303" s="3">
        <v>1500000</v>
      </c>
      <c r="AJ303" s="3">
        <v>1500000</v>
      </c>
      <c r="AK303" s="3">
        <v>1500000</v>
      </c>
      <c r="AL303" s="3">
        <v>1500000</v>
      </c>
      <c r="AM303" s="3">
        <v>1500000</v>
      </c>
      <c r="AN303" s="3">
        <v>1500000</v>
      </c>
      <c r="AO303" s="3">
        <v>1500000</v>
      </c>
      <c r="AP303" s="3">
        <v>1500000</v>
      </c>
      <c r="AQ303" s="3"/>
      <c r="AR303" s="3"/>
      <c r="AS303" s="3"/>
      <c r="AT303" s="3"/>
      <c r="AU303" s="3"/>
      <c r="AV303" s="3"/>
      <c r="AW303" s="3">
        <f t="shared" si="17"/>
        <v>4500000</v>
      </c>
      <c r="AX303" s="3">
        <f t="shared" si="18"/>
        <v>9000000</v>
      </c>
      <c r="AY303" s="4">
        <f t="shared" si="19"/>
        <v>9</v>
      </c>
      <c r="AZ303" s="8" t="s">
        <v>5697</v>
      </c>
      <c r="BA303" s="4" t="s">
        <v>5726</v>
      </c>
      <c r="BB303" s="2"/>
      <c r="BC303" s="3"/>
      <c r="BD303" s="3"/>
    </row>
    <row r="304" spans="1:56" ht="16.8" customHeight="1">
      <c r="A304" s="1">
        <v>303</v>
      </c>
      <c r="B304" s="1" t="s">
        <v>42</v>
      </c>
      <c r="C304" s="1" t="s">
        <v>47</v>
      </c>
      <c r="D304" s="1" t="s">
        <v>1214</v>
      </c>
      <c r="E304" s="1" t="s">
        <v>1214</v>
      </c>
      <c r="F304" s="1" t="s">
        <v>1215</v>
      </c>
      <c r="G304" s="1" t="s">
        <v>1097</v>
      </c>
      <c r="H304" s="1" t="s">
        <v>4578</v>
      </c>
      <c r="I304" s="18">
        <v>45931</v>
      </c>
      <c r="J304" s="18">
        <v>45931</v>
      </c>
      <c r="K304" s="18" t="s">
        <v>4737</v>
      </c>
      <c r="L304" s="18" t="s">
        <v>4734</v>
      </c>
      <c r="M304" s="2">
        <v>1200000</v>
      </c>
      <c r="N304" s="2">
        <v>1200000</v>
      </c>
      <c r="O304" s="2"/>
      <c r="P304" s="2" t="str">
        <f t="shared" si="16"/>
        <v/>
      </c>
      <c r="Q304" s="2"/>
      <c r="R304" s="2"/>
      <c r="S304" s="48"/>
      <c r="T304" s="2">
        <v>3600000</v>
      </c>
      <c r="U304" s="2">
        <v>0</v>
      </c>
      <c r="V304" s="1" t="s">
        <v>1216</v>
      </c>
      <c r="W304" s="6" t="s">
        <v>1217</v>
      </c>
      <c r="X304" s="1" t="s">
        <v>106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>
        <v>1200000</v>
      </c>
      <c r="AI304" s="3">
        <v>1200000</v>
      </c>
      <c r="AJ304" s="3">
        <v>1200000</v>
      </c>
      <c r="AK304" s="3">
        <v>1200000</v>
      </c>
      <c r="AL304" s="3">
        <v>1200000</v>
      </c>
      <c r="AM304" s="3">
        <v>1200000</v>
      </c>
      <c r="AN304" s="3">
        <v>1200000</v>
      </c>
      <c r="AO304" s="3">
        <v>1200000</v>
      </c>
      <c r="AP304" s="3">
        <v>1200000</v>
      </c>
      <c r="AQ304" s="3"/>
      <c r="AR304" s="3"/>
      <c r="AS304" s="3"/>
      <c r="AT304" s="3"/>
      <c r="AU304" s="3"/>
      <c r="AV304" s="3"/>
      <c r="AW304" s="3">
        <f t="shared" si="17"/>
        <v>3600000</v>
      </c>
      <c r="AX304" s="3">
        <f t="shared" si="18"/>
        <v>7200000</v>
      </c>
      <c r="AY304" s="4">
        <f t="shared" si="19"/>
        <v>9</v>
      </c>
      <c r="BA304" s="4" t="s">
        <v>5726</v>
      </c>
      <c r="BB304" s="2"/>
      <c r="BC304" s="3"/>
      <c r="BD304" s="3"/>
    </row>
    <row r="305" spans="1:56" ht="16.8" customHeight="1">
      <c r="A305" s="1">
        <v>304</v>
      </c>
      <c r="B305" s="1" t="s">
        <v>42</v>
      </c>
      <c r="C305" s="1" t="s">
        <v>47</v>
      </c>
      <c r="D305" s="1" t="s">
        <v>1218</v>
      </c>
      <c r="E305" s="1" t="s">
        <v>1218</v>
      </c>
      <c r="F305" s="1" t="s">
        <v>1219</v>
      </c>
      <c r="G305" s="1" t="s">
        <v>1216</v>
      </c>
      <c r="H305" s="1" t="s">
        <v>4916</v>
      </c>
      <c r="I305" s="18">
        <v>45931</v>
      </c>
      <c r="J305" s="18">
        <v>45931</v>
      </c>
      <c r="K305" s="18" t="s">
        <v>4884</v>
      </c>
      <c r="L305" s="18" t="s">
        <v>4734</v>
      </c>
      <c r="M305" s="2">
        <v>1200000</v>
      </c>
      <c r="N305" s="2">
        <v>1200000</v>
      </c>
      <c r="O305" s="2"/>
      <c r="P305" s="2" t="str">
        <f t="shared" si="16"/>
        <v/>
      </c>
      <c r="Q305" s="2"/>
      <c r="R305" s="2"/>
      <c r="S305" s="48"/>
      <c r="T305" s="2">
        <v>3600000</v>
      </c>
      <c r="U305" s="2">
        <v>0</v>
      </c>
      <c r="V305" s="1" t="s">
        <v>1220</v>
      </c>
      <c r="W305" s="6" t="s">
        <v>1221</v>
      </c>
      <c r="X305" s="1" t="s">
        <v>1222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>
        <v>1200000</v>
      </c>
      <c r="AI305" s="3">
        <v>1200000</v>
      </c>
      <c r="AJ305" s="3">
        <v>1200000</v>
      </c>
      <c r="AK305" s="3">
        <v>1200000</v>
      </c>
      <c r="AL305" s="3">
        <v>1200000</v>
      </c>
      <c r="AM305" s="3">
        <v>1200000</v>
      </c>
      <c r="AN305" s="3">
        <v>1200000</v>
      </c>
      <c r="AO305" s="3">
        <v>1200000</v>
      </c>
      <c r="AP305" s="3">
        <v>1200000</v>
      </c>
      <c r="AQ305" s="3"/>
      <c r="AR305" s="3"/>
      <c r="AS305" s="3"/>
      <c r="AT305" s="3"/>
      <c r="AU305" s="3"/>
      <c r="AV305" s="3"/>
      <c r="AW305" s="3">
        <f t="shared" si="17"/>
        <v>3600000</v>
      </c>
      <c r="AX305" s="3">
        <f t="shared" si="18"/>
        <v>7200000</v>
      </c>
      <c r="AY305" s="4">
        <f t="shared" si="19"/>
        <v>9</v>
      </c>
      <c r="BA305" s="4" t="s">
        <v>5726</v>
      </c>
      <c r="BB305" s="2"/>
      <c r="BC305" s="3"/>
      <c r="BD305" s="3"/>
    </row>
    <row r="306" spans="1:56" ht="16.8" customHeight="1">
      <c r="A306" s="1">
        <v>305</v>
      </c>
      <c r="B306" s="1" t="s">
        <v>42</v>
      </c>
      <c r="C306" s="1" t="s">
        <v>185</v>
      </c>
      <c r="D306" s="1" t="s">
        <v>1223</v>
      </c>
      <c r="E306" s="1" t="s">
        <v>1223</v>
      </c>
      <c r="F306" s="1" t="s">
        <v>1224</v>
      </c>
      <c r="G306" s="1" t="s">
        <v>1225</v>
      </c>
      <c r="H306" s="1" t="s">
        <v>4579</v>
      </c>
      <c r="I306" s="18">
        <v>45931</v>
      </c>
      <c r="J306" s="18">
        <v>45931</v>
      </c>
      <c r="K306" s="18" t="s">
        <v>4733</v>
      </c>
      <c r="L306" s="18" t="s">
        <v>4734</v>
      </c>
      <c r="M306" s="2">
        <v>8200000</v>
      </c>
      <c r="N306" s="2">
        <v>8200000</v>
      </c>
      <c r="O306" s="2"/>
      <c r="P306" s="2" t="str">
        <f t="shared" si="16"/>
        <v/>
      </c>
      <c r="Q306" s="2"/>
      <c r="R306" s="2"/>
      <c r="S306" s="48"/>
      <c r="T306" s="2">
        <v>24600000</v>
      </c>
      <c r="U306" s="2">
        <v>0</v>
      </c>
      <c r="V306" s="1" t="s">
        <v>1225</v>
      </c>
      <c r="W306" s="6" t="s">
        <v>1226</v>
      </c>
      <c r="X306" s="1" t="s">
        <v>481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>
        <v>8200000</v>
      </c>
      <c r="AI306" s="3">
        <v>8200000</v>
      </c>
      <c r="AJ306" s="3">
        <v>8200000</v>
      </c>
      <c r="AK306" s="3">
        <v>8200000</v>
      </c>
      <c r="AL306" s="3">
        <v>8200000</v>
      </c>
      <c r="AM306" s="3">
        <v>8200000</v>
      </c>
      <c r="AN306" s="3">
        <v>8200000</v>
      </c>
      <c r="AO306" s="3">
        <v>8200000</v>
      </c>
      <c r="AP306" s="3">
        <v>8200000</v>
      </c>
      <c r="AQ306" s="3"/>
      <c r="AR306" s="3"/>
      <c r="AS306" s="3"/>
      <c r="AT306" s="3"/>
      <c r="AU306" s="3"/>
      <c r="AV306" s="3"/>
      <c r="AW306" s="3">
        <f t="shared" si="17"/>
        <v>24600000</v>
      </c>
      <c r="AX306" s="3">
        <f t="shared" si="18"/>
        <v>49200000</v>
      </c>
      <c r="AY306" s="4">
        <f t="shared" si="19"/>
        <v>9</v>
      </c>
      <c r="AZ306" s="8" t="s">
        <v>5486</v>
      </c>
      <c r="BA306" s="4" t="s">
        <v>5727</v>
      </c>
      <c r="BB306" s="2"/>
      <c r="BC306" s="3"/>
      <c r="BD306" s="3"/>
    </row>
    <row r="307" spans="1:56" ht="16.8" customHeight="1">
      <c r="A307" s="1">
        <v>306</v>
      </c>
      <c r="B307" s="1" t="s">
        <v>42</v>
      </c>
      <c r="C307" s="1" t="s">
        <v>47</v>
      </c>
      <c r="D307" s="1" t="s">
        <v>1227</v>
      </c>
      <c r="E307" s="1" t="s">
        <v>1227</v>
      </c>
      <c r="F307" s="1" t="s">
        <v>1228</v>
      </c>
      <c r="G307" s="1" t="s">
        <v>1229</v>
      </c>
      <c r="H307" s="1" t="s">
        <v>4917</v>
      </c>
      <c r="I307" s="18">
        <v>45931</v>
      </c>
      <c r="J307" s="18">
        <v>45931</v>
      </c>
      <c r="K307" s="18" t="s">
        <v>4777</v>
      </c>
      <c r="L307" s="18" t="s">
        <v>4734</v>
      </c>
      <c r="M307" s="2">
        <v>1200000</v>
      </c>
      <c r="N307" s="2">
        <v>1200000</v>
      </c>
      <c r="O307" s="2"/>
      <c r="P307" s="2" t="str">
        <f t="shared" si="16"/>
        <v/>
      </c>
      <c r="Q307" s="2"/>
      <c r="R307" s="2"/>
      <c r="S307" s="48"/>
      <c r="T307" s="2">
        <v>3600000</v>
      </c>
      <c r="U307" s="2">
        <v>0</v>
      </c>
      <c r="V307" s="1" t="s">
        <v>1229</v>
      </c>
      <c r="W307" s="6" t="s">
        <v>1230</v>
      </c>
      <c r="X307" s="1" t="s">
        <v>224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>
        <v>1200000</v>
      </c>
      <c r="AI307" s="3">
        <v>1200000</v>
      </c>
      <c r="AJ307" s="3">
        <v>1200000</v>
      </c>
      <c r="AK307" s="3">
        <v>1200000</v>
      </c>
      <c r="AL307" s="3">
        <v>1200000</v>
      </c>
      <c r="AM307" s="3">
        <v>1200000</v>
      </c>
      <c r="AN307" s="3">
        <v>1200000</v>
      </c>
      <c r="AO307" s="3">
        <v>1200000</v>
      </c>
      <c r="AP307" s="3">
        <v>1200000</v>
      </c>
      <c r="AQ307" s="3"/>
      <c r="AR307" s="3"/>
      <c r="AS307" s="3"/>
      <c r="AT307" s="3"/>
      <c r="AU307" s="3"/>
      <c r="AV307" s="3"/>
      <c r="AW307" s="3">
        <f t="shared" si="17"/>
        <v>3600000</v>
      </c>
      <c r="AX307" s="3">
        <f t="shared" si="18"/>
        <v>7200000</v>
      </c>
      <c r="AY307" s="4">
        <f t="shared" si="19"/>
        <v>9</v>
      </c>
      <c r="AZ307" s="8" t="s">
        <v>5532</v>
      </c>
      <c r="BA307" s="4" t="s">
        <v>5726</v>
      </c>
      <c r="BB307" s="2"/>
      <c r="BC307" s="3"/>
      <c r="BD307" s="3"/>
    </row>
    <row r="308" spans="1:56" ht="16.8" customHeight="1">
      <c r="A308" s="1">
        <v>307</v>
      </c>
      <c r="B308" s="1" t="s">
        <v>42</v>
      </c>
      <c r="C308" s="1" t="s">
        <v>185</v>
      </c>
      <c r="D308" s="1" t="s">
        <v>1231</v>
      </c>
      <c r="E308" s="1" t="s">
        <v>1231</v>
      </c>
      <c r="F308" s="1" t="s">
        <v>1232</v>
      </c>
      <c r="G308" s="1" t="s">
        <v>1233</v>
      </c>
      <c r="H308" s="1" t="s">
        <v>4918</v>
      </c>
      <c r="I308" s="18">
        <v>45931</v>
      </c>
      <c r="J308" s="18">
        <v>45931</v>
      </c>
      <c r="K308" s="18" t="s">
        <v>4777</v>
      </c>
      <c r="L308" s="18" t="s">
        <v>4734</v>
      </c>
      <c r="M308" s="2">
        <v>1200000</v>
      </c>
      <c r="N308" s="2">
        <v>1200000</v>
      </c>
      <c r="O308" s="2"/>
      <c r="P308" s="2" t="str">
        <f t="shared" si="16"/>
        <v/>
      </c>
      <c r="Q308" s="2"/>
      <c r="R308" s="2"/>
      <c r="S308" s="48"/>
      <c r="T308" s="2">
        <v>3600000</v>
      </c>
      <c r="U308" s="2">
        <v>0</v>
      </c>
      <c r="V308" s="1" t="s">
        <v>1233</v>
      </c>
      <c r="W308" s="6" t="s">
        <v>1234</v>
      </c>
      <c r="X308" s="1" t="s">
        <v>137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>
        <v>1200000</v>
      </c>
      <c r="AI308" s="3">
        <v>1200000</v>
      </c>
      <c r="AJ308" s="3">
        <v>1200000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>
        <f t="shared" si="17"/>
        <v>3600000</v>
      </c>
      <c r="AX308" s="3">
        <f t="shared" si="18"/>
        <v>0</v>
      </c>
      <c r="AY308" s="4">
        <f t="shared" si="19"/>
        <v>3</v>
      </c>
      <c r="AZ308" s="8" t="s">
        <v>5533</v>
      </c>
      <c r="BA308" s="4" t="s">
        <v>5726</v>
      </c>
      <c r="BB308" s="2"/>
      <c r="BC308" s="3"/>
      <c r="BD308" s="4"/>
    </row>
    <row r="309" spans="1:56" ht="16.8" customHeight="1">
      <c r="A309" s="1">
        <v>308</v>
      </c>
      <c r="B309" s="1" t="s">
        <v>42</v>
      </c>
      <c r="C309" s="1" t="s">
        <v>185</v>
      </c>
      <c r="D309" s="1" t="s">
        <v>1235</v>
      </c>
      <c r="E309" s="1" t="s">
        <v>1235</v>
      </c>
      <c r="F309" s="1" t="s">
        <v>1236</v>
      </c>
      <c r="G309" s="1" t="s">
        <v>1237</v>
      </c>
      <c r="H309" s="1" t="s">
        <v>4919</v>
      </c>
      <c r="I309" s="18">
        <v>45931</v>
      </c>
      <c r="J309" s="18">
        <v>45931</v>
      </c>
      <c r="K309" s="18" t="s">
        <v>4777</v>
      </c>
      <c r="L309" s="18" t="s">
        <v>4734</v>
      </c>
      <c r="M309" s="2">
        <v>1200000</v>
      </c>
      <c r="N309" s="2">
        <v>1200000</v>
      </c>
      <c r="O309" s="2"/>
      <c r="P309" s="2" t="str">
        <f t="shared" si="16"/>
        <v/>
      </c>
      <c r="Q309" s="2"/>
      <c r="R309" s="2"/>
      <c r="S309" s="48"/>
      <c r="T309" s="2">
        <v>3600000</v>
      </c>
      <c r="U309" s="2">
        <v>0</v>
      </c>
      <c r="V309" s="1" t="s">
        <v>1237</v>
      </c>
      <c r="W309" s="6"/>
      <c r="X309" s="1"/>
      <c r="Y309" s="3"/>
      <c r="Z309" s="3"/>
      <c r="AA309" s="3"/>
      <c r="AB309" s="3"/>
      <c r="AC309" s="3"/>
      <c r="AD309" s="3"/>
      <c r="AE309" s="3"/>
      <c r="AF309" s="3"/>
      <c r="AG309" s="3"/>
      <c r="AH309" s="3">
        <v>1200000</v>
      </c>
      <c r="AI309" s="3">
        <v>1200000</v>
      </c>
      <c r="AJ309" s="3">
        <v>1200000</v>
      </c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>
        <f t="shared" si="17"/>
        <v>3600000</v>
      </c>
      <c r="AX309" s="3">
        <f t="shared" si="18"/>
        <v>0</v>
      </c>
      <c r="AY309" s="4">
        <f t="shared" si="19"/>
        <v>3</v>
      </c>
      <c r="AZ309" s="8" t="s">
        <v>5534</v>
      </c>
      <c r="BA309" s="4" t="s">
        <v>5726</v>
      </c>
      <c r="BB309" s="2"/>
      <c r="BC309" s="3"/>
      <c r="BD309" s="4"/>
    </row>
    <row r="310" spans="1:56" ht="16.8" customHeight="1">
      <c r="A310" s="1">
        <v>309</v>
      </c>
      <c r="B310" s="1" t="s">
        <v>42</v>
      </c>
      <c r="C310" s="1" t="s">
        <v>47</v>
      </c>
      <c r="D310" s="1" t="s">
        <v>1238</v>
      </c>
      <c r="E310" s="1" t="s">
        <v>1238</v>
      </c>
      <c r="F310" s="1" t="s">
        <v>1239</v>
      </c>
      <c r="G310" s="1" t="s">
        <v>1240</v>
      </c>
      <c r="H310" s="1" t="s">
        <v>4580</v>
      </c>
      <c r="I310" s="18">
        <v>45931</v>
      </c>
      <c r="J310" s="18">
        <v>45931</v>
      </c>
      <c r="K310" s="18" t="s">
        <v>4777</v>
      </c>
      <c r="L310" s="18" t="s">
        <v>4734</v>
      </c>
      <c r="M310" s="2">
        <v>1200000</v>
      </c>
      <c r="N310" s="2">
        <v>1200000</v>
      </c>
      <c r="O310" s="2"/>
      <c r="P310" s="2" t="str">
        <f t="shared" si="16"/>
        <v/>
      </c>
      <c r="Q310" s="2"/>
      <c r="R310" s="2"/>
      <c r="S310" s="48"/>
      <c r="T310" s="2">
        <v>3600000</v>
      </c>
      <c r="U310" s="2">
        <v>0</v>
      </c>
      <c r="V310" s="1" t="s">
        <v>328</v>
      </c>
      <c r="W310" s="6" t="s">
        <v>329</v>
      </c>
      <c r="X310" s="1" t="s">
        <v>333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>
        <v>1200000</v>
      </c>
      <c r="AI310" s="3">
        <v>1200000</v>
      </c>
      <c r="AJ310" s="3">
        <v>1200000</v>
      </c>
      <c r="AK310" s="3">
        <v>1200000</v>
      </c>
      <c r="AL310" s="3">
        <v>1200000</v>
      </c>
      <c r="AM310" s="3">
        <v>1200000</v>
      </c>
      <c r="AN310" s="3">
        <v>1200000</v>
      </c>
      <c r="AO310" s="3">
        <v>1200000</v>
      </c>
      <c r="AP310" s="3">
        <v>1200000</v>
      </c>
      <c r="AQ310" s="3"/>
      <c r="AR310" s="3"/>
      <c r="AS310" s="3"/>
      <c r="AT310" s="3"/>
      <c r="AU310" s="3"/>
      <c r="AV310" s="3"/>
      <c r="AW310" s="3">
        <f t="shared" si="17"/>
        <v>3600000</v>
      </c>
      <c r="AX310" s="3">
        <f t="shared" si="18"/>
        <v>7200000</v>
      </c>
      <c r="AY310" s="4">
        <f t="shared" si="19"/>
        <v>9</v>
      </c>
      <c r="AZ310" s="8" t="s">
        <v>5528</v>
      </c>
      <c r="BA310" s="4" t="s">
        <v>5726</v>
      </c>
      <c r="BB310" s="2"/>
      <c r="BC310" s="3"/>
      <c r="BD310" s="3"/>
    </row>
    <row r="311" spans="1:56" ht="16.8" customHeight="1">
      <c r="A311" s="1">
        <v>310</v>
      </c>
      <c r="B311" s="1" t="s">
        <v>42</v>
      </c>
      <c r="C311" s="1" t="s">
        <v>47</v>
      </c>
      <c r="D311" s="1" t="s">
        <v>1241</v>
      </c>
      <c r="E311" s="1" t="s">
        <v>1241</v>
      </c>
      <c r="F311" s="1" t="s">
        <v>1242</v>
      </c>
      <c r="G311" s="1" t="s">
        <v>1243</v>
      </c>
      <c r="H311" s="1" t="s">
        <v>1538</v>
      </c>
      <c r="I311" s="18">
        <v>45931</v>
      </c>
      <c r="J311" s="18">
        <v>45931</v>
      </c>
      <c r="K311" s="18" t="s">
        <v>4777</v>
      </c>
      <c r="L311" s="18" t="s">
        <v>4734</v>
      </c>
      <c r="M311" s="2">
        <v>1200000</v>
      </c>
      <c r="N311" s="2">
        <v>1200000</v>
      </c>
      <c r="O311" s="2"/>
      <c r="P311" s="2" t="str">
        <f t="shared" si="16"/>
        <v/>
      </c>
      <c r="Q311" s="2"/>
      <c r="R311" s="2"/>
      <c r="S311" s="48"/>
      <c r="T311" s="2">
        <v>3600000</v>
      </c>
      <c r="U311" s="2">
        <v>0</v>
      </c>
      <c r="V311" s="1" t="s">
        <v>1243</v>
      </c>
      <c r="W311" s="6" t="s">
        <v>1244</v>
      </c>
      <c r="X311" s="1" t="s">
        <v>106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>
        <v>1200000</v>
      </c>
      <c r="AI311" s="3">
        <v>1200000</v>
      </c>
      <c r="AJ311" s="3">
        <v>1200000</v>
      </c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>
        <f t="shared" si="17"/>
        <v>3600000</v>
      </c>
      <c r="AX311" s="3">
        <f t="shared" si="18"/>
        <v>0</v>
      </c>
      <c r="AY311" s="4">
        <f t="shared" si="19"/>
        <v>3</v>
      </c>
      <c r="AZ311" s="8" t="s">
        <v>5671</v>
      </c>
      <c r="BA311" s="4" t="s">
        <v>5726</v>
      </c>
      <c r="BB311" s="2"/>
      <c r="BC311" s="3"/>
      <c r="BD311" s="4"/>
    </row>
    <row r="312" spans="1:56" ht="16.8" customHeight="1">
      <c r="A312" s="1">
        <v>311</v>
      </c>
      <c r="B312" s="1" t="s">
        <v>42</v>
      </c>
      <c r="C312" s="1" t="s">
        <v>47</v>
      </c>
      <c r="D312" s="1" t="s">
        <v>1245</v>
      </c>
      <c r="E312" s="1" t="s">
        <v>1245</v>
      </c>
      <c r="F312" s="1" t="s">
        <v>1246</v>
      </c>
      <c r="G312" s="1" t="s">
        <v>1247</v>
      </c>
      <c r="H312" s="1" t="s">
        <v>4581</v>
      </c>
      <c r="I312" s="18">
        <v>45945</v>
      </c>
      <c r="J312" s="18">
        <v>45931</v>
      </c>
      <c r="K312" s="18" t="s">
        <v>4733</v>
      </c>
      <c r="L312" s="18" t="s">
        <v>4734</v>
      </c>
      <c r="M312" s="2">
        <v>7600000</v>
      </c>
      <c r="N312" s="2">
        <v>7600000</v>
      </c>
      <c r="O312" s="2"/>
      <c r="P312" s="2" t="str">
        <f t="shared" si="16"/>
        <v/>
      </c>
      <c r="Q312" s="2"/>
      <c r="R312" s="2"/>
      <c r="S312" s="48"/>
      <c r="T312" s="2">
        <v>22800000</v>
      </c>
      <c r="U312" s="2">
        <v>0</v>
      </c>
      <c r="V312" s="1" t="s">
        <v>1247</v>
      </c>
      <c r="W312" s="6" t="s">
        <v>1248</v>
      </c>
      <c r="X312" s="1" t="s">
        <v>547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>
        <v>7600000</v>
      </c>
      <c r="AI312" s="3">
        <v>7600000</v>
      </c>
      <c r="AJ312" s="3">
        <v>7600000</v>
      </c>
      <c r="AK312" s="3">
        <v>7600000</v>
      </c>
      <c r="AL312" s="3">
        <v>7600000</v>
      </c>
      <c r="AM312" s="3">
        <v>7600000</v>
      </c>
      <c r="AN312" s="3">
        <v>7600000</v>
      </c>
      <c r="AO312" s="3">
        <v>7600000</v>
      </c>
      <c r="AP312" s="3">
        <v>7600000</v>
      </c>
      <c r="AQ312" s="3"/>
      <c r="AR312" s="3"/>
      <c r="AS312" s="3"/>
      <c r="AT312" s="3"/>
      <c r="AU312" s="3"/>
      <c r="AV312" s="3"/>
      <c r="AW312" s="3">
        <f t="shared" si="17"/>
        <v>22800000</v>
      </c>
      <c r="AX312" s="3">
        <f t="shared" si="18"/>
        <v>45600000</v>
      </c>
      <c r="AY312" s="4">
        <f t="shared" si="19"/>
        <v>9</v>
      </c>
      <c r="AZ312" s="8" t="s">
        <v>5486</v>
      </c>
      <c r="BA312" s="4" t="s">
        <v>5727</v>
      </c>
      <c r="BB312" s="2"/>
      <c r="BC312" s="3"/>
      <c r="BD312" s="3"/>
    </row>
    <row r="313" spans="1:56" ht="16.8" customHeight="1">
      <c r="A313" s="1">
        <v>312</v>
      </c>
      <c r="B313" s="1" t="s">
        <v>42</v>
      </c>
      <c r="C313" s="1" t="s">
        <v>47</v>
      </c>
      <c r="D313" s="1" t="s">
        <v>1249</v>
      </c>
      <c r="E313" s="1" t="s">
        <v>1249</v>
      </c>
      <c r="F313" s="1" t="s">
        <v>1250</v>
      </c>
      <c r="G313" s="1" t="s">
        <v>1251</v>
      </c>
      <c r="H313" s="1" t="s">
        <v>4920</v>
      </c>
      <c r="I313" s="18">
        <v>45931</v>
      </c>
      <c r="J313" s="18">
        <v>45931</v>
      </c>
      <c r="K313" s="18" t="s">
        <v>4737</v>
      </c>
      <c r="L313" s="18" t="s">
        <v>4734</v>
      </c>
      <c r="M313" s="2">
        <v>1200000</v>
      </c>
      <c r="N313" s="2">
        <v>1200000</v>
      </c>
      <c r="O313" s="2"/>
      <c r="P313" s="2" t="str">
        <f t="shared" si="16"/>
        <v/>
      </c>
      <c r="Q313" s="2"/>
      <c r="R313" s="2"/>
      <c r="S313" s="48"/>
      <c r="T313" s="2">
        <v>3600000</v>
      </c>
      <c r="U313" s="2">
        <v>0</v>
      </c>
      <c r="V313" s="1" t="s">
        <v>1251</v>
      </c>
      <c r="W313" s="6" t="s">
        <v>1252</v>
      </c>
      <c r="X313" s="1" t="s">
        <v>106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>
        <v>1200000</v>
      </c>
      <c r="AI313" s="3">
        <v>1200000</v>
      </c>
      <c r="AJ313" s="3">
        <v>1200000</v>
      </c>
      <c r="AK313" s="3">
        <v>1200000</v>
      </c>
      <c r="AL313" s="3">
        <v>1200000</v>
      </c>
      <c r="AM313" s="3">
        <v>1200000</v>
      </c>
      <c r="AN313" s="3">
        <v>1200000</v>
      </c>
      <c r="AO313" s="3">
        <v>1200000</v>
      </c>
      <c r="AP313" s="3">
        <v>1200000</v>
      </c>
      <c r="AQ313" s="3"/>
      <c r="AR313" s="3"/>
      <c r="AS313" s="3"/>
      <c r="AT313" s="3"/>
      <c r="AU313" s="3"/>
      <c r="AV313" s="3"/>
      <c r="AW313" s="3">
        <f t="shared" si="17"/>
        <v>3600000</v>
      </c>
      <c r="AX313" s="3">
        <f t="shared" si="18"/>
        <v>7200000</v>
      </c>
      <c r="AY313" s="4">
        <f t="shared" si="19"/>
        <v>9</v>
      </c>
      <c r="AZ313" s="8" t="s">
        <v>5489</v>
      </c>
      <c r="BA313" s="4" t="s">
        <v>5726</v>
      </c>
      <c r="BB313" s="2"/>
      <c r="BC313" s="3"/>
      <c r="BD313" s="3"/>
    </row>
    <row r="314" spans="1:56" ht="16.8" customHeight="1">
      <c r="A314" s="1">
        <v>313</v>
      </c>
      <c r="B314" s="1" t="s">
        <v>42</v>
      </c>
      <c r="C314" s="1" t="s">
        <v>47</v>
      </c>
      <c r="D314" s="1" t="s">
        <v>1253</v>
      </c>
      <c r="E314" s="1" t="s">
        <v>1253</v>
      </c>
      <c r="F314" s="1" t="s">
        <v>1254</v>
      </c>
      <c r="G314" s="1" t="s">
        <v>1255</v>
      </c>
      <c r="H314" s="1" t="s">
        <v>4582</v>
      </c>
      <c r="I314" s="18">
        <v>45931</v>
      </c>
      <c r="J314" s="18">
        <v>45931</v>
      </c>
      <c r="K314" s="18" t="s">
        <v>4777</v>
      </c>
      <c r="L314" s="18" t="s">
        <v>4734</v>
      </c>
      <c r="M314" s="2">
        <v>2600000</v>
      </c>
      <c r="N314" s="2">
        <v>2600000</v>
      </c>
      <c r="O314" s="2"/>
      <c r="P314" s="2" t="str">
        <f t="shared" si="16"/>
        <v/>
      </c>
      <c r="Q314" s="2"/>
      <c r="R314" s="2"/>
      <c r="S314" s="48"/>
      <c r="T314" s="2">
        <v>7800000</v>
      </c>
      <c r="U314" s="2">
        <v>0</v>
      </c>
      <c r="V314" s="1" t="s">
        <v>1256</v>
      </c>
      <c r="W314" s="6" t="s">
        <v>1257</v>
      </c>
      <c r="X314" s="1" t="s">
        <v>224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>
        <v>2600000</v>
      </c>
      <c r="AI314" s="3">
        <v>2600000</v>
      </c>
      <c r="AJ314" s="3">
        <v>2600000</v>
      </c>
      <c r="AK314" s="3">
        <v>2600000</v>
      </c>
      <c r="AL314" s="3">
        <v>2600000</v>
      </c>
      <c r="AM314" s="3">
        <v>2600000</v>
      </c>
      <c r="AN314" s="3">
        <v>2600000</v>
      </c>
      <c r="AO314" s="3">
        <v>2600000</v>
      </c>
      <c r="AP314" s="3">
        <v>2600000</v>
      </c>
      <c r="AQ314" s="3"/>
      <c r="AR314" s="3"/>
      <c r="AS314" s="3"/>
      <c r="AT314" s="3"/>
      <c r="AU314" s="3"/>
      <c r="AV314" s="3"/>
      <c r="AW314" s="3">
        <f t="shared" si="17"/>
        <v>7800000</v>
      </c>
      <c r="AX314" s="3">
        <f t="shared" si="18"/>
        <v>15600000</v>
      </c>
      <c r="AY314" s="4">
        <f t="shared" si="19"/>
        <v>9</v>
      </c>
      <c r="BA314" s="4" t="s">
        <v>5726</v>
      </c>
      <c r="BB314" s="2"/>
      <c r="BC314" s="3"/>
      <c r="BD314" s="3"/>
    </row>
    <row r="315" spans="1:56" ht="16.8" customHeight="1">
      <c r="A315" s="1">
        <v>314</v>
      </c>
      <c r="B315" s="1" t="s">
        <v>42</v>
      </c>
      <c r="C315" s="1" t="s">
        <v>43</v>
      </c>
      <c r="D315" s="1" t="s">
        <v>1258</v>
      </c>
      <c r="E315" s="1" t="s">
        <v>1258</v>
      </c>
      <c r="F315" s="1" t="s">
        <v>1259</v>
      </c>
      <c r="G315" s="1" t="s">
        <v>1260</v>
      </c>
      <c r="H315" s="1" t="s">
        <v>4583</v>
      </c>
      <c r="I315" s="18">
        <v>45931</v>
      </c>
      <c r="J315" s="18">
        <v>45931</v>
      </c>
      <c r="K315" s="18" t="s">
        <v>4733</v>
      </c>
      <c r="L315" s="18" t="s">
        <v>4734</v>
      </c>
      <c r="M315" s="2">
        <v>8200000</v>
      </c>
      <c r="N315" s="2">
        <v>8200000</v>
      </c>
      <c r="O315" s="2"/>
      <c r="P315" s="2" t="str">
        <f t="shared" si="16"/>
        <v/>
      </c>
      <c r="Q315" s="2"/>
      <c r="R315" s="2"/>
      <c r="S315" s="48"/>
      <c r="T315" s="2">
        <v>24600000</v>
      </c>
      <c r="U315" s="2">
        <v>0</v>
      </c>
      <c r="V315" s="1" t="s">
        <v>1260</v>
      </c>
      <c r="W315" s="6" t="s">
        <v>1261</v>
      </c>
      <c r="X315" s="1" t="s">
        <v>547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>
        <v>8200000</v>
      </c>
      <c r="AI315" s="3">
        <v>8200000</v>
      </c>
      <c r="AJ315" s="3">
        <v>8200000</v>
      </c>
      <c r="AK315" s="3">
        <v>8200000</v>
      </c>
      <c r="AL315" s="3">
        <v>8200000</v>
      </c>
      <c r="AM315" s="3">
        <v>8200000</v>
      </c>
      <c r="AN315" s="3">
        <v>8200000</v>
      </c>
      <c r="AO315" s="3">
        <v>8200000</v>
      </c>
      <c r="AP315" s="3">
        <v>8200000</v>
      </c>
      <c r="AQ315" s="3"/>
      <c r="AR315" s="3"/>
      <c r="AS315" s="3"/>
      <c r="AT315" s="3"/>
      <c r="AU315" s="3"/>
      <c r="AV315" s="3"/>
      <c r="AW315" s="3">
        <f t="shared" si="17"/>
        <v>24600000</v>
      </c>
      <c r="AX315" s="3">
        <f t="shared" si="18"/>
        <v>49200000</v>
      </c>
      <c r="AY315" s="4">
        <f t="shared" si="19"/>
        <v>9</v>
      </c>
      <c r="AZ315" s="8" t="s">
        <v>5486</v>
      </c>
      <c r="BA315" s="4" t="s">
        <v>5727</v>
      </c>
      <c r="BB315" s="2"/>
      <c r="BC315" s="3"/>
      <c r="BD315" s="3"/>
    </row>
    <row r="316" spans="1:56" ht="16.8" customHeight="1">
      <c r="A316" s="1">
        <v>315</v>
      </c>
      <c r="B316" s="1" t="s">
        <v>42</v>
      </c>
      <c r="C316" s="1" t="s">
        <v>43</v>
      </c>
      <c r="D316" s="1" t="s">
        <v>1262</v>
      </c>
      <c r="E316" s="1" t="s">
        <v>1262</v>
      </c>
      <c r="F316" s="1" t="s">
        <v>1263</v>
      </c>
      <c r="G316" s="1" t="s">
        <v>1264</v>
      </c>
      <c r="H316" s="1" t="s">
        <v>4584</v>
      </c>
      <c r="I316" s="18">
        <v>45931</v>
      </c>
      <c r="J316" s="18">
        <v>45931</v>
      </c>
      <c r="K316" s="18" t="s">
        <v>4752</v>
      </c>
      <c r="L316" s="18" t="s">
        <v>4734</v>
      </c>
      <c r="M316" s="2">
        <v>200000</v>
      </c>
      <c r="N316" s="2">
        <v>200000</v>
      </c>
      <c r="O316" s="2"/>
      <c r="P316" s="2" t="str">
        <f t="shared" si="16"/>
        <v/>
      </c>
      <c r="Q316" s="2"/>
      <c r="R316" s="2"/>
      <c r="S316" s="48"/>
      <c r="T316" s="2">
        <v>600000</v>
      </c>
      <c r="U316" s="2">
        <v>0</v>
      </c>
      <c r="V316" s="1" t="s">
        <v>146</v>
      </c>
      <c r="W316" s="6" t="s">
        <v>147</v>
      </c>
      <c r="X316" s="1" t="s">
        <v>148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>
        <v>200000</v>
      </c>
      <c r="AI316" s="3">
        <v>200000</v>
      </c>
      <c r="AJ316" s="3">
        <v>200000</v>
      </c>
      <c r="AK316" s="3">
        <v>200000</v>
      </c>
      <c r="AL316" s="3">
        <v>200000</v>
      </c>
      <c r="AM316" s="3">
        <v>200000</v>
      </c>
      <c r="AN316" s="3">
        <v>200000</v>
      </c>
      <c r="AO316" s="3">
        <v>200000</v>
      </c>
      <c r="AP316" s="3">
        <v>200000</v>
      </c>
      <c r="AQ316" s="3"/>
      <c r="AR316" s="3"/>
      <c r="AS316" s="3"/>
      <c r="AT316" s="3"/>
      <c r="AU316" s="3"/>
      <c r="AV316" s="3"/>
      <c r="AW316" s="3">
        <f t="shared" si="17"/>
        <v>600000</v>
      </c>
      <c r="AX316" s="3">
        <f t="shared" si="18"/>
        <v>1200000</v>
      </c>
      <c r="AY316" s="4">
        <f t="shared" si="19"/>
        <v>9</v>
      </c>
      <c r="AZ316" s="8">
        <v>0</v>
      </c>
      <c r="BA316" s="4" t="s">
        <v>5715</v>
      </c>
      <c r="BB316" s="2"/>
      <c r="BC316" s="3"/>
      <c r="BD316" s="3"/>
    </row>
    <row r="317" spans="1:56" ht="16.8" customHeight="1">
      <c r="A317" s="1">
        <v>316</v>
      </c>
      <c r="B317" s="1" t="s">
        <v>42</v>
      </c>
      <c r="C317" s="1" t="s">
        <v>185</v>
      </c>
      <c r="D317" s="1" t="s">
        <v>1265</v>
      </c>
      <c r="E317" s="1" t="s">
        <v>1265</v>
      </c>
      <c r="F317" s="1" t="s">
        <v>1266</v>
      </c>
      <c r="G317" s="1" t="s">
        <v>1267</v>
      </c>
      <c r="H317" s="1" t="s">
        <v>4921</v>
      </c>
      <c r="I317" s="18">
        <v>45931</v>
      </c>
      <c r="J317" s="18">
        <v>45931</v>
      </c>
      <c r="K317" s="18" t="s">
        <v>4777</v>
      </c>
      <c r="L317" s="18" t="s">
        <v>4734</v>
      </c>
      <c r="M317" s="2">
        <v>400000</v>
      </c>
      <c r="N317" s="2">
        <v>400000</v>
      </c>
      <c r="O317" s="2"/>
      <c r="P317" s="2" t="str">
        <f t="shared" si="16"/>
        <v/>
      </c>
      <c r="Q317" s="2"/>
      <c r="R317" s="2"/>
      <c r="S317" s="48"/>
      <c r="T317" s="2">
        <v>0</v>
      </c>
      <c r="U317" s="2">
        <v>0</v>
      </c>
      <c r="V317" s="1"/>
      <c r="W317" s="6"/>
      <c r="X317" s="1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>
        <f t="shared" si="17"/>
        <v>0</v>
      </c>
      <c r="AX317" s="3">
        <f t="shared" si="18"/>
        <v>0</v>
      </c>
      <c r="AY317" s="4">
        <f t="shared" si="19"/>
        <v>0</v>
      </c>
      <c r="BA317" s="4" t="s">
        <v>5726</v>
      </c>
      <c r="BB317" s="2"/>
      <c r="BC317" s="3"/>
      <c r="BD317" s="4"/>
    </row>
    <row r="318" spans="1:56" ht="16.8" customHeight="1">
      <c r="A318" s="1">
        <v>317</v>
      </c>
      <c r="B318" s="1" t="s">
        <v>42</v>
      </c>
      <c r="C318" s="1" t="s">
        <v>47</v>
      </c>
      <c r="D318" s="1" t="s">
        <v>1268</v>
      </c>
      <c r="E318" s="1" t="s">
        <v>1268</v>
      </c>
      <c r="F318" s="1" t="s">
        <v>1269</v>
      </c>
      <c r="G318" s="1" t="s">
        <v>228</v>
      </c>
      <c r="H318" s="1" t="s">
        <v>4585</v>
      </c>
      <c r="I318" s="18">
        <v>45931</v>
      </c>
      <c r="J318" s="18">
        <v>45931</v>
      </c>
      <c r="K318" s="18" t="s">
        <v>4785</v>
      </c>
      <c r="L318" s="18" t="s">
        <v>4734</v>
      </c>
      <c r="M318" s="2">
        <v>300000</v>
      </c>
      <c r="N318" s="2">
        <v>300000</v>
      </c>
      <c r="O318" s="2"/>
      <c r="P318" s="2" t="str">
        <f t="shared" si="16"/>
        <v/>
      </c>
      <c r="Q318" s="2"/>
      <c r="R318" s="2"/>
      <c r="S318" s="48"/>
      <c r="T318" s="2">
        <v>900000</v>
      </c>
      <c r="U318" s="2">
        <v>0</v>
      </c>
      <c r="V318" s="1" t="s">
        <v>328</v>
      </c>
      <c r="W318" s="6" t="s">
        <v>329</v>
      </c>
      <c r="X318" s="1" t="s">
        <v>333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>
        <v>300000</v>
      </c>
      <c r="AI318" s="3">
        <v>300000</v>
      </c>
      <c r="AJ318" s="3">
        <v>300000</v>
      </c>
      <c r="AK318" s="3">
        <v>300000</v>
      </c>
      <c r="AL318" s="3">
        <v>300000</v>
      </c>
      <c r="AM318" s="3">
        <v>300000</v>
      </c>
      <c r="AN318" s="3">
        <v>300000</v>
      </c>
      <c r="AO318" s="3">
        <v>300000</v>
      </c>
      <c r="AP318" s="3">
        <v>300000</v>
      </c>
      <c r="AQ318" s="3"/>
      <c r="AR318" s="3"/>
      <c r="AS318" s="3"/>
      <c r="AT318" s="3"/>
      <c r="AU318" s="3"/>
      <c r="AV318" s="3"/>
      <c r="AW318" s="3">
        <f t="shared" si="17"/>
        <v>900000</v>
      </c>
      <c r="AX318" s="3">
        <f t="shared" si="18"/>
        <v>1800000</v>
      </c>
      <c r="AY318" s="4">
        <f t="shared" si="19"/>
        <v>9</v>
      </c>
      <c r="AZ318" s="8">
        <v>0</v>
      </c>
      <c r="BA318" s="4" t="s">
        <v>5726</v>
      </c>
      <c r="BB318" s="2"/>
      <c r="BC318" s="3"/>
      <c r="BD318" s="3"/>
    </row>
    <row r="319" spans="1:56" ht="16.8" customHeight="1">
      <c r="A319" s="1">
        <v>318</v>
      </c>
      <c r="B319" s="1" t="s">
        <v>42</v>
      </c>
      <c r="C319" s="1" t="s">
        <v>185</v>
      </c>
      <c r="D319" s="1" t="s">
        <v>1270</v>
      </c>
      <c r="E319" s="1" t="s">
        <v>1270</v>
      </c>
      <c r="F319" s="1" t="s">
        <v>1271</v>
      </c>
      <c r="G319" s="1" t="s">
        <v>1272</v>
      </c>
      <c r="H319" s="1" t="s">
        <v>4586</v>
      </c>
      <c r="I319" s="18">
        <v>45931</v>
      </c>
      <c r="J319" s="18">
        <v>45931</v>
      </c>
      <c r="K319" s="18" t="s">
        <v>4900</v>
      </c>
      <c r="L319" s="18" t="s">
        <v>4734</v>
      </c>
      <c r="M319" s="2">
        <v>300000</v>
      </c>
      <c r="N319" s="2">
        <v>300000</v>
      </c>
      <c r="O319" s="2"/>
      <c r="P319" s="2" t="str">
        <f t="shared" si="16"/>
        <v/>
      </c>
      <c r="Q319" s="2"/>
      <c r="R319" s="2"/>
      <c r="S319" s="48"/>
      <c r="T319" s="2">
        <v>900000</v>
      </c>
      <c r="U319" s="2">
        <v>0</v>
      </c>
      <c r="V319" s="1" t="s">
        <v>1272</v>
      </c>
      <c r="W319" s="6" t="s">
        <v>1273</v>
      </c>
      <c r="X319" s="1" t="s">
        <v>324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>
        <v>300000</v>
      </c>
      <c r="AI319" s="3">
        <v>300000</v>
      </c>
      <c r="AJ319" s="3">
        <v>300000</v>
      </c>
      <c r="AK319" s="3">
        <v>300000</v>
      </c>
      <c r="AL319" s="3">
        <v>300000</v>
      </c>
      <c r="AM319" s="3">
        <v>300000</v>
      </c>
      <c r="AN319" s="3">
        <v>300000</v>
      </c>
      <c r="AO319" s="3">
        <v>300000</v>
      </c>
      <c r="AP319" s="3">
        <v>300000</v>
      </c>
      <c r="AQ319" s="3"/>
      <c r="AR319" s="3"/>
      <c r="AS319" s="3"/>
      <c r="AT319" s="3"/>
      <c r="AU319" s="3"/>
      <c r="AV319" s="3"/>
      <c r="AW319" s="3">
        <f t="shared" si="17"/>
        <v>900000</v>
      </c>
      <c r="AX319" s="3">
        <f t="shared" si="18"/>
        <v>1800000</v>
      </c>
      <c r="AY319" s="4">
        <f t="shared" si="19"/>
        <v>9</v>
      </c>
      <c r="BA319" s="4" t="s">
        <v>5726</v>
      </c>
      <c r="BB319" s="2"/>
      <c r="BC319" s="3"/>
      <c r="BD319" s="3"/>
    </row>
    <row r="320" spans="1:56" ht="16.8" customHeight="1">
      <c r="A320" s="1">
        <v>319</v>
      </c>
      <c r="B320" s="1" t="s">
        <v>42</v>
      </c>
      <c r="C320" s="1" t="s">
        <v>185</v>
      </c>
      <c r="D320" s="1" t="s">
        <v>1274</v>
      </c>
      <c r="E320" s="1" t="s">
        <v>1274</v>
      </c>
      <c r="F320" s="1" t="s">
        <v>1275</v>
      </c>
      <c r="G320" s="1" t="s">
        <v>1276</v>
      </c>
      <c r="H320" s="1" t="s">
        <v>4587</v>
      </c>
      <c r="I320" s="18">
        <v>45931</v>
      </c>
      <c r="J320" s="18">
        <v>45931</v>
      </c>
      <c r="K320" s="18" t="s">
        <v>4777</v>
      </c>
      <c r="L320" s="18" t="s">
        <v>4734</v>
      </c>
      <c r="M320" s="2">
        <v>300000</v>
      </c>
      <c r="N320" s="2">
        <v>300000</v>
      </c>
      <c r="O320" s="2"/>
      <c r="P320" s="2" t="str">
        <f t="shared" si="16"/>
        <v/>
      </c>
      <c r="Q320" s="2"/>
      <c r="R320" s="2"/>
      <c r="S320" s="48"/>
      <c r="T320" s="2">
        <v>750000</v>
      </c>
      <c r="U320" s="2">
        <v>150000</v>
      </c>
      <c r="V320" s="1" t="s">
        <v>652</v>
      </c>
      <c r="W320" s="6" t="s">
        <v>653</v>
      </c>
      <c r="X320" s="1" t="s">
        <v>89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>
        <v>250000</v>
      </c>
      <c r="AL320" s="3">
        <v>250000</v>
      </c>
      <c r="AM320" s="3">
        <v>250000</v>
      </c>
      <c r="AN320" s="3">
        <v>250000</v>
      </c>
      <c r="AO320" s="3">
        <v>250000</v>
      </c>
      <c r="AP320" s="3">
        <v>250000</v>
      </c>
      <c r="AQ320" s="3"/>
      <c r="AR320" s="3"/>
      <c r="AS320" s="3"/>
      <c r="AT320" s="3"/>
      <c r="AU320" s="3"/>
      <c r="AV320" s="3"/>
      <c r="AW320" s="3">
        <f t="shared" si="17"/>
        <v>0</v>
      </c>
      <c r="AX320" s="3">
        <f t="shared" si="18"/>
        <v>1500000</v>
      </c>
      <c r="AY320" s="4">
        <f t="shared" si="19"/>
        <v>6</v>
      </c>
      <c r="AZ320" s="8">
        <v>0</v>
      </c>
      <c r="BA320" s="4" t="s">
        <v>5715</v>
      </c>
      <c r="BB320" s="2"/>
      <c r="BC320" s="3"/>
      <c r="BD320" s="3"/>
    </row>
    <row r="321" spans="1:56" ht="16.8" customHeight="1">
      <c r="A321" s="1">
        <v>320</v>
      </c>
      <c r="B321" s="1" t="s">
        <v>42</v>
      </c>
      <c r="C321" s="1" t="s">
        <v>47</v>
      </c>
      <c r="D321" s="1" t="s">
        <v>1277</v>
      </c>
      <c r="E321" s="1" t="s">
        <v>1277</v>
      </c>
      <c r="F321" s="1" t="s">
        <v>1278</v>
      </c>
      <c r="G321" s="1" t="s">
        <v>1279</v>
      </c>
      <c r="H321" s="1" t="s">
        <v>4922</v>
      </c>
      <c r="I321" s="18">
        <v>45931</v>
      </c>
      <c r="J321" s="18">
        <v>45931</v>
      </c>
      <c r="K321" s="18" t="s">
        <v>4777</v>
      </c>
      <c r="L321" s="18" t="s">
        <v>4734</v>
      </c>
      <c r="M321" s="2">
        <v>300000</v>
      </c>
      <c r="N321" s="2">
        <v>300000</v>
      </c>
      <c r="O321" s="2"/>
      <c r="P321" s="2" t="str">
        <f t="shared" si="16"/>
        <v/>
      </c>
      <c r="Q321" s="2"/>
      <c r="R321" s="2"/>
      <c r="S321" s="48"/>
      <c r="T321" s="2">
        <v>900000</v>
      </c>
      <c r="U321" s="2">
        <v>0</v>
      </c>
      <c r="V321" s="1" t="s">
        <v>228</v>
      </c>
      <c r="W321" s="6" t="s">
        <v>229</v>
      </c>
      <c r="X321" s="1" t="s">
        <v>230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>
        <v>300000</v>
      </c>
      <c r="AI321" s="3">
        <v>300000</v>
      </c>
      <c r="AJ321" s="3">
        <v>300000</v>
      </c>
      <c r="AK321" s="3">
        <v>300000</v>
      </c>
      <c r="AL321" s="3">
        <v>300000</v>
      </c>
      <c r="AM321" s="3">
        <v>300000</v>
      </c>
      <c r="AN321" s="3">
        <v>300000</v>
      </c>
      <c r="AO321" s="3">
        <v>300000</v>
      </c>
      <c r="AP321" s="3">
        <v>300000</v>
      </c>
      <c r="AQ321" s="3"/>
      <c r="AR321" s="3"/>
      <c r="AS321" s="3"/>
      <c r="AT321" s="3"/>
      <c r="AU321" s="3"/>
      <c r="AV321" s="3"/>
      <c r="AW321" s="3">
        <f t="shared" si="17"/>
        <v>900000</v>
      </c>
      <c r="AX321" s="3">
        <f t="shared" si="18"/>
        <v>1800000</v>
      </c>
      <c r="AY321" s="4">
        <f t="shared" si="19"/>
        <v>9</v>
      </c>
      <c r="BA321" s="4" t="s">
        <v>5726</v>
      </c>
      <c r="BB321" s="2"/>
      <c r="BC321" s="3"/>
      <c r="BD321" s="3"/>
    </row>
    <row r="322" spans="1:56" ht="16.8" customHeight="1">
      <c r="A322" s="1">
        <v>321</v>
      </c>
      <c r="B322" s="1" t="s">
        <v>42</v>
      </c>
      <c r="C322" s="1" t="s">
        <v>47</v>
      </c>
      <c r="D322" s="1" t="s">
        <v>1280</v>
      </c>
      <c r="E322" s="1" t="s">
        <v>1280</v>
      </c>
      <c r="F322" s="1" t="s">
        <v>1281</v>
      </c>
      <c r="G322" s="1" t="s">
        <v>1282</v>
      </c>
      <c r="H322" s="1" t="s">
        <v>4588</v>
      </c>
      <c r="I322" s="18">
        <v>45931</v>
      </c>
      <c r="J322" s="18">
        <v>45931</v>
      </c>
      <c r="K322" s="18" t="s">
        <v>4777</v>
      </c>
      <c r="L322" s="18" t="s">
        <v>4734</v>
      </c>
      <c r="M322" s="2">
        <v>300000</v>
      </c>
      <c r="N322" s="2">
        <v>300000</v>
      </c>
      <c r="O322" s="2"/>
      <c r="P322" s="2" t="str">
        <f t="shared" ref="P322:P385" si="20">IF(OR(M322="",N322="",M322=N322),"",N322-M322)</f>
        <v/>
      </c>
      <c r="Q322" s="2"/>
      <c r="R322" s="2"/>
      <c r="S322" s="48"/>
      <c r="T322" s="2">
        <v>900000</v>
      </c>
      <c r="U322" s="2">
        <v>0</v>
      </c>
      <c r="V322" s="1" t="s">
        <v>1283</v>
      </c>
      <c r="W322" s="6" t="s">
        <v>1284</v>
      </c>
      <c r="X322" s="1" t="s">
        <v>224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>
        <v>300000</v>
      </c>
      <c r="AI322" s="3">
        <v>300000</v>
      </c>
      <c r="AJ322" s="3">
        <v>300000</v>
      </c>
      <c r="AK322" s="3">
        <v>300000</v>
      </c>
      <c r="AL322" s="3">
        <v>300000</v>
      </c>
      <c r="AM322" s="3">
        <v>300000</v>
      </c>
      <c r="AN322" s="3">
        <v>300000</v>
      </c>
      <c r="AO322" s="3">
        <v>300000</v>
      </c>
      <c r="AP322" s="3">
        <v>300000</v>
      </c>
      <c r="AQ322" s="3"/>
      <c r="AR322" s="3"/>
      <c r="AS322" s="3"/>
      <c r="AT322" s="3"/>
      <c r="AU322" s="3"/>
      <c r="AV322" s="3"/>
      <c r="AW322" s="3">
        <f t="shared" ref="AW322:AW385" si="21">SUM(Y322:AJ322)</f>
        <v>900000</v>
      </c>
      <c r="AX322" s="3">
        <f t="shared" ref="AX322:AX385" si="22">SUM(AK322:AV322)</f>
        <v>1800000</v>
      </c>
      <c r="AY322" s="4">
        <f t="shared" ref="AY322:AY385" si="23">COUNT(Y322:AV322)</f>
        <v>9</v>
      </c>
      <c r="BA322" s="4" t="s">
        <v>5726</v>
      </c>
      <c r="BB322" s="2"/>
      <c r="BC322" s="3"/>
      <c r="BD322" s="3"/>
    </row>
    <row r="323" spans="1:56" ht="16.8" customHeight="1">
      <c r="A323" s="1">
        <v>322</v>
      </c>
      <c r="B323" s="1" t="s">
        <v>42</v>
      </c>
      <c r="C323" s="1" t="s">
        <v>47</v>
      </c>
      <c r="D323" s="1" t="s">
        <v>1285</v>
      </c>
      <c r="E323" s="1" t="s">
        <v>1285</v>
      </c>
      <c r="F323" s="1" t="s">
        <v>1286</v>
      </c>
      <c r="G323" s="1" t="s">
        <v>1287</v>
      </c>
      <c r="H323" s="1" t="s">
        <v>4589</v>
      </c>
      <c r="I323" s="18">
        <v>45931</v>
      </c>
      <c r="J323" s="18">
        <v>45931</v>
      </c>
      <c r="K323" s="18" t="s">
        <v>4777</v>
      </c>
      <c r="L323" s="18" t="s">
        <v>4734</v>
      </c>
      <c r="M323" s="2">
        <v>300000</v>
      </c>
      <c r="N323" s="2">
        <v>300000</v>
      </c>
      <c r="O323" s="2"/>
      <c r="P323" s="2" t="str">
        <f t="shared" si="20"/>
        <v/>
      </c>
      <c r="Q323" s="2"/>
      <c r="R323" s="2"/>
      <c r="S323" s="48"/>
      <c r="T323" s="2">
        <v>900000</v>
      </c>
      <c r="U323" s="2">
        <v>0</v>
      </c>
      <c r="V323" s="1" t="s">
        <v>1288</v>
      </c>
      <c r="W323" s="6" t="s">
        <v>1289</v>
      </c>
      <c r="X323" s="1" t="s">
        <v>224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>
        <v>300000</v>
      </c>
      <c r="AI323" s="3">
        <v>300000</v>
      </c>
      <c r="AJ323" s="3">
        <v>300000</v>
      </c>
      <c r="AK323" s="3">
        <v>300000</v>
      </c>
      <c r="AL323" s="3">
        <v>300000</v>
      </c>
      <c r="AM323" s="3">
        <v>300000</v>
      </c>
      <c r="AN323" s="3">
        <v>300000</v>
      </c>
      <c r="AO323" s="3">
        <v>300000</v>
      </c>
      <c r="AP323" s="3">
        <v>300000</v>
      </c>
      <c r="AQ323" s="3"/>
      <c r="AR323" s="3"/>
      <c r="AS323" s="3"/>
      <c r="AT323" s="3"/>
      <c r="AU323" s="3"/>
      <c r="AV323" s="3"/>
      <c r="AW323" s="3">
        <f t="shared" si="21"/>
        <v>900000</v>
      </c>
      <c r="AX323" s="3">
        <f t="shared" si="22"/>
        <v>1800000</v>
      </c>
      <c r="AY323" s="4">
        <f t="shared" si="23"/>
        <v>9</v>
      </c>
      <c r="BA323" s="4" t="s">
        <v>5726</v>
      </c>
      <c r="BB323" s="2"/>
      <c r="BC323" s="3"/>
      <c r="BD323" s="3"/>
    </row>
    <row r="324" spans="1:56" ht="16.8" customHeight="1">
      <c r="A324" s="1">
        <v>323</v>
      </c>
      <c r="B324" s="1" t="s">
        <v>42</v>
      </c>
      <c r="C324" s="1" t="s">
        <v>185</v>
      </c>
      <c r="D324" s="1" t="s">
        <v>1290</v>
      </c>
      <c r="E324" s="1" t="s">
        <v>1290</v>
      </c>
      <c r="F324" s="1" t="s">
        <v>1291</v>
      </c>
      <c r="G324" s="1" t="s">
        <v>1292</v>
      </c>
      <c r="H324" s="1" t="s">
        <v>4590</v>
      </c>
      <c r="I324" s="18">
        <v>45931</v>
      </c>
      <c r="J324" s="18">
        <v>45931</v>
      </c>
      <c r="K324" s="18" t="s">
        <v>4770</v>
      </c>
      <c r="L324" s="18" t="s">
        <v>4734</v>
      </c>
      <c r="M324" s="2">
        <v>300000</v>
      </c>
      <c r="N324" s="2">
        <v>300000</v>
      </c>
      <c r="O324" s="2"/>
      <c r="P324" s="2" t="str">
        <f t="shared" si="20"/>
        <v/>
      </c>
      <c r="Q324" s="2"/>
      <c r="R324" s="2"/>
      <c r="S324" s="48"/>
      <c r="T324" s="2">
        <v>900000</v>
      </c>
      <c r="U324" s="2">
        <v>0</v>
      </c>
      <c r="V324" s="1" t="s">
        <v>633</v>
      </c>
      <c r="W324" s="6" t="s">
        <v>634</v>
      </c>
      <c r="X324" s="1" t="s">
        <v>635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>
        <v>300000</v>
      </c>
      <c r="AI324" s="3">
        <v>300000</v>
      </c>
      <c r="AJ324" s="3">
        <v>300000</v>
      </c>
      <c r="AK324" s="3">
        <v>250000</v>
      </c>
      <c r="AL324" s="3">
        <v>250000</v>
      </c>
      <c r="AM324" s="3">
        <v>250000</v>
      </c>
      <c r="AN324" s="3">
        <v>250000</v>
      </c>
      <c r="AO324" s="3">
        <v>250000</v>
      </c>
      <c r="AP324" s="3">
        <v>250000</v>
      </c>
      <c r="AQ324" s="3"/>
      <c r="AR324" s="3"/>
      <c r="AS324" s="3"/>
      <c r="AT324" s="3"/>
      <c r="AU324" s="3"/>
      <c r="AV324" s="3"/>
      <c r="AW324" s="3">
        <f t="shared" si="21"/>
        <v>900000</v>
      </c>
      <c r="AX324" s="3">
        <f t="shared" si="22"/>
        <v>1500000</v>
      </c>
      <c r="AY324" s="4">
        <f t="shared" si="23"/>
        <v>9</v>
      </c>
      <c r="AZ324" s="8" t="s">
        <v>5535</v>
      </c>
      <c r="BA324" s="4" t="s">
        <v>5715</v>
      </c>
      <c r="BB324" s="2"/>
      <c r="BC324" s="3"/>
      <c r="BD324" s="3"/>
    </row>
    <row r="325" spans="1:56" ht="16.8" customHeight="1">
      <c r="A325" s="1">
        <v>324</v>
      </c>
      <c r="B325" s="1" t="s">
        <v>42</v>
      </c>
      <c r="C325" s="1" t="s">
        <v>43</v>
      </c>
      <c r="D325" s="1" t="s">
        <v>1293</v>
      </c>
      <c r="E325" s="1" t="s">
        <v>1293</v>
      </c>
      <c r="F325" s="1" t="s">
        <v>1294</v>
      </c>
      <c r="G325" s="1" t="s">
        <v>1295</v>
      </c>
      <c r="H325" s="1" t="s">
        <v>4923</v>
      </c>
      <c r="I325" s="18">
        <v>47484</v>
      </c>
      <c r="J325" s="18">
        <v>10</v>
      </c>
      <c r="K325" s="18">
        <v>200000</v>
      </c>
      <c r="L325" s="18"/>
      <c r="M325" s="2">
        <v>200000</v>
      </c>
      <c r="N325" s="2">
        <v>200000</v>
      </c>
      <c r="O325" s="2"/>
      <c r="P325" s="2" t="str">
        <f t="shared" si="20"/>
        <v/>
      </c>
      <c r="Q325" s="2"/>
      <c r="R325" s="2"/>
      <c r="S325" s="48"/>
      <c r="T325" s="2">
        <v>0</v>
      </c>
      <c r="U325" s="2">
        <v>600000</v>
      </c>
      <c r="V325" s="1"/>
      <c r="W325" s="6"/>
      <c r="X325" s="1"/>
      <c r="Y325" s="3"/>
      <c r="Z325" s="3"/>
      <c r="AA325" s="3"/>
      <c r="AB325" s="3"/>
      <c r="AC325" s="3"/>
      <c r="AD325" s="3"/>
      <c r="AE325" s="3"/>
      <c r="AF325" s="3"/>
      <c r="AG325" s="3"/>
      <c r="AH325" s="3">
        <v>200000</v>
      </c>
      <c r="AI325" s="3">
        <v>200000</v>
      </c>
      <c r="AJ325" s="3">
        <v>200000</v>
      </c>
      <c r="AK325" s="3">
        <v>200000</v>
      </c>
      <c r="AL325" s="3">
        <v>200000</v>
      </c>
      <c r="AM325" s="3">
        <v>200000</v>
      </c>
      <c r="AN325" s="3">
        <v>200000</v>
      </c>
      <c r="AO325" s="3">
        <v>200000</v>
      </c>
      <c r="AP325" s="3">
        <v>200000</v>
      </c>
      <c r="AQ325" s="3"/>
      <c r="AR325" s="3"/>
      <c r="AS325" s="3"/>
      <c r="AT325" s="3"/>
      <c r="AU325" s="3"/>
      <c r="AV325" s="3"/>
      <c r="AW325" s="3">
        <f t="shared" si="21"/>
        <v>600000</v>
      </c>
      <c r="AX325" s="3">
        <f t="shared" si="22"/>
        <v>1200000</v>
      </c>
      <c r="AY325" s="4">
        <f t="shared" si="23"/>
        <v>9</v>
      </c>
      <c r="BA325" s="4" t="s">
        <v>5728</v>
      </c>
      <c r="BB325" s="2"/>
      <c r="BC325" s="3"/>
      <c r="BD325" s="3"/>
    </row>
    <row r="326" spans="1:56" ht="16.8" customHeight="1">
      <c r="A326" s="1">
        <v>325</v>
      </c>
      <c r="B326" s="1" t="s">
        <v>42</v>
      </c>
      <c r="C326" s="1" t="s">
        <v>43</v>
      </c>
      <c r="D326" s="1" t="s">
        <v>1296</v>
      </c>
      <c r="E326" s="1" t="s">
        <v>1296</v>
      </c>
      <c r="F326" s="1" t="s">
        <v>1297</v>
      </c>
      <c r="G326" s="1" t="s">
        <v>248</v>
      </c>
      <c r="H326" s="1" t="s">
        <v>4769</v>
      </c>
      <c r="I326" s="18">
        <v>45945</v>
      </c>
      <c r="J326" s="18">
        <v>45931</v>
      </c>
      <c r="K326" s="18" t="s">
        <v>4770</v>
      </c>
      <c r="L326" s="18" t="s">
        <v>4734</v>
      </c>
      <c r="M326" s="2">
        <v>6818182</v>
      </c>
      <c r="N326" s="2">
        <v>6818182</v>
      </c>
      <c r="O326" s="2"/>
      <c r="P326" s="2" t="str">
        <f t="shared" si="20"/>
        <v/>
      </c>
      <c r="Q326" s="2"/>
      <c r="R326" s="2"/>
      <c r="S326" s="48"/>
      <c r="T326" s="2">
        <v>22500001</v>
      </c>
      <c r="U326" s="2">
        <v>0</v>
      </c>
      <c r="V326" s="1" t="s">
        <v>249</v>
      </c>
      <c r="W326" s="6" t="s">
        <v>250</v>
      </c>
      <c r="X326" s="1" t="s">
        <v>251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>
        <v>6818182</v>
      </c>
      <c r="AL326" s="3">
        <v>6818182</v>
      </c>
      <c r="AM326" s="3">
        <v>6818182</v>
      </c>
      <c r="AN326" s="3">
        <v>6818182</v>
      </c>
      <c r="AO326" s="3">
        <v>6818182</v>
      </c>
      <c r="AP326" s="3">
        <v>6818182</v>
      </c>
      <c r="AQ326" s="3"/>
      <c r="AR326" s="3"/>
      <c r="AS326" s="3"/>
      <c r="AT326" s="3"/>
      <c r="AU326" s="3"/>
      <c r="AV326" s="3"/>
      <c r="AW326" s="3">
        <f t="shared" si="21"/>
        <v>0</v>
      </c>
      <c r="AX326" s="3">
        <f t="shared" si="22"/>
        <v>40909092</v>
      </c>
      <c r="AY326" s="4">
        <f t="shared" si="23"/>
        <v>6</v>
      </c>
      <c r="AZ326" s="8" t="s">
        <v>5493</v>
      </c>
      <c r="BA326" s="4" t="s">
        <v>5727</v>
      </c>
      <c r="BB326" s="2"/>
      <c r="BC326" s="3"/>
      <c r="BD326" s="3"/>
    </row>
    <row r="327" spans="1:56" ht="16.8" customHeight="1">
      <c r="A327" s="1">
        <v>326</v>
      </c>
      <c r="B327" s="1" t="s">
        <v>42</v>
      </c>
      <c r="C327" s="1" t="s">
        <v>43</v>
      </c>
      <c r="D327" s="1" t="s">
        <v>1298</v>
      </c>
      <c r="E327" s="1" t="s">
        <v>1298</v>
      </c>
      <c r="F327" s="1" t="s">
        <v>1299</v>
      </c>
      <c r="G327" s="1" t="s">
        <v>58</v>
      </c>
      <c r="H327" s="1" t="s">
        <v>4902</v>
      </c>
      <c r="I327" s="18">
        <v>45940</v>
      </c>
      <c r="J327" s="18">
        <v>45931</v>
      </c>
      <c r="K327" s="18" t="s">
        <v>4733</v>
      </c>
      <c r="L327" s="18" t="s">
        <v>4734</v>
      </c>
      <c r="M327" s="2">
        <v>8200000</v>
      </c>
      <c r="N327" s="2">
        <v>8200000</v>
      </c>
      <c r="O327" s="2"/>
      <c r="P327" s="2" t="str">
        <f t="shared" si="20"/>
        <v/>
      </c>
      <c r="Q327" s="2"/>
      <c r="R327" s="2"/>
      <c r="S327" s="48"/>
      <c r="T327" s="2">
        <v>27060000</v>
      </c>
      <c r="U327" s="2">
        <v>0</v>
      </c>
      <c r="V327" s="1" t="s">
        <v>58</v>
      </c>
      <c r="W327" s="6" t="s">
        <v>59</v>
      </c>
      <c r="X327" s="1" t="s">
        <v>60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>
        <v>8200000</v>
      </c>
      <c r="AL327" s="3">
        <v>8200000</v>
      </c>
      <c r="AM327" s="3">
        <v>8200000</v>
      </c>
      <c r="AN327" s="3">
        <v>8200000</v>
      </c>
      <c r="AO327" s="3">
        <v>8200000</v>
      </c>
      <c r="AP327" s="3">
        <v>8200000</v>
      </c>
      <c r="AQ327" s="3"/>
      <c r="AR327" s="3"/>
      <c r="AS327" s="3"/>
      <c r="AT327" s="3"/>
      <c r="AU327" s="3"/>
      <c r="AV327" s="3"/>
      <c r="AW327" s="3">
        <f t="shared" si="21"/>
        <v>0</v>
      </c>
      <c r="AX327" s="3">
        <f t="shared" si="22"/>
        <v>49200000</v>
      </c>
      <c r="AY327" s="4">
        <f t="shared" si="23"/>
        <v>6</v>
      </c>
      <c r="AZ327" s="8" t="s">
        <v>5483</v>
      </c>
      <c r="BA327" s="4" t="s">
        <v>5727</v>
      </c>
      <c r="BB327" s="2"/>
      <c r="BC327" s="3"/>
      <c r="BD327" s="3"/>
    </row>
    <row r="328" spans="1:56" ht="16.8" customHeight="1">
      <c r="A328" s="1">
        <v>327</v>
      </c>
      <c r="B328" s="1" t="s">
        <v>42</v>
      </c>
      <c r="C328" s="1" t="s">
        <v>185</v>
      </c>
      <c r="D328" s="1" t="s">
        <v>1300</v>
      </c>
      <c r="E328" s="1" t="s">
        <v>1300</v>
      </c>
      <c r="F328" s="1" t="s">
        <v>1301</v>
      </c>
      <c r="G328" s="1" t="s">
        <v>1302</v>
      </c>
      <c r="H328" s="1" t="s">
        <v>4924</v>
      </c>
      <c r="I328" s="18">
        <v>45931</v>
      </c>
      <c r="J328" s="18">
        <v>45931</v>
      </c>
      <c r="K328" s="18" t="s">
        <v>4900</v>
      </c>
      <c r="L328" s="18" t="s">
        <v>4734</v>
      </c>
      <c r="M328" s="2">
        <v>400000</v>
      </c>
      <c r="N328" s="2">
        <v>400000</v>
      </c>
      <c r="O328" s="2"/>
      <c r="P328" s="2" t="str">
        <f t="shared" si="20"/>
        <v/>
      </c>
      <c r="Q328" s="2"/>
      <c r="R328" s="2"/>
      <c r="S328" s="48"/>
      <c r="T328" s="2">
        <v>0</v>
      </c>
      <c r="U328" s="2">
        <v>0</v>
      </c>
      <c r="V328" s="1"/>
      <c r="W328" s="6"/>
      <c r="X328" s="1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>
        <v>400000</v>
      </c>
      <c r="AL328" s="3">
        <v>400000</v>
      </c>
      <c r="AM328" s="3">
        <v>400000</v>
      </c>
      <c r="AN328" s="3">
        <v>400000</v>
      </c>
      <c r="AO328" s="3">
        <v>400000</v>
      </c>
      <c r="AP328" s="3">
        <v>400000</v>
      </c>
      <c r="AQ328" s="3"/>
      <c r="AR328" s="3"/>
      <c r="AS328" s="3"/>
      <c r="AT328" s="3"/>
      <c r="AU328" s="3"/>
      <c r="AV328" s="3"/>
      <c r="AW328" s="3">
        <f t="shared" si="21"/>
        <v>0</v>
      </c>
      <c r="AX328" s="3">
        <f t="shared" si="22"/>
        <v>2400000</v>
      </c>
      <c r="AY328" s="4">
        <f t="shared" si="23"/>
        <v>6</v>
      </c>
      <c r="AZ328" s="8" t="s">
        <v>5514</v>
      </c>
      <c r="BA328" s="4" t="s">
        <v>5715</v>
      </c>
      <c r="BB328" s="2"/>
      <c r="BC328" s="3"/>
      <c r="BD328" s="3"/>
    </row>
    <row r="329" spans="1:56" ht="16.8" customHeight="1">
      <c r="A329" s="1">
        <v>328</v>
      </c>
      <c r="B329" s="1" t="s">
        <v>42</v>
      </c>
      <c r="C329" s="1" t="s">
        <v>43</v>
      </c>
      <c r="D329" s="1" t="s">
        <v>1303</v>
      </c>
      <c r="E329" s="1" t="s">
        <v>1303</v>
      </c>
      <c r="F329" s="1" t="s">
        <v>1304</v>
      </c>
      <c r="G329" s="1" t="s">
        <v>63</v>
      </c>
      <c r="H329" s="1" t="s">
        <v>4735</v>
      </c>
      <c r="I329" s="18">
        <v>45945</v>
      </c>
      <c r="J329" s="18">
        <v>45931</v>
      </c>
      <c r="K329" s="18" t="s">
        <v>4733</v>
      </c>
      <c r="L329" s="18" t="s">
        <v>4734</v>
      </c>
      <c r="M329" s="2">
        <v>6163636</v>
      </c>
      <c r="N329" s="2">
        <v>6163636</v>
      </c>
      <c r="O329" s="2"/>
      <c r="P329" s="2" t="str">
        <f t="shared" si="20"/>
        <v/>
      </c>
      <c r="Q329" s="2"/>
      <c r="R329" s="2"/>
      <c r="S329" s="48"/>
      <c r="T329" s="2">
        <v>20339999</v>
      </c>
      <c r="U329" s="2">
        <v>0</v>
      </c>
      <c r="V329" s="1" t="s">
        <v>63</v>
      </c>
      <c r="W329" s="6" t="s">
        <v>64</v>
      </c>
      <c r="X329" s="1" t="s">
        <v>65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>
        <v>6163636</v>
      </c>
      <c r="AL329" s="3">
        <v>6163636</v>
      </c>
      <c r="AM329" s="3">
        <v>6163636</v>
      </c>
      <c r="AN329" s="3">
        <v>6163636</v>
      </c>
      <c r="AO329" s="3">
        <v>6163636</v>
      </c>
      <c r="AP329" s="3">
        <v>6163636</v>
      </c>
      <c r="AQ329" s="3"/>
      <c r="AR329" s="3"/>
      <c r="AS329" s="3"/>
      <c r="AT329" s="3"/>
      <c r="AU329" s="3"/>
      <c r="AV329" s="3"/>
      <c r="AW329" s="3">
        <f t="shared" si="21"/>
        <v>0</v>
      </c>
      <c r="AX329" s="3">
        <f t="shared" si="22"/>
        <v>36981816</v>
      </c>
      <c r="AY329" s="4">
        <f t="shared" si="23"/>
        <v>6</v>
      </c>
      <c r="AZ329" s="8" t="s">
        <v>5484</v>
      </c>
      <c r="BA329" s="4" t="s">
        <v>5727</v>
      </c>
      <c r="BB329" s="2"/>
      <c r="BC329" s="3"/>
      <c r="BD329" s="3"/>
    </row>
    <row r="330" spans="1:56" ht="16.8" customHeight="1">
      <c r="A330" s="1">
        <v>329</v>
      </c>
      <c r="B330" s="1" t="s">
        <v>42</v>
      </c>
      <c r="C330" s="1" t="s">
        <v>47</v>
      </c>
      <c r="D330" s="1" t="s">
        <v>1305</v>
      </c>
      <c r="E330" s="1" t="s">
        <v>1305</v>
      </c>
      <c r="F330" s="1" t="s">
        <v>1306</v>
      </c>
      <c r="G330" s="1" t="s">
        <v>1307</v>
      </c>
      <c r="H330" s="1" t="s">
        <v>4591</v>
      </c>
      <c r="I330" s="18">
        <v>45931</v>
      </c>
      <c r="J330" s="18">
        <v>45931</v>
      </c>
      <c r="K330" s="18" t="s">
        <v>4777</v>
      </c>
      <c r="L330" s="18" t="s">
        <v>4734</v>
      </c>
      <c r="M330" s="2">
        <v>300000</v>
      </c>
      <c r="N330" s="2">
        <v>300000</v>
      </c>
      <c r="O330" s="2"/>
      <c r="P330" s="2" t="str">
        <f t="shared" si="20"/>
        <v/>
      </c>
      <c r="Q330" s="2"/>
      <c r="R330" s="2"/>
      <c r="S330" s="48"/>
      <c r="T330" s="2">
        <v>900000</v>
      </c>
      <c r="U330" s="2">
        <v>0</v>
      </c>
      <c r="V330" s="1" t="s">
        <v>1308</v>
      </c>
      <c r="W330" s="6" t="s">
        <v>1309</v>
      </c>
      <c r="X330" s="1" t="s">
        <v>106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>
        <v>300000</v>
      </c>
      <c r="AI330" s="3">
        <v>300000</v>
      </c>
      <c r="AJ330" s="3">
        <v>300000</v>
      </c>
      <c r="AK330" s="3">
        <v>300000</v>
      </c>
      <c r="AL330" s="3">
        <v>300000</v>
      </c>
      <c r="AM330" s="3">
        <v>300000</v>
      </c>
      <c r="AN330" s="3">
        <v>300000</v>
      </c>
      <c r="AO330" s="3">
        <v>300000</v>
      </c>
      <c r="AP330" s="3">
        <v>300000</v>
      </c>
      <c r="AQ330" s="3"/>
      <c r="AR330" s="3"/>
      <c r="AS330" s="3"/>
      <c r="AT330" s="3"/>
      <c r="AU330" s="3"/>
      <c r="AV330" s="3"/>
      <c r="AW330" s="3">
        <f t="shared" si="21"/>
        <v>900000</v>
      </c>
      <c r="AX330" s="3">
        <f t="shared" si="22"/>
        <v>1800000</v>
      </c>
      <c r="AY330" s="4">
        <f t="shared" si="23"/>
        <v>9</v>
      </c>
      <c r="AZ330" s="8" t="s">
        <v>5536</v>
      </c>
      <c r="BA330" s="4" t="s">
        <v>5726</v>
      </c>
      <c r="BB330" s="2"/>
      <c r="BC330" s="3"/>
      <c r="BD330" s="3"/>
    </row>
    <row r="331" spans="1:56" ht="16.8" customHeight="1">
      <c r="A331" s="1">
        <v>330</v>
      </c>
      <c r="B331" s="1" t="s">
        <v>42</v>
      </c>
      <c r="C331" s="1" t="s">
        <v>43</v>
      </c>
      <c r="D331" s="1" t="s">
        <v>1310</v>
      </c>
      <c r="E331" s="1" t="s">
        <v>1310</v>
      </c>
      <c r="F331" s="1" t="s">
        <v>1311</v>
      </c>
      <c r="G331" s="1" t="s">
        <v>63</v>
      </c>
      <c r="H331" s="1" t="s">
        <v>4735</v>
      </c>
      <c r="I331" s="18">
        <v>45945</v>
      </c>
      <c r="J331" s="18">
        <v>45931</v>
      </c>
      <c r="K331" s="18" t="s">
        <v>4733</v>
      </c>
      <c r="L331" s="18" t="s">
        <v>4734</v>
      </c>
      <c r="M331" s="2">
        <v>6163636</v>
      </c>
      <c r="N331" s="2">
        <v>6163636</v>
      </c>
      <c r="O331" s="2"/>
      <c r="P331" s="2" t="str">
        <f t="shared" si="20"/>
        <v/>
      </c>
      <c r="Q331" s="2"/>
      <c r="R331" s="2"/>
      <c r="S331" s="48"/>
      <c r="T331" s="2">
        <v>20339999</v>
      </c>
      <c r="U331" s="2">
        <v>0</v>
      </c>
      <c r="V331" s="1" t="s">
        <v>63</v>
      </c>
      <c r="W331" s="6" t="s">
        <v>64</v>
      </c>
      <c r="X331" s="1" t="s">
        <v>65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>
        <v>6163636</v>
      </c>
      <c r="AL331" s="3">
        <v>6163636</v>
      </c>
      <c r="AM331" s="3">
        <v>6163636</v>
      </c>
      <c r="AN331" s="3">
        <v>6163636</v>
      </c>
      <c r="AO331" s="3">
        <v>6163636</v>
      </c>
      <c r="AP331" s="3">
        <v>6163636</v>
      </c>
      <c r="AQ331" s="3"/>
      <c r="AR331" s="3"/>
      <c r="AS331" s="3"/>
      <c r="AT331" s="3"/>
      <c r="AU331" s="3"/>
      <c r="AV331" s="3"/>
      <c r="AW331" s="3">
        <f t="shared" si="21"/>
        <v>0</v>
      </c>
      <c r="AX331" s="3">
        <f t="shared" si="22"/>
        <v>36981816</v>
      </c>
      <c r="AY331" s="4">
        <f t="shared" si="23"/>
        <v>6</v>
      </c>
      <c r="AZ331" s="8" t="s">
        <v>5484</v>
      </c>
      <c r="BA331" s="4" t="s">
        <v>5727</v>
      </c>
      <c r="BB331" s="2"/>
      <c r="BC331" s="3"/>
      <c r="BD331" s="3"/>
    </row>
    <row r="332" spans="1:56" ht="16.8" customHeight="1">
      <c r="A332" s="1">
        <v>331</v>
      </c>
      <c r="B332" s="1" t="s">
        <v>42</v>
      </c>
      <c r="C332" s="1" t="s">
        <v>185</v>
      </c>
      <c r="D332" s="1" t="s">
        <v>1312</v>
      </c>
      <c r="E332" s="1" t="s">
        <v>1312</v>
      </c>
      <c r="F332" s="1" t="s">
        <v>1313</v>
      </c>
      <c r="G332" s="1" t="s">
        <v>1314</v>
      </c>
      <c r="H332" s="1" t="s">
        <v>4925</v>
      </c>
      <c r="I332" s="18">
        <v>46753</v>
      </c>
      <c r="J332" s="18">
        <v>10</v>
      </c>
      <c r="K332" s="18">
        <v>500000</v>
      </c>
      <c r="L332" s="18"/>
      <c r="M332" s="2">
        <v>500000</v>
      </c>
      <c r="N332" s="2">
        <v>500000</v>
      </c>
      <c r="O332" s="2"/>
      <c r="P332" s="2" t="str">
        <f t="shared" si="20"/>
        <v/>
      </c>
      <c r="Q332" s="2"/>
      <c r="R332" s="2"/>
      <c r="S332" s="48"/>
      <c r="T332" s="2">
        <v>0</v>
      </c>
      <c r="U332" s="2">
        <v>1500000</v>
      </c>
      <c r="V332" s="1"/>
      <c r="W332" s="6"/>
      <c r="X332" s="1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>
        <f t="shared" si="21"/>
        <v>0</v>
      </c>
      <c r="AX332" s="3">
        <f t="shared" si="22"/>
        <v>0</v>
      </c>
      <c r="AY332" s="4">
        <f t="shared" si="23"/>
        <v>0</v>
      </c>
      <c r="BA332" s="4" t="s">
        <v>5726</v>
      </c>
      <c r="BB332" s="2"/>
      <c r="BC332" s="3"/>
      <c r="BD332" s="4"/>
    </row>
    <row r="333" spans="1:56" ht="16.8" customHeight="1">
      <c r="A333" s="1">
        <v>332</v>
      </c>
      <c r="B333" s="1" t="s">
        <v>42</v>
      </c>
      <c r="C333" s="1" t="s">
        <v>47</v>
      </c>
      <c r="D333" s="1" t="s">
        <v>1315</v>
      </c>
      <c r="E333" s="1" t="s">
        <v>1315</v>
      </c>
      <c r="F333" s="1" t="s">
        <v>1316</v>
      </c>
      <c r="G333" s="1" t="s">
        <v>1317</v>
      </c>
      <c r="H333" s="1" t="s">
        <v>4926</v>
      </c>
      <c r="I333" s="18">
        <v>44927</v>
      </c>
      <c r="J333" s="18">
        <v>10</v>
      </c>
      <c r="K333" s="18">
        <v>400000</v>
      </c>
      <c r="L333" s="18"/>
      <c r="M333" s="2">
        <v>400000</v>
      </c>
      <c r="N333" s="2">
        <v>400000</v>
      </c>
      <c r="O333" s="2"/>
      <c r="P333" s="2" t="str">
        <f t="shared" si="20"/>
        <v/>
      </c>
      <c r="Q333" s="2"/>
      <c r="R333" s="2"/>
      <c r="S333" s="48"/>
      <c r="T333" s="2">
        <v>1200000</v>
      </c>
      <c r="U333" s="2">
        <v>0</v>
      </c>
      <c r="V333" s="1" t="s">
        <v>1317</v>
      </c>
      <c r="W333" s="6" t="s">
        <v>1318</v>
      </c>
      <c r="X333" s="1" t="s">
        <v>70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>
        <v>400000</v>
      </c>
      <c r="AI333" s="3">
        <v>400000</v>
      </c>
      <c r="AJ333" s="3">
        <v>400000</v>
      </c>
      <c r="AK333" s="3">
        <v>400000</v>
      </c>
      <c r="AL333" s="3">
        <v>400000</v>
      </c>
      <c r="AM333" s="3">
        <v>400000</v>
      </c>
      <c r="AN333" s="3">
        <v>400000</v>
      </c>
      <c r="AO333" s="3">
        <v>400000</v>
      </c>
      <c r="AP333" s="3">
        <v>400000</v>
      </c>
      <c r="AQ333" s="3"/>
      <c r="AR333" s="3"/>
      <c r="AS333" s="3"/>
      <c r="AT333" s="3"/>
      <c r="AU333" s="3"/>
      <c r="AV333" s="3"/>
      <c r="AW333" s="3">
        <f t="shared" si="21"/>
        <v>1200000</v>
      </c>
      <c r="AX333" s="3">
        <f t="shared" si="22"/>
        <v>2400000</v>
      </c>
      <c r="AY333" s="4">
        <f t="shared" si="23"/>
        <v>9</v>
      </c>
      <c r="BA333" s="4" t="s">
        <v>5726</v>
      </c>
      <c r="BB333" s="2"/>
      <c r="BC333" s="3"/>
      <c r="BD333" s="3"/>
    </row>
    <row r="334" spans="1:56" ht="16.8" customHeight="1">
      <c r="A334" s="1">
        <v>333</v>
      </c>
      <c r="B334" s="1" t="s">
        <v>42</v>
      </c>
      <c r="C334" s="1" t="s">
        <v>43</v>
      </c>
      <c r="D334" s="1" t="s">
        <v>1319</v>
      </c>
      <c r="E334" s="1" t="s">
        <v>1319</v>
      </c>
      <c r="F334" s="1" t="s">
        <v>1320</v>
      </c>
      <c r="G334" s="1" t="s">
        <v>58</v>
      </c>
      <c r="H334" s="1" t="s">
        <v>4902</v>
      </c>
      <c r="I334" s="18">
        <v>45940</v>
      </c>
      <c r="J334" s="18">
        <v>45931</v>
      </c>
      <c r="K334" s="18" t="s">
        <v>4733</v>
      </c>
      <c r="L334" s="18" t="s">
        <v>4734</v>
      </c>
      <c r="M334" s="2">
        <v>8200000</v>
      </c>
      <c r="N334" s="2">
        <v>8200000</v>
      </c>
      <c r="O334" s="2"/>
      <c r="P334" s="2" t="str">
        <f t="shared" si="20"/>
        <v/>
      </c>
      <c r="Q334" s="2"/>
      <c r="R334" s="2"/>
      <c r="S334" s="48"/>
      <c r="T334" s="2">
        <v>27060000</v>
      </c>
      <c r="U334" s="2">
        <v>0</v>
      </c>
      <c r="V334" s="1" t="s">
        <v>58</v>
      </c>
      <c r="W334" s="6" t="s">
        <v>59</v>
      </c>
      <c r="X334" s="1" t="s">
        <v>60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>
        <v>8200000</v>
      </c>
      <c r="AL334" s="3">
        <v>8200000</v>
      </c>
      <c r="AM334" s="3">
        <v>8200000</v>
      </c>
      <c r="AN334" s="3">
        <v>8200000</v>
      </c>
      <c r="AO334" s="3">
        <v>8200000</v>
      </c>
      <c r="AP334" s="3">
        <v>8200000</v>
      </c>
      <c r="AQ334" s="3"/>
      <c r="AR334" s="3"/>
      <c r="AS334" s="3"/>
      <c r="AT334" s="3"/>
      <c r="AU334" s="3"/>
      <c r="AV334" s="3"/>
      <c r="AW334" s="3">
        <f t="shared" si="21"/>
        <v>0</v>
      </c>
      <c r="AX334" s="3">
        <f t="shared" si="22"/>
        <v>49200000</v>
      </c>
      <c r="AY334" s="4">
        <f t="shared" si="23"/>
        <v>6</v>
      </c>
      <c r="AZ334" s="8" t="s">
        <v>5483</v>
      </c>
      <c r="BA334" s="4" t="s">
        <v>5727</v>
      </c>
      <c r="BB334" s="2"/>
      <c r="BC334" s="3"/>
      <c r="BD334" s="3"/>
    </row>
    <row r="335" spans="1:56" ht="16.8" customHeight="1">
      <c r="A335" s="1">
        <v>334</v>
      </c>
      <c r="B335" s="1" t="s">
        <v>42</v>
      </c>
      <c r="C335" s="1" t="s">
        <v>43</v>
      </c>
      <c r="D335" s="1" t="s">
        <v>1321</v>
      </c>
      <c r="E335" s="1" t="s">
        <v>1321</v>
      </c>
      <c r="F335" s="1" t="s">
        <v>1322</v>
      </c>
      <c r="G335" s="1" t="s">
        <v>58</v>
      </c>
      <c r="H335" s="1" t="s">
        <v>4902</v>
      </c>
      <c r="I335" s="18">
        <v>45940</v>
      </c>
      <c r="J335" s="18">
        <v>45931</v>
      </c>
      <c r="K335" s="18" t="s">
        <v>4733</v>
      </c>
      <c r="L335" s="18" t="s">
        <v>4734</v>
      </c>
      <c r="M335" s="2">
        <v>8200000</v>
      </c>
      <c r="N335" s="2">
        <v>8200000</v>
      </c>
      <c r="O335" s="2"/>
      <c r="P335" s="2" t="str">
        <f t="shared" si="20"/>
        <v/>
      </c>
      <c r="Q335" s="2"/>
      <c r="R335" s="2"/>
      <c r="S335" s="48"/>
      <c r="T335" s="2">
        <v>27060000</v>
      </c>
      <c r="U335" s="2">
        <v>0</v>
      </c>
      <c r="V335" s="1" t="s">
        <v>58</v>
      </c>
      <c r="W335" s="6" t="s">
        <v>59</v>
      </c>
      <c r="X335" s="1" t="s">
        <v>60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>
        <v>8200000</v>
      </c>
      <c r="AL335" s="3">
        <v>8200000</v>
      </c>
      <c r="AM335" s="3">
        <v>8200000</v>
      </c>
      <c r="AN335" s="3">
        <v>8200000</v>
      </c>
      <c r="AO335" s="3">
        <v>8200000</v>
      </c>
      <c r="AP335" s="3">
        <v>8200000</v>
      </c>
      <c r="AQ335" s="3"/>
      <c r="AR335" s="3"/>
      <c r="AS335" s="3"/>
      <c r="AT335" s="3"/>
      <c r="AU335" s="3"/>
      <c r="AV335" s="3"/>
      <c r="AW335" s="3">
        <f t="shared" si="21"/>
        <v>0</v>
      </c>
      <c r="AX335" s="3">
        <f t="shared" si="22"/>
        <v>49200000</v>
      </c>
      <c r="AY335" s="4">
        <f t="shared" si="23"/>
        <v>6</v>
      </c>
      <c r="AZ335" s="8" t="s">
        <v>5483</v>
      </c>
      <c r="BA335" s="4" t="s">
        <v>5727</v>
      </c>
      <c r="BB335" s="2"/>
      <c r="BC335" s="3"/>
      <c r="BD335" s="3"/>
    </row>
    <row r="336" spans="1:56" ht="16.8" customHeight="1">
      <c r="A336" s="1">
        <v>335</v>
      </c>
      <c r="B336" s="1" t="s">
        <v>42</v>
      </c>
      <c r="C336" s="1" t="s">
        <v>47</v>
      </c>
      <c r="D336" s="1" t="s">
        <v>1323</v>
      </c>
      <c r="E336" s="1" t="s">
        <v>1323</v>
      </c>
      <c r="F336" s="1" t="s">
        <v>1324</v>
      </c>
      <c r="G336" s="1" t="s">
        <v>1325</v>
      </c>
      <c r="H336" s="1" t="s">
        <v>4927</v>
      </c>
      <c r="I336" s="18">
        <v>45931</v>
      </c>
      <c r="J336" s="18">
        <v>45931</v>
      </c>
      <c r="K336" s="18" t="s">
        <v>4742</v>
      </c>
      <c r="L336" s="18" t="s">
        <v>4734</v>
      </c>
      <c r="M336" s="2">
        <v>1600000</v>
      </c>
      <c r="N336" s="2">
        <v>1600000</v>
      </c>
      <c r="O336" s="2"/>
      <c r="P336" s="2" t="str">
        <f t="shared" si="20"/>
        <v/>
      </c>
      <c r="Q336" s="2"/>
      <c r="R336" s="2"/>
      <c r="S336" s="48"/>
      <c r="T336" s="2">
        <v>4800000</v>
      </c>
      <c r="U336" s="2">
        <v>0</v>
      </c>
      <c r="V336" s="1" t="s">
        <v>1326</v>
      </c>
      <c r="W336" s="6" t="s">
        <v>1327</v>
      </c>
      <c r="X336" s="1" t="s">
        <v>775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>
        <v>1600000</v>
      </c>
      <c r="AI336" s="3">
        <v>1600000</v>
      </c>
      <c r="AJ336" s="3">
        <v>1600000</v>
      </c>
      <c r="AK336" s="3">
        <v>1600000</v>
      </c>
      <c r="AL336" s="3">
        <v>1600000</v>
      </c>
      <c r="AM336" s="3">
        <v>1600000</v>
      </c>
      <c r="AN336" s="3">
        <v>1600000</v>
      </c>
      <c r="AO336" s="3">
        <v>1600000</v>
      </c>
      <c r="AP336" s="3">
        <v>1600000</v>
      </c>
      <c r="AQ336" s="3"/>
      <c r="AR336" s="3"/>
      <c r="AS336" s="3"/>
      <c r="AT336" s="3"/>
      <c r="AU336" s="3"/>
      <c r="AV336" s="3"/>
      <c r="AW336" s="3">
        <f t="shared" si="21"/>
        <v>4800000</v>
      </c>
      <c r="AX336" s="3">
        <f t="shared" si="22"/>
        <v>9600000</v>
      </c>
      <c r="AY336" s="4">
        <f t="shared" si="23"/>
        <v>9</v>
      </c>
      <c r="AZ336" s="8" t="s">
        <v>5532</v>
      </c>
      <c r="BA336" s="4" t="s">
        <v>5726</v>
      </c>
      <c r="BB336" s="2"/>
      <c r="BC336" s="3"/>
      <c r="BD336" s="3"/>
    </row>
    <row r="337" spans="1:56" ht="16.8" customHeight="1">
      <c r="A337" s="1">
        <v>336</v>
      </c>
      <c r="B337" s="1" t="s">
        <v>42</v>
      </c>
      <c r="C337" s="1" t="s">
        <v>47</v>
      </c>
      <c r="D337" s="1" t="s">
        <v>1328</v>
      </c>
      <c r="E337" s="1" t="s">
        <v>1328</v>
      </c>
      <c r="F337" s="1" t="s">
        <v>1329</v>
      </c>
      <c r="G337" s="1" t="s">
        <v>1330</v>
      </c>
      <c r="H337" s="1" t="s">
        <v>4928</v>
      </c>
      <c r="I337" s="18">
        <v>45931</v>
      </c>
      <c r="J337" s="18">
        <v>45931</v>
      </c>
      <c r="K337" s="18" t="s">
        <v>4742</v>
      </c>
      <c r="L337" s="18" t="s">
        <v>4734</v>
      </c>
      <c r="M337" s="2">
        <v>1500000</v>
      </c>
      <c r="N337" s="2">
        <v>1500000</v>
      </c>
      <c r="O337" s="2"/>
      <c r="P337" s="2" t="str">
        <f t="shared" si="20"/>
        <v/>
      </c>
      <c r="Q337" s="2"/>
      <c r="R337" s="2"/>
      <c r="S337" s="48"/>
      <c r="T337" s="2">
        <v>4500000</v>
      </c>
      <c r="U337" s="2">
        <v>0</v>
      </c>
      <c r="V337" s="1" t="s">
        <v>328</v>
      </c>
      <c r="W337" s="6" t="s">
        <v>329</v>
      </c>
      <c r="X337" s="1" t="s">
        <v>333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>
        <v>1500000</v>
      </c>
      <c r="AI337" s="3">
        <v>1500000</v>
      </c>
      <c r="AJ337" s="3">
        <v>1500000</v>
      </c>
      <c r="AK337" s="3">
        <v>1500000</v>
      </c>
      <c r="AL337" s="3">
        <v>1500000</v>
      </c>
      <c r="AM337" s="3">
        <v>1500000</v>
      </c>
      <c r="AN337" s="3">
        <v>1500000</v>
      </c>
      <c r="AO337" s="3">
        <v>1500000</v>
      </c>
      <c r="AP337" s="3">
        <v>1500000</v>
      </c>
      <c r="AQ337" s="3"/>
      <c r="AR337" s="3"/>
      <c r="AS337" s="3"/>
      <c r="AT337" s="3"/>
      <c r="AU337" s="3"/>
      <c r="AV337" s="3"/>
      <c r="AW337" s="3">
        <f t="shared" si="21"/>
        <v>4500000</v>
      </c>
      <c r="AX337" s="3">
        <f t="shared" si="22"/>
        <v>9000000</v>
      </c>
      <c r="AY337" s="4">
        <f t="shared" si="23"/>
        <v>9</v>
      </c>
      <c r="BA337" s="4" t="s">
        <v>5726</v>
      </c>
      <c r="BB337" s="2"/>
      <c r="BC337" s="3"/>
      <c r="BD337" s="3"/>
    </row>
    <row r="338" spans="1:56" ht="16.8" customHeight="1">
      <c r="A338" s="1">
        <v>337</v>
      </c>
      <c r="B338" s="1" t="s">
        <v>42</v>
      </c>
      <c r="C338" s="1" t="s">
        <v>47</v>
      </c>
      <c r="D338" s="1" t="s">
        <v>1331</v>
      </c>
      <c r="E338" s="1" t="s">
        <v>1331</v>
      </c>
      <c r="F338" s="1" t="s">
        <v>1332</v>
      </c>
      <c r="G338" s="1" t="s">
        <v>1333</v>
      </c>
      <c r="H338" s="1" t="s">
        <v>4929</v>
      </c>
      <c r="I338" s="18">
        <v>45931</v>
      </c>
      <c r="J338" s="18">
        <v>45931</v>
      </c>
      <c r="K338" s="18" t="s">
        <v>4742</v>
      </c>
      <c r="L338" s="18" t="s">
        <v>4734</v>
      </c>
      <c r="M338" s="2">
        <v>1200000</v>
      </c>
      <c r="N338" s="2">
        <v>1200000</v>
      </c>
      <c r="O338" s="2"/>
      <c r="P338" s="2" t="str">
        <f t="shared" si="20"/>
        <v/>
      </c>
      <c r="Q338" s="2"/>
      <c r="R338" s="2"/>
      <c r="S338" s="48"/>
      <c r="T338" s="2">
        <v>3600000</v>
      </c>
      <c r="U338" s="2">
        <v>0</v>
      </c>
      <c r="V338" s="1" t="s">
        <v>1334</v>
      </c>
      <c r="W338" s="6" t="s">
        <v>1335</v>
      </c>
      <c r="X338" s="1" t="s">
        <v>115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>
        <v>1200000</v>
      </c>
      <c r="AI338" s="3">
        <v>1200000</v>
      </c>
      <c r="AJ338" s="3">
        <v>1200000</v>
      </c>
      <c r="AK338" s="3">
        <v>1200000</v>
      </c>
      <c r="AL338" s="3">
        <v>1200000</v>
      </c>
      <c r="AM338" s="3">
        <v>1200000</v>
      </c>
      <c r="AN338" s="3">
        <v>1200000</v>
      </c>
      <c r="AO338" s="3">
        <v>1200000</v>
      </c>
      <c r="AP338" s="3">
        <v>1200000</v>
      </c>
      <c r="AQ338" s="3"/>
      <c r="AR338" s="3"/>
      <c r="AS338" s="3"/>
      <c r="AT338" s="3"/>
      <c r="AU338" s="3"/>
      <c r="AV338" s="3"/>
      <c r="AW338" s="3">
        <f t="shared" si="21"/>
        <v>3600000</v>
      </c>
      <c r="AX338" s="3">
        <f t="shared" si="22"/>
        <v>7200000</v>
      </c>
      <c r="AY338" s="4">
        <f t="shared" si="23"/>
        <v>9</v>
      </c>
      <c r="AZ338" s="8">
        <v>0</v>
      </c>
      <c r="BA338" s="4" t="s">
        <v>5726</v>
      </c>
      <c r="BB338" s="2"/>
      <c r="BC338" s="3"/>
      <c r="BD338" s="3"/>
    </row>
    <row r="339" spans="1:56" ht="16.8" customHeight="1">
      <c r="A339" s="1">
        <v>338</v>
      </c>
      <c r="B339" s="1" t="s">
        <v>42</v>
      </c>
      <c r="C339" s="1" t="s">
        <v>47</v>
      </c>
      <c r="D339" s="1" t="s">
        <v>1336</v>
      </c>
      <c r="E339" s="1" t="s">
        <v>1336</v>
      </c>
      <c r="F339" s="1" t="s">
        <v>1337</v>
      </c>
      <c r="G339" s="1" t="s">
        <v>1338</v>
      </c>
      <c r="H339" s="1" t="s">
        <v>3083</v>
      </c>
      <c r="I339" s="18">
        <v>45931</v>
      </c>
      <c r="J339" s="18">
        <v>45931</v>
      </c>
      <c r="K339" s="18" t="s">
        <v>4742</v>
      </c>
      <c r="L339" s="18" t="s">
        <v>4734</v>
      </c>
      <c r="M339" s="2">
        <v>1500000</v>
      </c>
      <c r="N339" s="2">
        <v>1500000</v>
      </c>
      <c r="O339" s="2"/>
      <c r="P339" s="2" t="str">
        <f t="shared" si="20"/>
        <v/>
      </c>
      <c r="Q339" s="2"/>
      <c r="R339" s="2"/>
      <c r="S339" s="48"/>
      <c r="T339" s="2">
        <v>0</v>
      </c>
      <c r="U339" s="2">
        <v>0</v>
      </c>
      <c r="V339" s="1" t="s">
        <v>1338</v>
      </c>
      <c r="W339" s="6" t="s">
        <v>1339</v>
      </c>
      <c r="X339" s="1" t="s">
        <v>333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>
        <v>1500000</v>
      </c>
      <c r="AL339" s="3">
        <v>1500000</v>
      </c>
      <c r="AM339" s="3">
        <v>1500000</v>
      </c>
      <c r="AN339" s="3">
        <v>1500000</v>
      </c>
      <c r="AO339" s="3">
        <v>1500000</v>
      </c>
      <c r="AP339" s="3">
        <v>1500000</v>
      </c>
      <c r="AQ339" s="3"/>
      <c r="AR339" s="3"/>
      <c r="AS339" s="3"/>
      <c r="AT339" s="3"/>
      <c r="AU339" s="3"/>
      <c r="AV339" s="3"/>
      <c r="AW339" s="3">
        <f t="shared" si="21"/>
        <v>0</v>
      </c>
      <c r="AX339" s="3">
        <f t="shared" si="22"/>
        <v>9000000</v>
      </c>
      <c r="AY339" s="4">
        <f t="shared" si="23"/>
        <v>6</v>
      </c>
      <c r="AZ339" s="8">
        <v>0</v>
      </c>
      <c r="BA339" s="4" t="s">
        <v>5726</v>
      </c>
      <c r="BB339" s="2"/>
      <c r="BC339" s="3"/>
      <c r="BD339" s="3"/>
    </row>
    <row r="340" spans="1:56" ht="16.8" customHeight="1">
      <c r="A340" s="1">
        <v>339</v>
      </c>
      <c r="B340" s="1" t="s">
        <v>42</v>
      </c>
      <c r="C340" s="1" t="s">
        <v>43</v>
      </c>
      <c r="D340" s="1" t="s">
        <v>1340</v>
      </c>
      <c r="E340" s="1" t="s">
        <v>1340</v>
      </c>
      <c r="F340" s="1" t="s">
        <v>1341</v>
      </c>
      <c r="G340" s="1" t="s">
        <v>1342</v>
      </c>
      <c r="H340" s="1" t="s">
        <v>4592</v>
      </c>
      <c r="I340" s="18">
        <v>45931</v>
      </c>
      <c r="J340" s="18">
        <v>45931</v>
      </c>
      <c r="K340" s="18" t="s">
        <v>4737</v>
      </c>
      <c r="L340" s="18" t="s">
        <v>4734</v>
      </c>
      <c r="M340" s="2">
        <v>8200000</v>
      </c>
      <c r="N340" s="2">
        <v>8200000</v>
      </c>
      <c r="O340" s="2"/>
      <c r="P340" s="2" t="str">
        <f t="shared" si="20"/>
        <v/>
      </c>
      <c r="Q340" s="2"/>
      <c r="R340" s="2"/>
      <c r="S340" s="48"/>
      <c r="T340" s="2">
        <v>24600000</v>
      </c>
      <c r="U340" s="2">
        <v>0</v>
      </c>
      <c r="V340" s="1" t="s">
        <v>1342</v>
      </c>
      <c r="W340" s="6" t="s">
        <v>1343</v>
      </c>
      <c r="X340" s="1" t="s">
        <v>1344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>
        <v>8200000</v>
      </c>
      <c r="AI340" s="3">
        <v>8200000</v>
      </c>
      <c r="AJ340" s="3">
        <v>8200000</v>
      </c>
      <c r="AK340" s="3">
        <v>7900000</v>
      </c>
      <c r="AL340" s="3">
        <v>7900000</v>
      </c>
      <c r="AM340" s="3">
        <v>7900000</v>
      </c>
      <c r="AN340" s="3">
        <v>8200000</v>
      </c>
      <c r="AO340" s="3">
        <v>8200000</v>
      </c>
      <c r="AP340" s="3">
        <v>8200000</v>
      </c>
      <c r="AQ340" s="3"/>
      <c r="AR340" s="3"/>
      <c r="AS340" s="3"/>
      <c r="AT340" s="3"/>
      <c r="AU340" s="3"/>
      <c r="AV340" s="3"/>
      <c r="AW340" s="3">
        <f t="shared" si="21"/>
        <v>24600000</v>
      </c>
      <c r="AX340" s="3">
        <f t="shared" si="22"/>
        <v>48300000</v>
      </c>
      <c r="AY340" s="4">
        <f t="shared" si="23"/>
        <v>9</v>
      </c>
      <c r="AZ340" s="8" t="s">
        <v>5486</v>
      </c>
      <c r="BA340" s="4" t="s">
        <v>5727</v>
      </c>
      <c r="BB340" s="2">
        <v>23700000</v>
      </c>
      <c r="BC340" s="3"/>
      <c r="BD340" s="3"/>
    </row>
    <row r="341" spans="1:56" ht="16.8" customHeight="1">
      <c r="A341" s="1">
        <v>340</v>
      </c>
      <c r="B341" s="1" t="s">
        <v>42</v>
      </c>
      <c r="C341" s="1" t="s">
        <v>185</v>
      </c>
      <c r="D341" s="1" t="s">
        <v>1345</v>
      </c>
      <c r="E341" s="1" t="s">
        <v>1345</v>
      </c>
      <c r="F341" s="1" t="s">
        <v>1346</v>
      </c>
      <c r="G341" s="1" t="s">
        <v>1347</v>
      </c>
      <c r="H341" s="1" t="s">
        <v>4593</v>
      </c>
      <c r="I341" s="18">
        <v>45931</v>
      </c>
      <c r="J341" s="18">
        <v>45931</v>
      </c>
      <c r="K341" s="18" t="s">
        <v>4930</v>
      </c>
      <c r="L341" s="18" t="s">
        <v>4734</v>
      </c>
      <c r="M341" s="2">
        <v>2000000</v>
      </c>
      <c r="N341" s="2">
        <v>2000000</v>
      </c>
      <c r="O341" s="2"/>
      <c r="P341" s="2" t="str">
        <f t="shared" si="20"/>
        <v/>
      </c>
      <c r="Q341" s="2"/>
      <c r="R341" s="2"/>
      <c r="S341" s="48"/>
      <c r="T341" s="2">
        <v>7200000</v>
      </c>
      <c r="U341" s="2">
        <v>0</v>
      </c>
      <c r="V341" s="1" t="s">
        <v>1348</v>
      </c>
      <c r="W341" s="6" t="s">
        <v>1349</v>
      </c>
      <c r="X341" s="1" t="s">
        <v>324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>
        <v>2000000</v>
      </c>
      <c r="AI341" s="3">
        <v>2000000</v>
      </c>
      <c r="AJ341" s="3">
        <v>2000000</v>
      </c>
      <c r="AK341" s="3">
        <v>2000000</v>
      </c>
      <c r="AL341" s="3">
        <v>2000000</v>
      </c>
      <c r="AM341" s="3">
        <v>2000000</v>
      </c>
      <c r="AN341" s="3">
        <v>2000000</v>
      </c>
      <c r="AO341" s="3">
        <v>2000000</v>
      </c>
      <c r="AP341" s="3">
        <v>2000000</v>
      </c>
      <c r="AQ341" s="3"/>
      <c r="AR341" s="3"/>
      <c r="AS341" s="3"/>
      <c r="AT341" s="3"/>
      <c r="AU341" s="3"/>
      <c r="AV341" s="3"/>
      <c r="AW341" s="3">
        <f t="shared" si="21"/>
        <v>6000000</v>
      </c>
      <c r="AX341" s="3">
        <f t="shared" si="22"/>
        <v>12000000</v>
      </c>
      <c r="AY341" s="4">
        <f t="shared" si="23"/>
        <v>9</v>
      </c>
      <c r="AZ341" s="8">
        <v>0</v>
      </c>
      <c r="BA341" s="4" t="s">
        <v>5726</v>
      </c>
      <c r="BB341" s="2"/>
      <c r="BC341" s="3"/>
      <c r="BD341" s="3"/>
    </row>
    <row r="342" spans="1:56" ht="16.8" customHeight="1">
      <c r="A342" s="1">
        <v>341</v>
      </c>
      <c r="B342" s="1" t="s">
        <v>42</v>
      </c>
      <c r="C342" s="1" t="s">
        <v>185</v>
      </c>
      <c r="D342" s="1" t="s">
        <v>1350</v>
      </c>
      <c r="E342" s="1" t="s">
        <v>1350</v>
      </c>
      <c r="F342" s="1" t="s">
        <v>1351</v>
      </c>
      <c r="G342" s="1" t="s">
        <v>1352</v>
      </c>
      <c r="H342" s="1" t="s">
        <v>4594</v>
      </c>
      <c r="I342" s="18">
        <v>45931</v>
      </c>
      <c r="J342" s="18">
        <v>45931</v>
      </c>
      <c r="K342" s="18" t="s">
        <v>4742</v>
      </c>
      <c r="L342" s="18" t="s">
        <v>4734</v>
      </c>
      <c r="M342" s="2">
        <v>2000000</v>
      </c>
      <c r="N342" s="2">
        <v>2000000</v>
      </c>
      <c r="O342" s="2"/>
      <c r="P342" s="2" t="str">
        <f t="shared" si="20"/>
        <v/>
      </c>
      <c r="Q342" s="2"/>
      <c r="R342" s="2"/>
      <c r="S342" s="48"/>
      <c r="T342" s="2">
        <v>6000000</v>
      </c>
      <c r="U342" s="2">
        <v>0</v>
      </c>
      <c r="V342" s="1" t="s">
        <v>1352</v>
      </c>
      <c r="W342" s="6" t="s">
        <v>1353</v>
      </c>
      <c r="X342" s="1" t="s">
        <v>137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>
        <v>2000000</v>
      </c>
      <c r="AI342" s="3">
        <v>2000000</v>
      </c>
      <c r="AJ342" s="3">
        <v>2000000</v>
      </c>
      <c r="AK342" s="3">
        <v>2000000</v>
      </c>
      <c r="AL342" s="3">
        <v>2000000</v>
      </c>
      <c r="AM342" s="3">
        <v>2000000</v>
      </c>
      <c r="AN342" s="3">
        <v>2000000</v>
      </c>
      <c r="AO342" s="3">
        <v>2000000</v>
      </c>
      <c r="AP342" s="3">
        <v>2000000</v>
      </c>
      <c r="AQ342" s="3"/>
      <c r="AR342" s="3"/>
      <c r="AS342" s="3"/>
      <c r="AT342" s="3"/>
      <c r="AU342" s="3"/>
      <c r="AV342" s="3"/>
      <c r="AW342" s="3">
        <f t="shared" si="21"/>
        <v>6000000</v>
      </c>
      <c r="AX342" s="3">
        <f t="shared" si="22"/>
        <v>12000000</v>
      </c>
      <c r="AY342" s="4">
        <f t="shared" si="23"/>
        <v>9</v>
      </c>
      <c r="AZ342" s="8" t="s">
        <v>5533</v>
      </c>
      <c r="BA342" s="4" t="s">
        <v>5715</v>
      </c>
      <c r="BB342" s="2"/>
      <c r="BC342" s="3"/>
      <c r="BD342" s="3"/>
    </row>
    <row r="343" spans="1:56" ht="16.8" customHeight="1">
      <c r="A343" s="1">
        <v>342</v>
      </c>
      <c r="B343" s="1" t="s">
        <v>42</v>
      </c>
      <c r="C343" s="1" t="s">
        <v>185</v>
      </c>
      <c r="D343" s="1" t="s">
        <v>1354</v>
      </c>
      <c r="E343" s="1" t="s">
        <v>1354</v>
      </c>
      <c r="F343" s="1" t="s">
        <v>1355</v>
      </c>
      <c r="G343" s="1" t="s">
        <v>1356</v>
      </c>
      <c r="H343" s="1" t="s">
        <v>4595</v>
      </c>
      <c r="I343" s="18">
        <v>45931</v>
      </c>
      <c r="J343" s="18">
        <v>45931</v>
      </c>
      <c r="K343" s="18" t="s">
        <v>4742</v>
      </c>
      <c r="L343" s="18" t="s">
        <v>4734</v>
      </c>
      <c r="M343" s="2">
        <v>2500000</v>
      </c>
      <c r="N343" s="2">
        <v>2500000</v>
      </c>
      <c r="O343" s="2"/>
      <c r="P343" s="2" t="str">
        <f t="shared" si="20"/>
        <v/>
      </c>
      <c r="Q343" s="2"/>
      <c r="R343" s="2"/>
      <c r="S343" s="48"/>
      <c r="T343" s="2">
        <v>7500000</v>
      </c>
      <c r="U343" s="2">
        <v>0</v>
      </c>
      <c r="V343" s="1" t="s">
        <v>1356</v>
      </c>
      <c r="W343" s="6" t="s">
        <v>1357</v>
      </c>
      <c r="X343" s="1" t="s">
        <v>1358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>
        <v>2500000</v>
      </c>
      <c r="AI343" s="3">
        <v>2500000</v>
      </c>
      <c r="AJ343" s="3">
        <v>2500000</v>
      </c>
      <c r="AK343" s="3">
        <v>2500000</v>
      </c>
      <c r="AL343" s="3">
        <v>2500000</v>
      </c>
      <c r="AM343" s="3">
        <v>2500000</v>
      </c>
      <c r="AN343" s="3">
        <v>2500000</v>
      </c>
      <c r="AO343" s="3">
        <v>2500000</v>
      </c>
      <c r="AP343" s="3">
        <v>2500000</v>
      </c>
      <c r="AQ343" s="3"/>
      <c r="AR343" s="3"/>
      <c r="AS343" s="3"/>
      <c r="AT343" s="3"/>
      <c r="AU343" s="3"/>
      <c r="AV343" s="3"/>
      <c r="AW343" s="3">
        <f t="shared" si="21"/>
        <v>7500000</v>
      </c>
      <c r="AX343" s="3">
        <f t="shared" si="22"/>
        <v>15000000</v>
      </c>
      <c r="AY343" s="4">
        <f t="shared" si="23"/>
        <v>9</v>
      </c>
      <c r="AZ343" s="8" t="s">
        <v>5504</v>
      </c>
      <c r="BA343" s="4" t="s">
        <v>5715</v>
      </c>
      <c r="BB343" s="2"/>
      <c r="BC343" s="3"/>
      <c r="BD343" s="3"/>
    </row>
    <row r="344" spans="1:56" ht="16.8" customHeight="1">
      <c r="A344" s="1">
        <v>343</v>
      </c>
      <c r="B344" s="1" t="s">
        <v>42</v>
      </c>
      <c r="C344" s="1" t="s">
        <v>47</v>
      </c>
      <c r="D344" s="1" t="s">
        <v>1359</v>
      </c>
      <c r="E344" s="1" t="s">
        <v>1359</v>
      </c>
      <c r="F344" s="1" t="s">
        <v>1360</v>
      </c>
      <c r="G344" s="1" t="s">
        <v>1361</v>
      </c>
      <c r="H344" s="1" t="s">
        <v>3083</v>
      </c>
      <c r="I344" s="18">
        <v>45931</v>
      </c>
      <c r="J344" s="18">
        <v>45931</v>
      </c>
      <c r="K344" s="18" t="s">
        <v>4742</v>
      </c>
      <c r="L344" s="18" t="s">
        <v>4734</v>
      </c>
      <c r="M344" s="2">
        <v>1200000</v>
      </c>
      <c r="N344" s="2">
        <v>1200000</v>
      </c>
      <c r="O344" s="2"/>
      <c r="P344" s="2" t="str">
        <f t="shared" si="20"/>
        <v/>
      </c>
      <c r="Q344" s="2"/>
      <c r="R344" s="2"/>
      <c r="S344" s="48"/>
      <c r="T344" s="2">
        <v>3600000</v>
      </c>
      <c r="U344" s="2">
        <v>0</v>
      </c>
      <c r="V344" s="1" t="s">
        <v>1361</v>
      </c>
      <c r="W344" s="6" t="s">
        <v>1362</v>
      </c>
      <c r="X344" s="1" t="s">
        <v>106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>
        <v>1200000</v>
      </c>
      <c r="AI344" s="3">
        <v>1200000</v>
      </c>
      <c r="AJ344" s="3">
        <v>1200000</v>
      </c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>
        <f t="shared" si="21"/>
        <v>3600000</v>
      </c>
      <c r="AX344" s="3">
        <f t="shared" si="22"/>
        <v>0</v>
      </c>
      <c r="AY344" s="4">
        <f t="shared" si="23"/>
        <v>3</v>
      </c>
      <c r="AZ344" s="8" t="s">
        <v>5683</v>
      </c>
      <c r="BA344" s="4" t="s">
        <v>5726</v>
      </c>
      <c r="BB344" s="2"/>
      <c r="BC344" s="3"/>
      <c r="BD344" s="4"/>
    </row>
    <row r="345" spans="1:56" ht="16.8" customHeight="1">
      <c r="A345" s="1">
        <v>344</v>
      </c>
      <c r="B345" s="1" t="s">
        <v>42</v>
      </c>
      <c r="C345" s="1" t="s">
        <v>185</v>
      </c>
      <c r="D345" s="1" t="s">
        <v>1363</v>
      </c>
      <c r="E345" s="1" t="s">
        <v>1363</v>
      </c>
      <c r="F345" s="1" t="s">
        <v>1364</v>
      </c>
      <c r="G345" s="1" t="s">
        <v>312</v>
      </c>
      <c r="H345" s="1" t="s">
        <v>4852</v>
      </c>
      <c r="I345" s="18">
        <v>45931</v>
      </c>
      <c r="J345" s="18">
        <v>45931</v>
      </c>
      <c r="K345" s="18" t="s">
        <v>4752</v>
      </c>
      <c r="L345" s="18" t="s">
        <v>4734</v>
      </c>
      <c r="M345" s="2">
        <v>7200000</v>
      </c>
      <c r="N345" s="2">
        <v>7200000</v>
      </c>
      <c r="O345" s="2"/>
      <c r="P345" s="2" t="str">
        <f t="shared" si="20"/>
        <v/>
      </c>
      <c r="Q345" s="2"/>
      <c r="R345" s="2"/>
      <c r="S345" s="48"/>
      <c r="T345" s="2">
        <v>23760000</v>
      </c>
      <c r="U345" s="2">
        <v>0</v>
      </c>
      <c r="V345" s="1" t="s">
        <v>312</v>
      </c>
      <c r="W345" s="6" t="s">
        <v>313</v>
      </c>
      <c r="X345" s="1" t="s">
        <v>314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>
        <v>7200000</v>
      </c>
      <c r="AL345" s="3">
        <v>7200000</v>
      </c>
      <c r="AM345" s="3">
        <v>7200000</v>
      </c>
      <c r="AN345" s="3">
        <v>7200000</v>
      </c>
      <c r="AO345" s="3">
        <v>7200000</v>
      </c>
      <c r="AP345" s="3">
        <v>7200000</v>
      </c>
      <c r="AQ345" s="3"/>
      <c r="AR345" s="3"/>
      <c r="AS345" s="3"/>
      <c r="AT345" s="3"/>
      <c r="AU345" s="3"/>
      <c r="AV345" s="3"/>
      <c r="AW345" s="3">
        <f t="shared" si="21"/>
        <v>0</v>
      </c>
      <c r="AX345" s="3">
        <f t="shared" si="22"/>
        <v>43200000</v>
      </c>
      <c r="AY345" s="4">
        <f t="shared" si="23"/>
        <v>6</v>
      </c>
      <c r="AZ345" s="8" t="s">
        <v>5484</v>
      </c>
      <c r="BA345" s="4" t="s">
        <v>5727</v>
      </c>
      <c r="BB345" s="2"/>
      <c r="BC345" s="3"/>
      <c r="BD345" s="3"/>
    </row>
    <row r="346" spans="1:56" ht="16.8" customHeight="1">
      <c r="A346" s="1">
        <v>345</v>
      </c>
      <c r="B346" s="1" t="s">
        <v>42</v>
      </c>
      <c r="C346" s="1" t="s">
        <v>47</v>
      </c>
      <c r="D346" s="1" t="s">
        <v>1365</v>
      </c>
      <c r="E346" s="1" t="s">
        <v>1365</v>
      </c>
      <c r="F346" s="1" t="s">
        <v>1366</v>
      </c>
      <c r="G346" s="1" t="s">
        <v>1367</v>
      </c>
      <c r="H346" s="1" t="s">
        <v>4596</v>
      </c>
      <c r="I346" s="18">
        <v>45931</v>
      </c>
      <c r="J346" s="18">
        <v>45931</v>
      </c>
      <c r="K346" s="18" t="s">
        <v>4742</v>
      </c>
      <c r="L346" s="18" t="s">
        <v>4734</v>
      </c>
      <c r="M346" s="2">
        <v>1200000</v>
      </c>
      <c r="N346" s="2">
        <v>1200000</v>
      </c>
      <c r="O346" s="2"/>
      <c r="P346" s="2" t="str">
        <f t="shared" si="20"/>
        <v/>
      </c>
      <c r="Q346" s="2"/>
      <c r="R346" s="2"/>
      <c r="S346" s="48"/>
      <c r="T346" s="2">
        <v>3600000</v>
      </c>
      <c r="U346" s="2">
        <v>0</v>
      </c>
      <c r="V346" s="1" t="s">
        <v>1368</v>
      </c>
      <c r="W346" s="6" t="s">
        <v>1369</v>
      </c>
      <c r="X346" s="1" t="s">
        <v>1370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>
        <v>1200000</v>
      </c>
      <c r="AI346" s="3">
        <v>1200000</v>
      </c>
      <c r="AJ346" s="3">
        <v>1200000</v>
      </c>
      <c r="AK346" s="3">
        <v>1200000</v>
      </c>
      <c r="AL346" s="3">
        <v>1200000</v>
      </c>
      <c r="AM346" s="3">
        <v>1200000</v>
      </c>
      <c r="AN346" s="3">
        <v>1200000</v>
      </c>
      <c r="AO346" s="3">
        <v>1200000</v>
      </c>
      <c r="AP346" s="3">
        <v>1200000</v>
      </c>
      <c r="AQ346" s="3"/>
      <c r="AR346" s="3"/>
      <c r="AS346" s="3"/>
      <c r="AT346" s="3"/>
      <c r="AU346" s="3"/>
      <c r="AV346" s="3"/>
      <c r="AW346" s="3">
        <f t="shared" si="21"/>
        <v>3600000</v>
      </c>
      <c r="AX346" s="3">
        <f t="shared" si="22"/>
        <v>7200000</v>
      </c>
      <c r="AY346" s="4">
        <f t="shared" si="23"/>
        <v>9</v>
      </c>
      <c r="BA346" s="4" t="s">
        <v>5726</v>
      </c>
      <c r="BB346" s="2"/>
      <c r="BC346" s="3"/>
      <c r="BD346" s="3"/>
    </row>
    <row r="347" spans="1:56" ht="16.8" customHeight="1">
      <c r="A347" s="1">
        <v>346</v>
      </c>
      <c r="B347" s="1" t="s">
        <v>42</v>
      </c>
      <c r="C347" s="1" t="s">
        <v>43</v>
      </c>
      <c r="D347" s="1" t="s">
        <v>1371</v>
      </c>
      <c r="E347" s="1" t="s">
        <v>1371</v>
      </c>
      <c r="F347" s="1" t="s">
        <v>1372</v>
      </c>
      <c r="G347" s="1" t="s">
        <v>1373</v>
      </c>
      <c r="H347" s="1" t="s">
        <v>4931</v>
      </c>
      <c r="I347" s="18">
        <v>48579</v>
      </c>
      <c r="J347" s="18">
        <v>10</v>
      </c>
      <c r="K347" s="18">
        <v>6363636.3636363633</v>
      </c>
      <c r="L347" s="18"/>
      <c r="M347" s="2">
        <v>6363636</v>
      </c>
      <c r="N347" s="2">
        <v>6363636</v>
      </c>
      <c r="O347" s="2"/>
      <c r="P347" s="2" t="str">
        <f t="shared" si="20"/>
        <v/>
      </c>
      <c r="Q347" s="2"/>
      <c r="R347" s="2"/>
      <c r="S347" s="48"/>
      <c r="T347" s="2">
        <v>0</v>
      </c>
      <c r="U347" s="2">
        <v>0</v>
      </c>
      <c r="V347" s="1"/>
      <c r="W347" s="6"/>
      <c r="X347" s="1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>
        <f t="shared" si="21"/>
        <v>0</v>
      </c>
      <c r="AX347" s="3">
        <f t="shared" si="22"/>
        <v>0</v>
      </c>
      <c r="AY347" s="4">
        <f t="shared" si="23"/>
        <v>0</v>
      </c>
      <c r="BA347" s="4" t="s">
        <v>5726</v>
      </c>
      <c r="BB347" s="2"/>
      <c r="BC347" s="3"/>
      <c r="BD347" s="4"/>
    </row>
    <row r="348" spans="1:56" ht="16.8" customHeight="1">
      <c r="A348" s="1">
        <v>347</v>
      </c>
      <c r="B348" s="1" t="s">
        <v>42</v>
      </c>
      <c r="C348" s="1" t="s">
        <v>43</v>
      </c>
      <c r="D348" s="1" t="s">
        <v>1374</v>
      </c>
      <c r="E348" s="1" t="s">
        <v>1374</v>
      </c>
      <c r="F348" s="1" t="s">
        <v>1375</v>
      </c>
      <c r="G348" s="1" t="s">
        <v>1376</v>
      </c>
      <c r="H348" s="1" t="s">
        <v>4599</v>
      </c>
      <c r="I348" s="18">
        <v>45931</v>
      </c>
      <c r="J348" s="18">
        <v>45931</v>
      </c>
      <c r="K348" s="18" t="s">
        <v>4733</v>
      </c>
      <c r="L348" s="18" t="s">
        <v>4734</v>
      </c>
      <c r="M348" s="2">
        <v>8200000</v>
      </c>
      <c r="N348" s="2">
        <v>8200000</v>
      </c>
      <c r="O348" s="2"/>
      <c r="P348" s="2" t="str">
        <f t="shared" si="20"/>
        <v/>
      </c>
      <c r="Q348" s="2"/>
      <c r="R348" s="2"/>
      <c r="S348" s="48"/>
      <c r="T348" s="2">
        <v>0</v>
      </c>
      <c r="U348" s="2">
        <v>0</v>
      </c>
      <c r="V348" s="1"/>
      <c r="W348" s="6"/>
      <c r="X348" s="1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>
        <v>8200000</v>
      </c>
      <c r="AL348" s="3">
        <v>8200000</v>
      </c>
      <c r="AM348" s="3">
        <v>8200000</v>
      </c>
      <c r="AN348" s="3">
        <v>8200000</v>
      </c>
      <c r="AO348" s="3">
        <v>8200000</v>
      </c>
      <c r="AP348" s="3">
        <v>8200000</v>
      </c>
      <c r="AQ348" s="3"/>
      <c r="AR348" s="3"/>
      <c r="AS348" s="3"/>
      <c r="AT348" s="3"/>
      <c r="AU348" s="3"/>
      <c r="AV348" s="3"/>
      <c r="AW348" s="3">
        <f t="shared" si="21"/>
        <v>0</v>
      </c>
      <c r="AX348" s="3">
        <f t="shared" si="22"/>
        <v>49200000</v>
      </c>
      <c r="AY348" s="4">
        <f t="shared" si="23"/>
        <v>6</v>
      </c>
      <c r="AZ348" s="8" t="s">
        <v>5486</v>
      </c>
      <c r="BA348" s="4" t="s">
        <v>5727</v>
      </c>
      <c r="BB348" s="2"/>
      <c r="BC348" s="3"/>
      <c r="BD348" s="3"/>
    </row>
    <row r="349" spans="1:56" ht="16.8" customHeight="1">
      <c r="A349" s="1">
        <v>348</v>
      </c>
      <c r="B349" s="1" t="s">
        <v>42</v>
      </c>
      <c r="C349" s="1" t="s">
        <v>43</v>
      </c>
      <c r="D349" s="1" t="s">
        <v>1377</v>
      </c>
      <c r="E349" s="1" t="s">
        <v>1377</v>
      </c>
      <c r="F349" s="1" t="s">
        <v>1378</v>
      </c>
      <c r="G349" s="1" t="s">
        <v>545</v>
      </c>
      <c r="H349" s="1" t="s">
        <v>4597</v>
      </c>
      <c r="I349" s="18">
        <v>45931</v>
      </c>
      <c r="J349" s="18">
        <v>45931</v>
      </c>
      <c r="K349" s="18" t="s">
        <v>4733</v>
      </c>
      <c r="L349" s="18" t="s">
        <v>4734</v>
      </c>
      <c r="M349" s="2">
        <v>8450000</v>
      </c>
      <c r="N349" s="2">
        <v>8450000</v>
      </c>
      <c r="O349" s="2"/>
      <c r="P349" s="2" t="str">
        <f t="shared" si="20"/>
        <v/>
      </c>
      <c r="Q349" s="2"/>
      <c r="R349" s="2"/>
      <c r="S349" s="48"/>
      <c r="T349" s="2">
        <v>25350000</v>
      </c>
      <c r="U349" s="2">
        <v>0</v>
      </c>
      <c r="V349" s="1" t="s">
        <v>545</v>
      </c>
      <c r="W349" s="6" t="s">
        <v>546</v>
      </c>
      <c r="X349" s="1" t="s">
        <v>547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>
        <v>8450000</v>
      </c>
      <c r="AI349" s="3">
        <v>8450000</v>
      </c>
      <c r="AJ349" s="3">
        <v>8450000</v>
      </c>
      <c r="AK349" s="3">
        <v>8450000</v>
      </c>
      <c r="AL349" s="3">
        <v>8450000</v>
      </c>
      <c r="AM349" s="3">
        <v>8450000</v>
      </c>
      <c r="AN349" s="3">
        <v>8450000</v>
      </c>
      <c r="AO349" s="3">
        <v>8450000</v>
      </c>
      <c r="AP349" s="3">
        <v>8450000</v>
      </c>
      <c r="AQ349" s="3"/>
      <c r="AR349" s="3"/>
      <c r="AS349" s="3"/>
      <c r="AT349" s="3"/>
      <c r="AU349" s="3"/>
      <c r="AV349" s="3"/>
      <c r="AW349" s="3">
        <f t="shared" si="21"/>
        <v>25350000</v>
      </c>
      <c r="AX349" s="3">
        <f t="shared" si="22"/>
        <v>50700000</v>
      </c>
      <c r="AY349" s="4">
        <f t="shared" si="23"/>
        <v>9</v>
      </c>
      <c r="AZ349" s="8" t="s">
        <v>5486</v>
      </c>
      <c r="BA349" s="4" t="s">
        <v>5732</v>
      </c>
      <c r="BB349" s="2"/>
      <c r="BC349" s="3"/>
      <c r="BD349" s="3"/>
    </row>
    <row r="350" spans="1:56" ht="16.8" customHeight="1">
      <c r="A350" s="1">
        <v>349</v>
      </c>
      <c r="B350" s="1" t="s">
        <v>42</v>
      </c>
      <c r="C350" s="1" t="s">
        <v>43</v>
      </c>
      <c r="D350" s="1" t="s">
        <v>1380</v>
      </c>
      <c r="E350" s="1" t="s">
        <v>1380</v>
      </c>
      <c r="F350" s="1" t="s">
        <v>1381</v>
      </c>
      <c r="G350" s="1" t="s">
        <v>312</v>
      </c>
      <c r="H350" s="1" t="s">
        <v>4932</v>
      </c>
      <c r="I350" s="18">
        <v>45931</v>
      </c>
      <c r="J350" s="18">
        <v>45931</v>
      </c>
      <c r="K350" s="18" t="s">
        <v>4830</v>
      </c>
      <c r="L350" s="18" t="s">
        <v>4734</v>
      </c>
      <c r="M350" s="2">
        <v>7600000</v>
      </c>
      <c r="N350" s="2">
        <v>7600000</v>
      </c>
      <c r="O350" s="2"/>
      <c r="P350" s="2" t="str">
        <f t="shared" si="20"/>
        <v/>
      </c>
      <c r="Q350" s="2"/>
      <c r="R350" s="2"/>
      <c r="S350" s="48"/>
      <c r="T350" s="2">
        <v>25080000</v>
      </c>
      <c r="U350" s="2">
        <v>0</v>
      </c>
      <c r="V350" s="1"/>
      <c r="W350" s="6"/>
      <c r="X350" s="1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>
        <v>7600000</v>
      </c>
      <c r="AL350" s="3">
        <v>7600000</v>
      </c>
      <c r="AM350" s="3">
        <v>7600000</v>
      </c>
      <c r="AN350" s="3">
        <v>7600000</v>
      </c>
      <c r="AO350" s="3">
        <v>7600000</v>
      </c>
      <c r="AP350" s="3">
        <v>7600000</v>
      </c>
      <c r="AQ350" s="3">
        <v>7600000</v>
      </c>
      <c r="AR350" s="3">
        <v>7600000</v>
      </c>
      <c r="AS350" s="3">
        <v>7600000</v>
      </c>
      <c r="AT350" s="3">
        <v>7600000</v>
      </c>
      <c r="AU350" s="3">
        <v>7600000</v>
      </c>
      <c r="AV350" s="3">
        <v>7600000</v>
      </c>
      <c r="AW350" s="3">
        <f t="shared" si="21"/>
        <v>0</v>
      </c>
      <c r="AX350" s="3">
        <f t="shared" si="22"/>
        <v>91200000</v>
      </c>
      <c r="AY350" s="4">
        <f t="shared" si="23"/>
        <v>12</v>
      </c>
      <c r="AZ350" s="8" t="s">
        <v>5484</v>
      </c>
      <c r="BA350" s="4" t="s">
        <v>5727</v>
      </c>
      <c r="BB350" s="2">
        <v>23700000</v>
      </c>
      <c r="BC350" s="3"/>
      <c r="BD350" s="3"/>
    </row>
    <row r="351" spans="1:56" ht="16.8" customHeight="1">
      <c r="A351" s="1">
        <v>350</v>
      </c>
      <c r="B351" s="1" t="s">
        <v>42</v>
      </c>
      <c r="C351" s="1" t="s">
        <v>47</v>
      </c>
      <c r="D351" s="1" t="s">
        <v>1382</v>
      </c>
      <c r="E351" s="1" t="s">
        <v>1382</v>
      </c>
      <c r="F351" s="1" t="s">
        <v>1383</v>
      </c>
      <c r="G351" s="1" t="s">
        <v>1384</v>
      </c>
      <c r="H351" s="1" t="s">
        <v>4933</v>
      </c>
      <c r="I351" s="18">
        <v>45931</v>
      </c>
      <c r="J351" s="18">
        <v>45931</v>
      </c>
      <c r="K351" s="18" t="s">
        <v>4737</v>
      </c>
      <c r="L351" s="18" t="s">
        <v>4734</v>
      </c>
      <c r="M351" s="2">
        <v>300000</v>
      </c>
      <c r="N351" s="2">
        <v>300000</v>
      </c>
      <c r="O351" s="2"/>
      <c r="P351" s="2" t="str">
        <f t="shared" si="20"/>
        <v/>
      </c>
      <c r="Q351" s="2"/>
      <c r="R351" s="2"/>
      <c r="S351" s="48"/>
      <c r="T351" s="2">
        <v>0</v>
      </c>
      <c r="U351" s="2">
        <v>0</v>
      </c>
      <c r="V351" s="1"/>
      <c r="W351" s="6"/>
      <c r="X351" s="1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>
        <f t="shared" si="21"/>
        <v>0</v>
      </c>
      <c r="AX351" s="3">
        <f t="shared" si="22"/>
        <v>0</v>
      </c>
      <c r="AY351" s="4">
        <f t="shared" si="23"/>
        <v>0</v>
      </c>
      <c r="AZ351" s="8" t="s">
        <v>5489</v>
      </c>
      <c r="BA351" s="4" t="s">
        <v>5726</v>
      </c>
      <c r="BB351" s="2"/>
      <c r="BC351" s="3"/>
      <c r="BD351" s="4"/>
    </row>
    <row r="352" spans="1:56" ht="16.8" customHeight="1">
      <c r="A352" s="1">
        <v>351</v>
      </c>
      <c r="B352" s="1" t="s">
        <v>42</v>
      </c>
      <c r="C352" s="1" t="s">
        <v>47</v>
      </c>
      <c r="D352" s="1" t="s">
        <v>1385</v>
      </c>
      <c r="E352" s="1" t="s">
        <v>1385</v>
      </c>
      <c r="F352" s="1" t="s">
        <v>1386</v>
      </c>
      <c r="G352" s="1" t="s">
        <v>1387</v>
      </c>
      <c r="H352" s="1" t="s">
        <v>4598</v>
      </c>
      <c r="I352" s="18">
        <v>45931</v>
      </c>
      <c r="J352" s="18">
        <v>45931</v>
      </c>
      <c r="K352" s="18" t="s">
        <v>4742</v>
      </c>
      <c r="L352" s="18" t="s">
        <v>4734</v>
      </c>
      <c r="M352" s="2">
        <v>300000</v>
      </c>
      <c r="N352" s="2">
        <v>300000</v>
      </c>
      <c r="O352" s="2"/>
      <c r="P352" s="2" t="str">
        <f t="shared" si="20"/>
        <v/>
      </c>
      <c r="Q352" s="2"/>
      <c r="R352" s="2"/>
      <c r="S352" s="48"/>
      <c r="T352" s="2">
        <v>900000</v>
      </c>
      <c r="U352" s="2">
        <v>0</v>
      </c>
      <c r="V352" s="1" t="s">
        <v>1387</v>
      </c>
      <c r="W352" s="6" t="s">
        <v>1388</v>
      </c>
      <c r="X352" s="1" t="s">
        <v>218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>
        <v>300000</v>
      </c>
      <c r="AI352" s="3">
        <v>300000</v>
      </c>
      <c r="AJ352" s="3">
        <v>300000</v>
      </c>
      <c r="AK352" s="3">
        <v>300000</v>
      </c>
      <c r="AL352" s="3">
        <v>300000</v>
      </c>
      <c r="AM352" s="3">
        <v>300000</v>
      </c>
      <c r="AN352" s="3">
        <v>300000</v>
      </c>
      <c r="AO352" s="3">
        <v>300000</v>
      </c>
      <c r="AP352" s="3">
        <v>300000</v>
      </c>
      <c r="AQ352" s="3"/>
      <c r="AR352" s="3"/>
      <c r="AS352" s="3"/>
      <c r="AT352" s="3"/>
      <c r="AU352" s="3"/>
      <c r="AV352" s="3"/>
      <c r="AW352" s="3">
        <f t="shared" si="21"/>
        <v>900000</v>
      </c>
      <c r="AX352" s="3">
        <f t="shared" si="22"/>
        <v>1800000</v>
      </c>
      <c r="AY352" s="4">
        <f t="shared" si="23"/>
        <v>9</v>
      </c>
      <c r="AZ352" s="8" t="s">
        <v>5688</v>
      </c>
      <c r="BA352" s="4" t="s">
        <v>5715</v>
      </c>
      <c r="BB352" s="2"/>
      <c r="BC352" s="3"/>
      <c r="BD352" s="3"/>
    </row>
    <row r="353" spans="1:56" ht="16.8" customHeight="1">
      <c r="A353" s="1">
        <v>352</v>
      </c>
      <c r="B353" s="1" t="s">
        <v>42</v>
      </c>
      <c r="C353" s="1" t="s">
        <v>43</v>
      </c>
      <c r="D353" s="1" t="s">
        <v>1389</v>
      </c>
      <c r="E353" s="1" t="s">
        <v>1389</v>
      </c>
      <c r="F353" s="1" t="s">
        <v>1390</v>
      </c>
      <c r="G353" s="1" t="s">
        <v>1376</v>
      </c>
      <c r="H353" s="1" t="s">
        <v>4599</v>
      </c>
      <c r="I353" s="18">
        <v>45931</v>
      </c>
      <c r="J353" s="18">
        <v>45931</v>
      </c>
      <c r="K353" s="18" t="s">
        <v>4733</v>
      </c>
      <c r="L353" s="18" t="s">
        <v>4734</v>
      </c>
      <c r="M353" s="2">
        <v>8200000</v>
      </c>
      <c r="N353" s="2">
        <v>8200000</v>
      </c>
      <c r="O353" s="2"/>
      <c r="P353" s="2" t="str">
        <f t="shared" si="20"/>
        <v/>
      </c>
      <c r="Q353" s="2"/>
      <c r="R353" s="2"/>
      <c r="S353" s="48"/>
      <c r="T353" s="2">
        <v>49200000</v>
      </c>
      <c r="U353" s="2">
        <v>0</v>
      </c>
      <c r="V353" s="1" t="s">
        <v>1376</v>
      </c>
      <c r="W353" s="6" t="s">
        <v>1391</v>
      </c>
      <c r="X353" s="1" t="s">
        <v>547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>
        <v>8200000</v>
      </c>
      <c r="AI353" s="3">
        <v>8200000</v>
      </c>
      <c r="AJ353" s="3">
        <v>8200000</v>
      </c>
      <c r="AK353" s="3">
        <v>8200000</v>
      </c>
      <c r="AL353" s="3">
        <v>8200000</v>
      </c>
      <c r="AM353" s="3">
        <v>8200000</v>
      </c>
      <c r="AN353" s="3">
        <v>8200000</v>
      </c>
      <c r="AO353" s="3">
        <v>8200000</v>
      </c>
      <c r="AP353" s="3">
        <v>8200000</v>
      </c>
      <c r="AQ353" s="3"/>
      <c r="AR353" s="3"/>
      <c r="AS353" s="3"/>
      <c r="AT353" s="3"/>
      <c r="AU353" s="3"/>
      <c r="AV353" s="3"/>
      <c r="AW353" s="3">
        <f t="shared" si="21"/>
        <v>24600000</v>
      </c>
      <c r="AX353" s="3">
        <f t="shared" si="22"/>
        <v>49200000</v>
      </c>
      <c r="AY353" s="4">
        <f t="shared" si="23"/>
        <v>9</v>
      </c>
      <c r="AZ353" s="8" t="s">
        <v>5486</v>
      </c>
      <c r="BA353" s="4" t="s">
        <v>5727</v>
      </c>
      <c r="BB353" s="2"/>
      <c r="BC353" s="3"/>
      <c r="BD353" s="3"/>
    </row>
    <row r="354" spans="1:56" ht="16.8" customHeight="1">
      <c r="A354" s="1">
        <v>353</v>
      </c>
      <c r="B354" s="1" t="s">
        <v>42</v>
      </c>
      <c r="C354" s="1" t="s">
        <v>43</v>
      </c>
      <c r="D354" s="1" t="s">
        <v>1392</v>
      </c>
      <c r="E354" s="1" t="s">
        <v>1392</v>
      </c>
      <c r="F354" s="1" t="s">
        <v>1393</v>
      </c>
      <c r="G354" s="1" t="s">
        <v>248</v>
      </c>
      <c r="H354" s="1" t="s">
        <v>4769</v>
      </c>
      <c r="I354" s="18">
        <v>45945</v>
      </c>
      <c r="J354" s="18">
        <v>45931</v>
      </c>
      <c r="K354" s="18" t="s">
        <v>4770</v>
      </c>
      <c r="L354" s="18" t="s">
        <v>4734</v>
      </c>
      <c r="M354" s="2">
        <v>5909091</v>
      </c>
      <c r="N354" s="2">
        <v>5909091</v>
      </c>
      <c r="O354" s="2"/>
      <c r="P354" s="2" t="str">
        <f t="shared" si="20"/>
        <v/>
      </c>
      <c r="Q354" s="2"/>
      <c r="R354" s="2"/>
      <c r="S354" s="48"/>
      <c r="T354" s="2">
        <v>19500000</v>
      </c>
      <c r="U354" s="2">
        <v>0</v>
      </c>
      <c r="V354" s="1" t="s">
        <v>249</v>
      </c>
      <c r="W354" s="6" t="s">
        <v>250</v>
      </c>
      <c r="X354" s="1" t="s">
        <v>251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>
        <v>5909091</v>
      </c>
      <c r="AL354" s="3">
        <v>5909091</v>
      </c>
      <c r="AM354" s="3">
        <v>5909091</v>
      </c>
      <c r="AN354" s="3">
        <v>5909091</v>
      </c>
      <c r="AO354" s="3">
        <v>5909091</v>
      </c>
      <c r="AP354" s="3">
        <v>5909091</v>
      </c>
      <c r="AQ354" s="3"/>
      <c r="AR354" s="3"/>
      <c r="AS354" s="3"/>
      <c r="AT354" s="3"/>
      <c r="AU354" s="3"/>
      <c r="AV354" s="3"/>
      <c r="AW354" s="3">
        <f t="shared" si="21"/>
        <v>0</v>
      </c>
      <c r="AX354" s="3">
        <f t="shared" si="22"/>
        <v>35454546</v>
      </c>
      <c r="AY354" s="4">
        <f t="shared" si="23"/>
        <v>6</v>
      </c>
      <c r="AZ354" s="8" t="s">
        <v>5493</v>
      </c>
      <c r="BA354" s="4" t="s">
        <v>5732</v>
      </c>
      <c r="BB354" s="2"/>
      <c r="BC354" s="3"/>
      <c r="BD354" s="3"/>
    </row>
    <row r="355" spans="1:56" ht="16.8" customHeight="1">
      <c r="A355" s="1">
        <v>354</v>
      </c>
      <c r="B355" s="1" t="s">
        <v>42</v>
      </c>
      <c r="C355" s="1" t="s">
        <v>185</v>
      </c>
      <c r="D355" s="1" t="s">
        <v>1394</v>
      </c>
      <c r="E355" s="1" t="s">
        <v>1394</v>
      </c>
      <c r="F355" s="1" t="s">
        <v>1395</v>
      </c>
      <c r="G355" s="1" t="s">
        <v>1396</v>
      </c>
      <c r="H355" s="1" t="s">
        <v>4934</v>
      </c>
      <c r="I355" s="18">
        <v>45931</v>
      </c>
      <c r="J355" s="18">
        <v>45931</v>
      </c>
      <c r="K355" s="18" t="s">
        <v>4935</v>
      </c>
      <c r="L355" s="18" t="s">
        <v>4734</v>
      </c>
      <c r="M355" s="2">
        <v>400000</v>
      </c>
      <c r="N355" s="2">
        <v>400000</v>
      </c>
      <c r="O355" s="2"/>
      <c r="P355" s="2" t="str">
        <f t="shared" si="20"/>
        <v/>
      </c>
      <c r="Q355" s="2"/>
      <c r="R355" s="2"/>
      <c r="S355" s="48"/>
      <c r="T355" s="2">
        <v>0</v>
      </c>
      <c r="U355" s="2">
        <v>0</v>
      </c>
      <c r="V355" s="1"/>
      <c r="W355" s="6"/>
      <c r="X355" s="1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>
        <v>400000</v>
      </c>
      <c r="AL355" s="3">
        <v>400000</v>
      </c>
      <c r="AM355" s="3">
        <v>400000</v>
      </c>
      <c r="AN355" s="3">
        <v>400000</v>
      </c>
      <c r="AO355" s="3">
        <v>400000</v>
      </c>
      <c r="AP355" s="3">
        <v>400000</v>
      </c>
      <c r="AQ355" s="3"/>
      <c r="AR355" s="3"/>
      <c r="AS355" s="3"/>
      <c r="AT355" s="3"/>
      <c r="AU355" s="3"/>
      <c r="AV355" s="3"/>
      <c r="AW355" s="3">
        <f t="shared" si="21"/>
        <v>0</v>
      </c>
      <c r="AX355" s="3">
        <f t="shared" si="22"/>
        <v>2400000</v>
      </c>
      <c r="AY355" s="4">
        <f t="shared" si="23"/>
        <v>6</v>
      </c>
      <c r="AZ355" s="8" t="s">
        <v>5533</v>
      </c>
      <c r="BA355" s="4" t="s">
        <v>5715</v>
      </c>
      <c r="BB355" s="2"/>
      <c r="BC355" s="3"/>
      <c r="BD355" s="3"/>
    </row>
    <row r="356" spans="1:56" ht="16.8" customHeight="1">
      <c r="A356" s="1">
        <v>355</v>
      </c>
      <c r="B356" s="1" t="s">
        <v>42</v>
      </c>
      <c r="C356" s="1" t="s">
        <v>185</v>
      </c>
      <c r="D356" s="1" t="s">
        <v>1397</v>
      </c>
      <c r="E356" s="1" t="s">
        <v>1397</v>
      </c>
      <c r="F356" s="1" t="s">
        <v>1398</v>
      </c>
      <c r="G356" s="1" t="s">
        <v>1399</v>
      </c>
      <c r="H356" s="1" t="s">
        <v>4936</v>
      </c>
      <c r="I356" s="18">
        <v>45931</v>
      </c>
      <c r="J356" s="18">
        <v>45931</v>
      </c>
      <c r="K356" s="18" t="s">
        <v>4935</v>
      </c>
      <c r="L356" s="18" t="s">
        <v>4734</v>
      </c>
      <c r="M356" s="2">
        <v>400000</v>
      </c>
      <c r="N356" s="2">
        <v>400000</v>
      </c>
      <c r="O356" s="2"/>
      <c r="P356" s="2" t="str">
        <f t="shared" si="20"/>
        <v/>
      </c>
      <c r="Q356" s="2"/>
      <c r="R356" s="2"/>
      <c r="S356" s="48"/>
      <c r="T356" s="2">
        <v>0</v>
      </c>
      <c r="U356" s="2">
        <v>0</v>
      </c>
      <c r="V356" s="1"/>
      <c r="W356" s="6"/>
      <c r="X356" s="1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>
        <v>400000</v>
      </c>
      <c r="AL356" s="3">
        <v>400000</v>
      </c>
      <c r="AM356" s="3">
        <v>400000</v>
      </c>
      <c r="AN356" s="3">
        <v>400000</v>
      </c>
      <c r="AO356" s="3">
        <v>400000</v>
      </c>
      <c r="AP356" s="3">
        <v>400000</v>
      </c>
      <c r="AQ356" s="3"/>
      <c r="AR356" s="3"/>
      <c r="AS356" s="3"/>
      <c r="AT356" s="3"/>
      <c r="AU356" s="3"/>
      <c r="AV356" s="3"/>
      <c r="AW356" s="3">
        <f t="shared" si="21"/>
        <v>0</v>
      </c>
      <c r="AX356" s="3">
        <f t="shared" si="22"/>
        <v>2400000</v>
      </c>
      <c r="AY356" s="4">
        <f t="shared" si="23"/>
        <v>6</v>
      </c>
      <c r="AZ356" s="8" t="s">
        <v>5533</v>
      </c>
      <c r="BA356" s="4" t="s">
        <v>5715</v>
      </c>
      <c r="BB356" s="2"/>
      <c r="BC356" s="3"/>
      <c r="BD356" s="3"/>
    </row>
    <row r="357" spans="1:56" ht="16.8" customHeight="1">
      <c r="A357" s="1">
        <v>356</v>
      </c>
      <c r="B357" s="1" t="s">
        <v>42</v>
      </c>
      <c r="C357" s="1" t="s">
        <v>43</v>
      </c>
      <c r="D357" s="1" t="s">
        <v>1400</v>
      </c>
      <c r="E357" s="1" t="s">
        <v>1400</v>
      </c>
      <c r="F357" s="1" t="s">
        <v>1401</v>
      </c>
      <c r="G357" s="1" t="s">
        <v>1402</v>
      </c>
      <c r="H357" s="1" t="s">
        <v>4856</v>
      </c>
      <c r="I357" s="18">
        <v>45931</v>
      </c>
      <c r="J357" s="18">
        <v>45931</v>
      </c>
      <c r="K357" s="18">
        <v>46661</v>
      </c>
      <c r="L357" s="18" t="s">
        <v>4734</v>
      </c>
      <c r="M357" s="2">
        <v>8200000</v>
      </c>
      <c r="N357" s="2">
        <v>8200000</v>
      </c>
      <c r="O357" s="2"/>
      <c r="P357" s="2" t="str">
        <f t="shared" si="20"/>
        <v/>
      </c>
      <c r="Q357" s="2"/>
      <c r="R357" s="2"/>
      <c r="S357" s="48"/>
      <c r="T357" s="2">
        <v>27060000</v>
      </c>
      <c r="U357" s="2">
        <v>0</v>
      </c>
      <c r="V357" s="1" t="s">
        <v>785</v>
      </c>
      <c r="W357" s="6" t="s">
        <v>786</v>
      </c>
      <c r="X357" s="1" t="s">
        <v>787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>
        <v>8200000</v>
      </c>
      <c r="AL357" s="3">
        <v>8200000</v>
      </c>
      <c r="AM357" s="3">
        <v>8200000</v>
      </c>
      <c r="AN357" s="3">
        <v>8200000</v>
      </c>
      <c r="AO357" s="3">
        <v>8200000</v>
      </c>
      <c r="AP357" s="3">
        <v>8200000</v>
      </c>
      <c r="AQ357" s="3"/>
      <c r="AR357" s="3"/>
      <c r="AS357" s="3"/>
      <c r="AT357" s="3"/>
      <c r="AU357" s="3"/>
      <c r="AV357" s="3"/>
      <c r="AW357" s="3">
        <f t="shared" si="21"/>
        <v>0</v>
      </c>
      <c r="AX357" s="3">
        <f t="shared" si="22"/>
        <v>49200000</v>
      </c>
      <c r="AY357" s="4">
        <f t="shared" si="23"/>
        <v>6</v>
      </c>
      <c r="AZ357" s="8" t="s">
        <v>5511</v>
      </c>
      <c r="BA357" s="4" t="s">
        <v>5727</v>
      </c>
      <c r="BB357" s="2"/>
      <c r="BC357" s="3"/>
      <c r="BD357" s="3"/>
    </row>
    <row r="358" spans="1:56" ht="16.8" customHeight="1">
      <c r="A358" s="1">
        <v>357</v>
      </c>
      <c r="B358" s="1" t="s">
        <v>42</v>
      </c>
      <c r="C358" s="1" t="s">
        <v>43</v>
      </c>
      <c r="D358" s="1" t="s">
        <v>1403</v>
      </c>
      <c r="E358" s="1" t="s">
        <v>1403</v>
      </c>
      <c r="F358" s="1" t="s">
        <v>1404</v>
      </c>
      <c r="G358" s="1" t="s">
        <v>1405</v>
      </c>
      <c r="H358" s="1" t="s">
        <v>4600</v>
      </c>
      <c r="I358" s="18">
        <v>45931</v>
      </c>
      <c r="J358" s="18">
        <v>45931</v>
      </c>
      <c r="K358" s="18" t="s">
        <v>4733</v>
      </c>
      <c r="L358" s="18" t="s">
        <v>4734</v>
      </c>
      <c r="M358" s="2">
        <v>7200000</v>
      </c>
      <c r="N358" s="2">
        <v>7200000</v>
      </c>
      <c r="O358" s="2"/>
      <c r="P358" s="2" t="str">
        <f t="shared" si="20"/>
        <v/>
      </c>
      <c r="Q358" s="2"/>
      <c r="R358" s="2"/>
      <c r="S358" s="48"/>
      <c r="T358" s="2">
        <v>21600000</v>
      </c>
      <c r="U358" s="2">
        <v>0</v>
      </c>
      <c r="V358" s="1" t="s">
        <v>1405</v>
      </c>
      <c r="W358" s="6" t="s">
        <v>1406</v>
      </c>
      <c r="X358" s="1" t="s">
        <v>481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>
        <v>7200000</v>
      </c>
      <c r="AI358" s="3">
        <v>7200000</v>
      </c>
      <c r="AJ358" s="3">
        <v>7200000</v>
      </c>
      <c r="AK358" s="3">
        <v>7200000</v>
      </c>
      <c r="AL358" s="3">
        <v>7200000</v>
      </c>
      <c r="AM358" s="3">
        <v>7200000</v>
      </c>
      <c r="AN358" s="3">
        <v>7200000</v>
      </c>
      <c r="AO358" s="3">
        <v>7200000</v>
      </c>
      <c r="AP358" s="3">
        <v>7200000</v>
      </c>
      <c r="AQ358" s="3"/>
      <c r="AR358" s="3"/>
      <c r="AS358" s="3"/>
      <c r="AT358" s="3"/>
      <c r="AU358" s="3"/>
      <c r="AV358" s="3"/>
      <c r="AW358" s="3">
        <f t="shared" si="21"/>
        <v>21600000</v>
      </c>
      <c r="AX358" s="3">
        <f t="shared" si="22"/>
        <v>43200000</v>
      </c>
      <c r="AY358" s="4">
        <f t="shared" si="23"/>
        <v>9</v>
      </c>
      <c r="AZ358" s="8" t="s">
        <v>5698</v>
      </c>
      <c r="BA358" s="4" t="s">
        <v>5727</v>
      </c>
      <c r="BB358" s="2"/>
      <c r="BC358" s="3"/>
      <c r="BD358" s="3"/>
    </row>
    <row r="359" spans="1:56" ht="16.8" customHeight="1">
      <c r="A359" s="1">
        <v>358</v>
      </c>
      <c r="B359" s="1" t="s">
        <v>42</v>
      </c>
      <c r="C359" s="1" t="s">
        <v>43</v>
      </c>
      <c r="D359" s="1" t="s">
        <v>1407</v>
      </c>
      <c r="E359" s="1" t="s">
        <v>1407</v>
      </c>
      <c r="F359" s="1" t="s">
        <v>1408</v>
      </c>
      <c r="G359" s="1" t="s">
        <v>73</v>
      </c>
      <c r="H359" s="1" t="s">
        <v>4476</v>
      </c>
      <c r="I359" s="18">
        <v>45931</v>
      </c>
      <c r="J359" s="18">
        <v>45931</v>
      </c>
      <c r="K359" s="18" t="s">
        <v>4737</v>
      </c>
      <c r="L359" s="18" t="s">
        <v>4734</v>
      </c>
      <c r="M359" s="2">
        <v>8200000</v>
      </c>
      <c r="N359" s="2">
        <v>8200000</v>
      </c>
      <c r="O359" s="2"/>
      <c r="P359" s="2" t="str">
        <f t="shared" si="20"/>
        <v/>
      </c>
      <c r="Q359" s="2"/>
      <c r="R359" s="2"/>
      <c r="S359" s="48"/>
      <c r="T359" s="2">
        <v>0</v>
      </c>
      <c r="U359" s="2">
        <v>0</v>
      </c>
      <c r="V359" s="1"/>
      <c r="W359" s="6"/>
      <c r="X359" s="1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>
        <v>8200000</v>
      </c>
      <c r="AL359" s="3">
        <v>8200000</v>
      </c>
      <c r="AM359" s="3">
        <v>8200000</v>
      </c>
      <c r="AN359" s="3">
        <v>8200000</v>
      </c>
      <c r="AO359" s="3">
        <v>8200000</v>
      </c>
      <c r="AP359" s="3">
        <v>8200000</v>
      </c>
      <c r="AQ359" s="3"/>
      <c r="AR359" s="3"/>
      <c r="AS359" s="3"/>
      <c r="AT359" s="3"/>
      <c r="AU359" s="3"/>
      <c r="AV359" s="3"/>
      <c r="AW359" s="3">
        <f t="shared" si="21"/>
        <v>0</v>
      </c>
      <c r="AX359" s="3">
        <f t="shared" si="22"/>
        <v>49200000</v>
      </c>
      <c r="AY359" s="4">
        <f t="shared" si="23"/>
        <v>6</v>
      </c>
      <c r="AZ359" s="8" t="s">
        <v>5486</v>
      </c>
      <c r="BA359" s="4" t="s">
        <v>5727</v>
      </c>
      <c r="BB359" s="2"/>
      <c r="BC359" s="3"/>
      <c r="BD359" s="3"/>
    </row>
    <row r="360" spans="1:56" ht="16.8" customHeight="1">
      <c r="A360" s="1">
        <v>359</v>
      </c>
      <c r="B360" s="1" t="s">
        <v>42</v>
      </c>
      <c r="C360" s="1" t="s">
        <v>185</v>
      </c>
      <c r="D360" s="1" t="s">
        <v>1409</v>
      </c>
      <c r="E360" s="1" t="s">
        <v>1409</v>
      </c>
      <c r="F360" s="1" t="s">
        <v>1410</v>
      </c>
      <c r="G360" s="1" t="s">
        <v>312</v>
      </c>
      <c r="H360" s="1" t="s">
        <v>4937</v>
      </c>
      <c r="I360" s="18">
        <v>45931</v>
      </c>
      <c r="J360" s="18">
        <v>45931</v>
      </c>
      <c r="K360" s="18" t="s">
        <v>4938</v>
      </c>
      <c r="L360" s="18" t="s">
        <v>4734</v>
      </c>
      <c r="M360" s="2">
        <v>8200000</v>
      </c>
      <c r="N360" s="2">
        <v>8200000</v>
      </c>
      <c r="O360" s="2"/>
      <c r="P360" s="2" t="str">
        <f t="shared" si="20"/>
        <v/>
      </c>
      <c r="Q360" s="2"/>
      <c r="R360" s="2"/>
      <c r="S360" s="48"/>
      <c r="T360" s="2">
        <v>27060000</v>
      </c>
      <c r="U360" s="2">
        <v>0</v>
      </c>
      <c r="V360" s="1" t="s">
        <v>312</v>
      </c>
      <c r="W360" s="6" t="s">
        <v>313</v>
      </c>
      <c r="X360" s="1" t="s">
        <v>314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>
        <v>8200000</v>
      </c>
      <c r="AL360" s="3">
        <v>8200000</v>
      </c>
      <c r="AM360" s="3">
        <v>8200000</v>
      </c>
      <c r="AN360" s="3">
        <v>8200000</v>
      </c>
      <c r="AO360" s="3">
        <v>8200000</v>
      </c>
      <c r="AP360" s="3">
        <v>8200000</v>
      </c>
      <c r="AQ360" s="3"/>
      <c r="AR360" s="3"/>
      <c r="AS360" s="3"/>
      <c r="AT360" s="3"/>
      <c r="AU360" s="3"/>
      <c r="AV360" s="3"/>
      <c r="AW360" s="3">
        <f t="shared" si="21"/>
        <v>0</v>
      </c>
      <c r="AX360" s="3">
        <f t="shared" si="22"/>
        <v>49200000</v>
      </c>
      <c r="AY360" s="4">
        <f t="shared" si="23"/>
        <v>6</v>
      </c>
      <c r="AZ360" s="8" t="s">
        <v>5484</v>
      </c>
      <c r="BA360" s="4" t="s">
        <v>5727</v>
      </c>
      <c r="BB360" s="2"/>
      <c r="BC360" s="3"/>
      <c r="BD360" s="3"/>
    </row>
    <row r="361" spans="1:56" ht="16.8" customHeight="1">
      <c r="A361" s="1">
        <v>360</v>
      </c>
      <c r="B361" s="1" t="s">
        <v>42</v>
      </c>
      <c r="C361" s="1" t="s">
        <v>185</v>
      </c>
      <c r="D361" s="1" t="s">
        <v>1411</v>
      </c>
      <c r="E361" s="1" t="s">
        <v>1411</v>
      </c>
      <c r="F361" s="1" t="s">
        <v>1412</v>
      </c>
      <c r="G361" s="1" t="s">
        <v>1413</v>
      </c>
      <c r="H361" s="1" t="s">
        <v>4939</v>
      </c>
      <c r="I361" s="18">
        <v>45931</v>
      </c>
      <c r="J361" s="18">
        <v>45931</v>
      </c>
      <c r="K361" s="18">
        <v>48122</v>
      </c>
      <c r="L361" s="18" t="s">
        <v>4734</v>
      </c>
      <c r="M361" s="2">
        <v>7200000</v>
      </c>
      <c r="N361" s="2">
        <v>7200000</v>
      </c>
      <c r="O361" s="2"/>
      <c r="P361" s="2" t="str">
        <f t="shared" si="20"/>
        <v/>
      </c>
      <c r="Q361" s="2"/>
      <c r="R361" s="2"/>
      <c r="S361" s="48"/>
      <c r="T361" s="2">
        <v>23760000</v>
      </c>
      <c r="U361" s="2">
        <v>0</v>
      </c>
      <c r="V361" s="1" t="s">
        <v>1413</v>
      </c>
      <c r="W361" s="6" t="s">
        <v>1414</v>
      </c>
      <c r="X361" s="1" t="s">
        <v>1415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>
        <v>7200000</v>
      </c>
      <c r="AL361" s="3">
        <v>7200000</v>
      </c>
      <c r="AM361" s="3">
        <v>7200000</v>
      </c>
      <c r="AN361" s="3">
        <v>7200000</v>
      </c>
      <c r="AO361" s="3">
        <v>7200000</v>
      </c>
      <c r="AP361" s="3">
        <v>7200000</v>
      </c>
      <c r="AQ361" s="3"/>
      <c r="AR361" s="3"/>
      <c r="AS361" s="3"/>
      <c r="AT361" s="3"/>
      <c r="AU361" s="3"/>
      <c r="AV361" s="3"/>
      <c r="AW361" s="3">
        <f t="shared" si="21"/>
        <v>0</v>
      </c>
      <c r="AX361" s="3">
        <f t="shared" si="22"/>
        <v>43200000</v>
      </c>
      <c r="AY361" s="4">
        <f t="shared" si="23"/>
        <v>6</v>
      </c>
      <c r="AZ361" s="8" t="s">
        <v>5484</v>
      </c>
      <c r="BA361" s="4" t="s">
        <v>5733</v>
      </c>
      <c r="BB361" s="2"/>
      <c r="BC361" s="3"/>
      <c r="BD361" s="3"/>
    </row>
    <row r="362" spans="1:56" ht="16.8" customHeight="1">
      <c r="A362" s="1">
        <v>361</v>
      </c>
      <c r="B362" s="1" t="s">
        <v>42</v>
      </c>
      <c r="C362" s="1" t="s">
        <v>43</v>
      </c>
      <c r="D362" s="1" t="s">
        <v>1416</v>
      </c>
      <c r="E362" s="1" t="s">
        <v>1416</v>
      </c>
      <c r="F362" s="1" t="s">
        <v>1417</v>
      </c>
      <c r="G362" s="1" t="s">
        <v>975</v>
      </c>
      <c r="H362" s="1" t="s">
        <v>4940</v>
      </c>
      <c r="I362" s="18">
        <v>45931</v>
      </c>
      <c r="J362" s="18">
        <v>45931</v>
      </c>
      <c r="K362" s="18" t="s">
        <v>4770</v>
      </c>
      <c r="L362" s="18" t="s">
        <v>4734</v>
      </c>
      <c r="M362" s="2">
        <v>8200000</v>
      </c>
      <c r="N362" s="2">
        <v>8200000</v>
      </c>
      <c r="O362" s="2"/>
      <c r="P362" s="2" t="str">
        <f t="shared" si="20"/>
        <v/>
      </c>
      <c r="Q362" s="2"/>
      <c r="R362" s="2"/>
      <c r="S362" s="48"/>
      <c r="T362" s="2">
        <v>27060000</v>
      </c>
      <c r="U362" s="2">
        <v>0</v>
      </c>
      <c r="V362" s="1" t="s">
        <v>975</v>
      </c>
      <c r="W362" s="6" t="s">
        <v>976</v>
      </c>
      <c r="X362" s="1" t="s">
        <v>977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>
        <v>8200000</v>
      </c>
      <c r="AL362" s="3">
        <v>8200000</v>
      </c>
      <c r="AM362" s="3">
        <v>8200000</v>
      </c>
      <c r="AN362" s="3">
        <v>8200000</v>
      </c>
      <c r="AO362" s="3">
        <v>8200000</v>
      </c>
      <c r="AP362" s="3">
        <v>8200000</v>
      </c>
      <c r="AQ362" s="3"/>
      <c r="AR362" s="3"/>
      <c r="AS362" s="3"/>
      <c r="AT362" s="3"/>
      <c r="AU362" s="3"/>
      <c r="AV362" s="3"/>
      <c r="AW362" s="3">
        <f t="shared" si="21"/>
        <v>0</v>
      </c>
      <c r="AX362" s="3">
        <f t="shared" si="22"/>
        <v>49200000</v>
      </c>
      <c r="AY362" s="4">
        <f t="shared" si="23"/>
        <v>6</v>
      </c>
      <c r="AZ362" s="8" t="s">
        <v>5484</v>
      </c>
      <c r="BA362" s="4" t="s">
        <v>5727</v>
      </c>
      <c r="BB362" s="2"/>
      <c r="BC362" s="3"/>
      <c r="BD362" s="3"/>
    </row>
    <row r="363" spans="1:56" ht="16.8" customHeight="1">
      <c r="A363" s="1">
        <v>362</v>
      </c>
      <c r="B363" s="1" t="s">
        <v>42</v>
      </c>
      <c r="C363" s="1" t="s">
        <v>47</v>
      </c>
      <c r="D363" s="1" t="s">
        <v>1418</v>
      </c>
      <c r="E363" s="1" t="s">
        <v>1418</v>
      </c>
      <c r="F363" s="1" t="s">
        <v>1419</v>
      </c>
      <c r="G363" s="1" t="s">
        <v>1420</v>
      </c>
      <c r="H363" s="1" t="s">
        <v>4601</v>
      </c>
      <c r="I363" s="18">
        <v>45931</v>
      </c>
      <c r="J363" s="18">
        <v>45931</v>
      </c>
      <c r="K363" s="18" t="s">
        <v>4789</v>
      </c>
      <c r="L363" s="18" t="s">
        <v>4734</v>
      </c>
      <c r="M363" s="2">
        <v>1500000</v>
      </c>
      <c r="N363" s="2">
        <v>1500000</v>
      </c>
      <c r="O363" s="2"/>
      <c r="P363" s="2" t="str">
        <f t="shared" si="20"/>
        <v/>
      </c>
      <c r="Q363" s="2"/>
      <c r="R363" s="2"/>
      <c r="S363" s="48"/>
      <c r="T363" s="2">
        <v>4500000</v>
      </c>
      <c r="U363" s="2">
        <v>0</v>
      </c>
      <c r="V363" s="1" t="s">
        <v>1420</v>
      </c>
      <c r="W363" s="6" t="s">
        <v>1421</v>
      </c>
      <c r="X363" s="1" t="s">
        <v>1422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>
        <v>1500000</v>
      </c>
      <c r="AI363" s="3">
        <v>1500000</v>
      </c>
      <c r="AJ363" s="3">
        <v>1500000</v>
      </c>
      <c r="AK363" s="3">
        <v>1500000</v>
      </c>
      <c r="AL363" s="3">
        <v>1500000</v>
      </c>
      <c r="AM363" s="3">
        <v>1500000</v>
      </c>
      <c r="AN363" s="3">
        <v>1500000</v>
      </c>
      <c r="AO363" s="3">
        <v>1500000</v>
      </c>
      <c r="AP363" s="3">
        <v>1500000</v>
      </c>
      <c r="AQ363" s="3"/>
      <c r="AR363" s="3"/>
      <c r="AS363" s="3"/>
      <c r="AT363" s="3"/>
      <c r="AU363" s="3"/>
      <c r="AV363" s="3"/>
      <c r="AW363" s="3">
        <f t="shared" si="21"/>
        <v>4500000</v>
      </c>
      <c r="AX363" s="3">
        <f t="shared" si="22"/>
        <v>9000000</v>
      </c>
      <c r="AY363" s="4">
        <f t="shared" si="23"/>
        <v>9</v>
      </c>
      <c r="AZ363" s="8" t="s">
        <v>5537</v>
      </c>
      <c r="BA363" s="4" t="s">
        <v>5726</v>
      </c>
      <c r="BB363" s="2"/>
      <c r="BC363" s="3"/>
      <c r="BD363" s="3"/>
    </row>
    <row r="364" spans="1:56" ht="16.8" customHeight="1">
      <c r="A364" s="1">
        <v>363</v>
      </c>
      <c r="B364" s="1" t="s">
        <v>42</v>
      </c>
      <c r="C364" s="1" t="s">
        <v>47</v>
      </c>
      <c r="D364" s="1" t="s">
        <v>1423</v>
      </c>
      <c r="E364" s="1" t="s">
        <v>1423</v>
      </c>
      <c r="F364" s="1" t="s">
        <v>1424</v>
      </c>
      <c r="G364" s="1" t="s">
        <v>1425</v>
      </c>
      <c r="H364" s="1" t="s">
        <v>4889</v>
      </c>
      <c r="I364" s="18">
        <v>45931</v>
      </c>
      <c r="J364" s="18">
        <v>45931</v>
      </c>
      <c r="K364" s="18" t="s">
        <v>4884</v>
      </c>
      <c r="L364" s="18" t="s">
        <v>4734</v>
      </c>
      <c r="M364" s="2">
        <v>2000000</v>
      </c>
      <c r="N364" s="2">
        <v>2000000</v>
      </c>
      <c r="O364" s="2"/>
      <c r="P364" s="2" t="str">
        <f t="shared" si="20"/>
        <v/>
      </c>
      <c r="Q364" s="2"/>
      <c r="R364" s="2"/>
      <c r="S364" s="48"/>
      <c r="T364" s="2">
        <v>6000000</v>
      </c>
      <c r="U364" s="2">
        <v>0</v>
      </c>
      <c r="V364" s="1" t="s">
        <v>1426</v>
      </c>
      <c r="W364" s="6" t="s">
        <v>1427</v>
      </c>
      <c r="X364" s="1" t="s">
        <v>677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>
        <v>2000000</v>
      </c>
      <c r="AI364" s="3">
        <v>2000000</v>
      </c>
      <c r="AJ364" s="3">
        <v>2000000</v>
      </c>
      <c r="AK364" s="3">
        <v>2000000</v>
      </c>
      <c r="AL364" s="3">
        <v>2000000</v>
      </c>
      <c r="AM364" s="3">
        <v>2000000</v>
      </c>
      <c r="AN364" s="3">
        <v>2000000</v>
      </c>
      <c r="AO364" s="3">
        <v>2000000</v>
      </c>
      <c r="AP364" s="3">
        <v>2000000</v>
      </c>
      <c r="AQ364" s="3"/>
      <c r="AR364" s="3"/>
      <c r="AS364" s="3"/>
      <c r="AT364" s="3"/>
      <c r="AU364" s="3"/>
      <c r="AV364" s="3"/>
      <c r="AW364" s="3">
        <f t="shared" si="21"/>
        <v>6000000</v>
      </c>
      <c r="AX364" s="3">
        <f t="shared" si="22"/>
        <v>12000000</v>
      </c>
      <c r="AY364" s="4">
        <f t="shared" si="23"/>
        <v>9</v>
      </c>
      <c r="AZ364" s="8" t="s">
        <v>5538</v>
      </c>
      <c r="BA364" s="4" t="s">
        <v>5726</v>
      </c>
      <c r="BB364" s="2"/>
      <c r="BC364" s="3"/>
      <c r="BD364" s="3"/>
    </row>
    <row r="365" spans="1:56" ht="16.8" customHeight="1">
      <c r="A365" s="1">
        <v>364</v>
      </c>
      <c r="B365" s="1" t="s">
        <v>42</v>
      </c>
      <c r="C365" s="1" t="s">
        <v>185</v>
      </c>
      <c r="D365" s="1" t="s">
        <v>1428</v>
      </c>
      <c r="E365" s="1" t="s">
        <v>1428</v>
      </c>
      <c r="F365" s="1" t="s">
        <v>1429</v>
      </c>
      <c r="G365" s="1" t="s">
        <v>1430</v>
      </c>
      <c r="H365" s="1" t="s">
        <v>4602</v>
      </c>
      <c r="I365" s="18">
        <v>45931</v>
      </c>
      <c r="J365" s="18">
        <v>45931</v>
      </c>
      <c r="K365" s="18" t="s">
        <v>4935</v>
      </c>
      <c r="L365" s="18"/>
      <c r="M365" s="2">
        <v>300000</v>
      </c>
      <c r="N365" s="2">
        <v>1000000</v>
      </c>
      <c r="O365" s="2">
        <v>1000000</v>
      </c>
      <c r="P365" s="2">
        <f t="shared" si="20"/>
        <v>700000</v>
      </c>
      <c r="Q365" s="2"/>
      <c r="R365" s="2"/>
      <c r="S365" s="48"/>
      <c r="T365" s="2">
        <v>900000</v>
      </c>
      <c r="U365" s="2">
        <v>0</v>
      </c>
      <c r="V365" s="1" t="s">
        <v>633</v>
      </c>
      <c r="W365" s="6" t="s">
        <v>634</v>
      </c>
      <c r="X365" s="1" t="s">
        <v>635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>
        <v>300000</v>
      </c>
      <c r="AI365" s="3">
        <v>300000</v>
      </c>
      <c r="AJ365" s="3">
        <v>300000</v>
      </c>
      <c r="AK365" s="3">
        <v>300000</v>
      </c>
      <c r="AL365" s="3">
        <v>300000</v>
      </c>
      <c r="AM365" s="3">
        <v>300000</v>
      </c>
      <c r="AN365" s="3">
        <v>300000</v>
      </c>
      <c r="AO365" s="3">
        <v>300000</v>
      </c>
      <c r="AP365" s="3">
        <v>300000</v>
      </c>
      <c r="AQ365" s="3"/>
      <c r="AR365" s="3"/>
      <c r="AS365" s="3"/>
      <c r="AT365" s="3"/>
      <c r="AU365" s="3"/>
      <c r="AV365" s="3"/>
      <c r="AW365" s="3">
        <f t="shared" si="21"/>
        <v>900000</v>
      </c>
      <c r="AX365" s="3">
        <f t="shared" si="22"/>
        <v>1800000</v>
      </c>
      <c r="AY365" s="4">
        <f t="shared" si="23"/>
        <v>9</v>
      </c>
      <c r="BA365" s="4" t="s">
        <v>5715</v>
      </c>
      <c r="BB365" s="2"/>
      <c r="BC365" s="3"/>
      <c r="BD365" s="3"/>
    </row>
    <row r="366" spans="1:56" ht="16.8" customHeight="1">
      <c r="A366" s="1">
        <v>365</v>
      </c>
      <c r="B366" s="1" t="s">
        <v>42</v>
      </c>
      <c r="C366" s="1" t="s">
        <v>185</v>
      </c>
      <c r="D366" s="1" t="s">
        <v>1431</v>
      </c>
      <c r="E366" s="1" t="s">
        <v>1431</v>
      </c>
      <c r="F366" s="1" t="s">
        <v>1432</v>
      </c>
      <c r="G366" s="1" t="s">
        <v>1433</v>
      </c>
      <c r="H366" s="1" t="s">
        <v>4941</v>
      </c>
      <c r="I366" s="18">
        <v>45931</v>
      </c>
      <c r="J366" s="18">
        <v>45931</v>
      </c>
      <c r="K366" s="18" t="s">
        <v>4942</v>
      </c>
      <c r="L366" s="18" t="s">
        <v>4734</v>
      </c>
      <c r="M366" s="2">
        <v>400000</v>
      </c>
      <c r="N366" s="2">
        <v>400000</v>
      </c>
      <c r="O366" s="2"/>
      <c r="P366" s="2" t="str">
        <f t="shared" si="20"/>
        <v/>
      </c>
      <c r="Q366" s="2"/>
      <c r="R366" s="2"/>
      <c r="S366" s="48"/>
      <c r="T366" s="2">
        <v>0</v>
      </c>
      <c r="U366" s="2">
        <v>0</v>
      </c>
      <c r="V366" s="1"/>
      <c r="W366" s="6"/>
      <c r="X366" s="1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>
        <v>400000</v>
      </c>
      <c r="AL366" s="3">
        <v>400000</v>
      </c>
      <c r="AM366" s="3">
        <v>400000</v>
      </c>
      <c r="AN366" s="3">
        <v>400000</v>
      </c>
      <c r="AO366" s="3">
        <v>400000</v>
      </c>
      <c r="AP366" s="3">
        <v>400000</v>
      </c>
      <c r="AQ366" s="3"/>
      <c r="AR366" s="3"/>
      <c r="AS366" s="3"/>
      <c r="AT366" s="3"/>
      <c r="AU366" s="3"/>
      <c r="AV366" s="3"/>
      <c r="AW366" s="3">
        <f t="shared" si="21"/>
        <v>0</v>
      </c>
      <c r="AX366" s="3">
        <f t="shared" si="22"/>
        <v>2400000</v>
      </c>
      <c r="AY366" s="4">
        <f t="shared" si="23"/>
        <v>6</v>
      </c>
      <c r="AZ366" s="8" t="s">
        <v>5539</v>
      </c>
      <c r="BA366" s="4" t="s">
        <v>5715</v>
      </c>
      <c r="BB366" s="2"/>
      <c r="BC366" s="3"/>
      <c r="BD366" s="3"/>
    </row>
    <row r="367" spans="1:56" ht="16.8" customHeight="1">
      <c r="A367" s="1">
        <v>366</v>
      </c>
      <c r="B367" s="1" t="s">
        <v>42</v>
      </c>
      <c r="C367" s="1" t="s">
        <v>43</v>
      </c>
      <c r="D367" s="1" t="s">
        <v>1434</v>
      </c>
      <c r="E367" s="1" t="s">
        <v>1434</v>
      </c>
      <c r="F367" s="1" t="s">
        <v>1435</v>
      </c>
      <c r="G367" s="1" t="s">
        <v>975</v>
      </c>
      <c r="H367" s="1" t="s">
        <v>4940</v>
      </c>
      <c r="I367" s="18">
        <v>45931</v>
      </c>
      <c r="J367" s="18">
        <v>45931</v>
      </c>
      <c r="K367" s="18" t="s">
        <v>4770</v>
      </c>
      <c r="L367" s="18" t="s">
        <v>4734</v>
      </c>
      <c r="M367" s="2">
        <v>8200000</v>
      </c>
      <c r="N367" s="2">
        <v>8200000</v>
      </c>
      <c r="O367" s="2"/>
      <c r="P367" s="2" t="str">
        <f t="shared" si="20"/>
        <v/>
      </c>
      <c r="Q367" s="2"/>
      <c r="R367" s="2"/>
      <c r="S367" s="48"/>
      <c r="T367" s="2">
        <v>27060000</v>
      </c>
      <c r="U367" s="2">
        <v>0</v>
      </c>
      <c r="V367" s="1" t="s">
        <v>975</v>
      </c>
      <c r="W367" s="6" t="s">
        <v>976</v>
      </c>
      <c r="X367" s="1" t="s">
        <v>977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>
        <v>8200000</v>
      </c>
      <c r="AL367" s="3">
        <v>8200000</v>
      </c>
      <c r="AM367" s="3">
        <v>8200000</v>
      </c>
      <c r="AN367" s="3">
        <v>8200000</v>
      </c>
      <c r="AO367" s="3">
        <v>8200000</v>
      </c>
      <c r="AP367" s="3">
        <v>8200000</v>
      </c>
      <c r="AQ367" s="3"/>
      <c r="AR367" s="3"/>
      <c r="AS367" s="3"/>
      <c r="AT367" s="3"/>
      <c r="AU367" s="3"/>
      <c r="AV367" s="3"/>
      <c r="AW367" s="3">
        <f t="shared" si="21"/>
        <v>0</v>
      </c>
      <c r="AX367" s="3">
        <f t="shared" si="22"/>
        <v>49200000</v>
      </c>
      <c r="AY367" s="4">
        <f t="shared" si="23"/>
        <v>6</v>
      </c>
      <c r="AZ367" s="8" t="s">
        <v>5484</v>
      </c>
      <c r="BA367" s="4" t="s">
        <v>5727</v>
      </c>
      <c r="BB367" s="2"/>
      <c r="BC367" s="3"/>
      <c r="BD367" s="3"/>
    </row>
    <row r="368" spans="1:56" ht="16.8" customHeight="1">
      <c r="A368" s="1">
        <v>367</v>
      </c>
      <c r="B368" s="1" t="s">
        <v>42</v>
      </c>
      <c r="C368" s="1" t="s">
        <v>47</v>
      </c>
      <c r="D368" s="1" t="s">
        <v>1436</v>
      </c>
      <c r="E368" s="1" t="s">
        <v>1436</v>
      </c>
      <c r="F368" s="1" t="s">
        <v>1437</v>
      </c>
      <c r="G368" s="1" t="s">
        <v>1438</v>
      </c>
      <c r="H368" s="1" t="s">
        <v>4943</v>
      </c>
      <c r="I368" s="18">
        <v>45931</v>
      </c>
      <c r="J368" s="18">
        <v>45931</v>
      </c>
      <c r="K368" s="18" t="s">
        <v>4742</v>
      </c>
      <c r="L368" s="18" t="s">
        <v>4734</v>
      </c>
      <c r="M368" s="2">
        <v>500000</v>
      </c>
      <c r="N368" s="2">
        <v>500000</v>
      </c>
      <c r="O368" s="2"/>
      <c r="P368" s="2" t="str">
        <f t="shared" si="20"/>
        <v/>
      </c>
      <c r="Q368" s="2"/>
      <c r="R368" s="2"/>
      <c r="S368" s="48"/>
      <c r="T368" s="2">
        <v>1500000</v>
      </c>
      <c r="U368" s="2">
        <v>0</v>
      </c>
      <c r="V368" s="1" t="s">
        <v>1438</v>
      </c>
      <c r="W368" s="6" t="s">
        <v>1439</v>
      </c>
      <c r="X368" s="1" t="s">
        <v>333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>
        <v>500000</v>
      </c>
      <c r="AI368" s="3">
        <v>500000</v>
      </c>
      <c r="AJ368" s="3">
        <v>500000</v>
      </c>
      <c r="AK368" s="3">
        <v>500000</v>
      </c>
      <c r="AL368" s="3">
        <v>500000</v>
      </c>
      <c r="AM368" s="3">
        <v>500000</v>
      </c>
      <c r="AN368" s="3">
        <v>500000</v>
      </c>
      <c r="AO368" s="3">
        <v>500000</v>
      </c>
      <c r="AP368" s="3">
        <v>500000</v>
      </c>
      <c r="AQ368" s="3"/>
      <c r="AR368" s="3"/>
      <c r="AS368" s="3"/>
      <c r="AT368" s="3"/>
      <c r="AU368" s="3"/>
      <c r="AV368" s="3"/>
      <c r="AW368" s="3">
        <f t="shared" si="21"/>
        <v>1500000</v>
      </c>
      <c r="AX368" s="3">
        <f t="shared" si="22"/>
        <v>3000000</v>
      </c>
      <c r="AY368" s="4">
        <f t="shared" si="23"/>
        <v>9</v>
      </c>
      <c r="AZ368" s="8" t="s">
        <v>5699</v>
      </c>
      <c r="BA368" s="4" t="s">
        <v>5726</v>
      </c>
      <c r="BB368" s="2"/>
      <c r="BC368" s="3"/>
      <c r="BD368" s="3"/>
    </row>
    <row r="369" spans="1:56" ht="16.8" customHeight="1">
      <c r="A369" s="1">
        <v>368</v>
      </c>
      <c r="B369" s="1" t="s">
        <v>42</v>
      </c>
      <c r="C369" s="1" t="s">
        <v>47</v>
      </c>
      <c r="D369" s="1" t="s">
        <v>1440</v>
      </c>
      <c r="E369" s="1" t="s">
        <v>1440</v>
      </c>
      <c r="F369" s="1" t="s">
        <v>1441</v>
      </c>
      <c r="G369" s="1" t="s">
        <v>1442</v>
      </c>
      <c r="H369" s="1" t="s">
        <v>4944</v>
      </c>
      <c r="I369" s="18">
        <v>45931</v>
      </c>
      <c r="J369" s="18">
        <v>45931</v>
      </c>
      <c r="K369" s="18" t="s">
        <v>4737</v>
      </c>
      <c r="L369" s="18" t="s">
        <v>4734</v>
      </c>
      <c r="M369" s="2">
        <v>300000</v>
      </c>
      <c r="N369" s="2">
        <v>300000</v>
      </c>
      <c r="O369" s="2"/>
      <c r="P369" s="2" t="str">
        <f t="shared" si="20"/>
        <v/>
      </c>
      <c r="Q369" s="2"/>
      <c r="R369" s="2"/>
      <c r="S369" s="48"/>
      <c r="T369" s="2">
        <v>900000</v>
      </c>
      <c r="U369" s="2">
        <v>0</v>
      </c>
      <c r="V369" s="1" t="s">
        <v>1442</v>
      </c>
      <c r="W369" s="6" t="s">
        <v>1443</v>
      </c>
      <c r="X369" s="1" t="s">
        <v>1444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>
        <v>300000</v>
      </c>
      <c r="AI369" s="3">
        <v>300000</v>
      </c>
      <c r="AJ369" s="3">
        <v>300000</v>
      </c>
      <c r="AK369" s="3">
        <v>300000</v>
      </c>
      <c r="AL369" s="3">
        <v>300000</v>
      </c>
      <c r="AM369" s="3">
        <v>300000</v>
      </c>
      <c r="AN369" s="3">
        <v>300000</v>
      </c>
      <c r="AO369" s="3">
        <v>300000</v>
      </c>
      <c r="AP369" s="3">
        <v>300000</v>
      </c>
      <c r="AQ369" s="3"/>
      <c r="AR369" s="3"/>
      <c r="AS369" s="3"/>
      <c r="AT369" s="3"/>
      <c r="AU369" s="3"/>
      <c r="AV369" s="3"/>
      <c r="AW369" s="3">
        <f t="shared" si="21"/>
        <v>900000</v>
      </c>
      <c r="AX369" s="3">
        <f t="shared" si="22"/>
        <v>1800000</v>
      </c>
      <c r="AY369" s="4">
        <f t="shared" si="23"/>
        <v>9</v>
      </c>
      <c r="AZ369" s="8" t="s">
        <v>5489</v>
      </c>
      <c r="BA369" s="4" t="s">
        <v>5726</v>
      </c>
      <c r="BB369" s="2"/>
      <c r="BC369" s="3"/>
      <c r="BD369" s="3"/>
    </row>
    <row r="370" spans="1:56" ht="16.8" customHeight="1">
      <c r="A370" s="1">
        <v>369</v>
      </c>
      <c r="B370" s="1" t="s">
        <v>42</v>
      </c>
      <c r="C370" s="1" t="s">
        <v>185</v>
      </c>
      <c r="D370" s="1" t="s">
        <v>1445</v>
      </c>
      <c r="E370" s="1" t="s">
        <v>1445</v>
      </c>
      <c r="F370" s="1" t="s">
        <v>1446</v>
      </c>
      <c r="G370" s="1" t="s">
        <v>1447</v>
      </c>
      <c r="H370" s="1" t="s">
        <v>4945</v>
      </c>
      <c r="I370" s="18">
        <v>45931</v>
      </c>
      <c r="J370" s="18">
        <v>45931</v>
      </c>
      <c r="K370" s="18" t="s">
        <v>4785</v>
      </c>
      <c r="L370" s="18" t="s">
        <v>4734</v>
      </c>
      <c r="M370" s="2">
        <v>500000</v>
      </c>
      <c r="N370" s="2">
        <v>500000</v>
      </c>
      <c r="O370" s="2"/>
      <c r="P370" s="2" t="str">
        <f t="shared" si="20"/>
        <v/>
      </c>
      <c r="Q370" s="2"/>
      <c r="R370" s="2"/>
      <c r="S370" s="48"/>
      <c r="T370" s="2">
        <v>0</v>
      </c>
      <c r="U370" s="2">
        <v>0</v>
      </c>
      <c r="V370" s="1"/>
      <c r="W370" s="6"/>
      <c r="X370" s="1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>
        <v>500000</v>
      </c>
      <c r="AL370" s="3">
        <v>500000</v>
      </c>
      <c r="AM370" s="3">
        <v>500000</v>
      </c>
      <c r="AN370" s="3">
        <v>500000</v>
      </c>
      <c r="AO370" s="3">
        <v>500000</v>
      </c>
      <c r="AP370" s="3">
        <v>500000</v>
      </c>
      <c r="AQ370" s="3"/>
      <c r="AR370" s="3"/>
      <c r="AS370" s="3"/>
      <c r="AT370" s="3"/>
      <c r="AU370" s="3"/>
      <c r="AV370" s="3"/>
      <c r="AW370" s="3">
        <f t="shared" si="21"/>
        <v>0</v>
      </c>
      <c r="AX370" s="3">
        <f t="shared" si="22"/>
        <v>3000000</v>
      </c>
      <c r="AY370" s="4">
        <f t="shared" si="23"/>
        <v>6</v>
      </c>
      <c r="AZ370" s="8">
        <v>0</v>
      </c>
      <c r="BA370" s="4" t="s">
        <v>5715</v>
      </c>
      <c r="BB370" s="2"/>
      <c r="BC370" s="3"/>
      <c r="BD370" s="3"/>
    </row>
    <row r="371" spans="1:56" ht="16.8" customHeight="1">
      <c r="A371" s="1">
        <v>370</v>
      </c>
      <c r="B371" s="1" t="s">
        <v>42</v>
      </c>
      <c r="C371" s="1" t="s">
        <v>185</v>
      </c>
      <c r="D371" s="1" t="s">
        <v>1448</v>
      </c>
      <c r="E371" s="1" t="s">
        <v>1448</v>
      </c>
      <c r="F371" s="1" t="s">
        <v>1449</v>
      </c>
      <c r="G371" s="1" t="s">
        <v>1450</v>
      </c>
      <c r="H371" s="1" t="s">
        <v>4946</v>
      </c>
      <c r="I371" s="18">
        <v>45931</v>
      </c>
      <c r="J371" s="18">
        <v>45931</v>
      </c>
      <c r="K371" s="18" t="s">
        <v>4777</v>
      </c>
      <c r="L371" s="18"/>
      <c r="M371" s="2">
        <v>600000</v>
      </c>
      <c r="N371" s="2">
        <v>600000</v>
      </c>
      <c r="O371" s="2"/>
      <c r="P371" s="2" t="str">
        <f t="shared" si="20"/>
        <v/>
      </c>
      <c r="Q371" s="2"/>
      <c r="R371" s="2"/>
      <c r="S371" s="48"/>
      <c r="T371" s="2">
        <v>0</v>
      </c>
      <c r="U371" s="2">
        <v>0</v>
      </c>
      <c r="V371" s="1"/>
      <c r="W371" s="6"/>
      <c r="X371" s="1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>
        <v>500000</v>
      </c>
      <c r="AL371" s="3">
        <v>500000</v>
      </c>
      <c r="AM371" s="3">
        <v>500000</v>
      </c>
      <c r="AN371" s="3">
        <v>500000</v>
      </c>
      <c r="AO371" s="3">
        <v>500000</v>
      </c>
      <c r="AP371" s="3">
        <v>500000</v>
      </c>
      <c r="AQ371" s="3"/>
      <c r="AR371" s="3"/>
      <c r="AS371" s="3"/>
      <c r="AT371" s="3"/>
      <c r="AU371" s="3"/>
      <c r="AV371" s="3"/>
      <c r="AW371" s="3">
        <f t="shared" si="21"/>
        <v>0</v>
      </c>
      <c r="AX371" s="3">
        <f t="shared" si="22"/>
        <v>3000000</v>
      </c>
      <c r="AY371" s="4">
        <f t="shared" si="23"/>
        <v>6</v>
      </c>
      <c r="BA371" s="4" t="s">
        <v>5715</v>
      </c>
      <c r="BB371" s="2"/>
      <c r="BC371" s="3"/>
      <c r="BD371" s="3"/>
    </row>
    <row r="372" spans="1:56" ht="16.8" customHeight="1">
      <c r="A372" s="1">
        <v>371</v>
      </c>
      <c r="B372" s="1" t="s">
        <v>42</v>
      </c>
      <c r="C372" s="1" t="s">
        <v>185</v>
      </c>
      <c r="D372" s="1" t="s">
        <v>1451</v>
      </c>
      <c r="E372" s="1" t="s">
        <v>1451</v>
      </c>
      <c r="F372" s="1" t="s">
        <v>1452</v>
      </c>
      <c r="G372" s="1" t="s">
        <v>1453</v>
      </c>
      <c r="H372" s="1" t="s">
        <v>4947</v>
      </c>
      <c r="I372" s="18" t="s">
        <v>4783</v>
      </c>
      <c r="J372" s="18" t="s">
        <v>4783</v>
      </c>
      <c r="K372" s="18" t="s">
        <v>4948</v>
      </c>
      <c r="L372" s="18" t="s">
        <v>4734</v>
      </c>
      <c r="M372" s="2">
        <v>400000</v>
      </c>
      <c r="N372" s="2">
        <v>400000</v>
      </c>
      <c r="O372" s="2"/>
      <c r="P372" s="2" t="str">
        <f t="shared" si="20"/>
        <v/>
      </c>
      <c r="Q372" s="2"/>
      <c r="R372" s="2"/>
      <c r="S372" s="48"/>
      <c r="T372" s="2">
        <v>0</v>
      </c>
      <c r="U372" s="2">
        <v>0</v>
      </c>
      <c r="V372" s="1"/>
      <c r="W372" s="6"/>
      <c r="X372" s="1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>
        <v>400000</v>
      </c>
      <c r="AL372" s="3">
        <v>400000</v>
      </c>
      <c r="AM372" s="3">
        <v>400000</v>
      </c>
      <c r="AN372" s="3">
        <v>400000</v>
      </c>
      <c r="AO372" s="3">
        <v>400000</v>
      </c>
      <c r="AP372" s="3">
        <v>400000</v>
      </c>
      <c r="AQ372" s="3"/>
      <c r="AR372" s="3"/>
      <c r="AS372" s="3"/>
      <c r="AT372" s="3"/>
      <c r="AU372" s="3"/>
      <c r="AV372" s="3"/>
      <c r="AW372" s="3">
        <f t="shared" si="21"/>
        <v>0</v>
      </c>
      <c r="AX372" s="3">
        <f t="shared" si="22"/>
        <v>2400000</v>
      </c>
      <c r="AY372" s="4">
        <f t="shared" si="23"/>
        <v>6</v>
      </c>
      <c r="AZ372" s="8" t="s">
        <v>5540</v>
      </c>
      <c r="BA372" s="4" t="s">
        <v>5715</v>
      </c>
      <c r="BB372" s="2"/>
      <c r="BC372" s="3"/>
      <c r="BD372" s="3"/>
    </row>
    <row r="373" spans="1:56" ht="16.8" customHeight="1">
      <c r="A373" s="1">
        <v>372</v>
      </c>
      <c r="B373" s="1" t="s">
        <v>42</v>
      </c>
      <c r="C373" s="1" t="s">
        <v>43</v>
      </c>
      <c r="D373" s="1" t="s">
        <v>1454</v>
      </c>
      <c r="E373" s="1" t="s">
        <v>1454</v>
      </c>
      <c r="F373" s="1" t="s">
        <v>1455</v>
      </c>
      <c r="G373" s="1" t="s">
        <v>975</v>
      </c>
      <c r="H373" s="1" t="s">
        <v>4940</v>
      </c>
      <c r="I373" s="18">
        <v>45931</v>
      </c>
      <c r="J373" s="18">
        <v>45931</v>
      </c>
      <c r="K373" s="18" t="s">
        <v>4770</v>
      </c>
      <c r="L373" s="18" t="s">
        <v>4734</v>
      </c>
      <c r="M373" s="2">
        <v>8200000</v>
      </c>
      <c r="N373" s="2">
        <v>8200000</v>
      </c>
      <c r="O373" s="2"/>
      <c r="P373" s="2" t="str">
        <f t="shared" si="20"/>
        <v/>
      </c>
      <c r="Q373" s="2"/>
      <c r="R373" s="2"/>
      <c r="S373" s="48"/>
      <c r="T373" s="2">
        <v>27060000</v>
      </c>
      <c r="U373" s="2">
        <v>0</v>
      </c>
      <c r="V373" s="1" t="s">
        <v>975</v>
      </c>
      <c r="W373" s="6" t="s">
        <v>976</v>
      </c>
      <c r="X373" s="1" t="s">
        <v>977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>
        <v>8200000</v>
      </c>
      <c r="AL373" s="3">
        <v>8200000</v>
      </c>
      <c r="AM373" s="3">
        <v>8200000</v>
      </c>
      <c r="AN373" s="3">
        <v>8200000</v>
      </c>
      <c r="AO373" s="3">
        <v>8200000</v>
      </c>
      <c r="AP373" s="3">
        <v>8200000</v>
      </c>
      <c r="AQ373" s="3"/>
      <c r="AR373" s="3"/>
      <c r="AS373" s="3"/>
      <c r="AT373" s="3"/>
      <c r="AU373" s="3"/>
      <c r="AV373" s="3"/>
      <c r="AW373" s="3">
        <f t="shared" si="21"/>
        <v>0</v>
      </c>
      <c r="AX373" s="3">
        <f t="shared" si="22"/>
        <v>49200000</v>
      </c>
      <c r="AY373" s="4">
        <f t="shared" si="23"/>
        <v>6</v>
      </c>
      <c r="AZ373" s="8" t="s">
        <v>5484</v>
      </c>
      <c r="BA373" s="4" t="s">
        <v>5727</v>
      </c>
      <c r="BB373" s="2"/>
      <c r="BC373" s="3"/>
      <c r="BD373" s="3"/>
    </row>
    <row r="374" spans="1:56" ht="16.8" customHeight="1">
      <c r="A374" s="1">
        <v>373</v>
      </c>
      <c r="B374" s="1" t="s">
        <v>42</v>
      </c>
      <c r="C374" s="1" t="s">
        <v>43</v>
      </c>
      <c r="D374" s="1" t="s">
        <v>1456</v>
      </c>
      <c r="E374" s="1" t="s">
        <v>1456</v>
      </c>
      <c r="F374" s="1" t="s">
        <v>1457</v>
      </c>
      <c r="G374" s="1" t="s">
        <v>1458</v>
      </c>
      <c r="H374" s="1" t="s">
        <v>4949</v>
      </c>
      <c r="I374" s="18">
        <v>48366</v>
      </c>
      <c r="J374" s="18">
        <v>10</v>
      </c>
      <c r="K374" s="18">
        <v>300000</v>
      </c>
      <c r="L374" s="18"/>
      <c r="M374" s="2">
        <v>300000</v>
      </c>
      <c r="N374" s="2">
        <v>300000</v>
      </c>
      <c r="O374" s="2"/>
      <c r="P374" s="2" t="str">
        <f t="shared" si="20"/>
        <v/>
      </c>
      <c r="Q374" s="2"/>
      <c r="R374" s="2"/>
      <c r="S374" s="48"/>
      <c r="T374" s="2">
        <v>0</v>
      </c>
      <c r="U374" s="2">
        <v>900000</v>
      </c>
      <c r="V374" s="1"/>
      <c r="W374" s="6"/>
      <c r="X374" s="1"/>
      <c r="Y374" s="3"/>
      <c r="Z374" s="3"/>
      <c r="AA374" s="3"/>
      <c r="AB374" s="3"/>
      <c r="AC374" s="3"/>
      <c r="AD374" s="3"/>
      <c r="AE374" s="3"/>
      <c r="AF374" s="3"/>
      <c r="AG374" s="3"/>
      <c r="AH374" s="3">
        <v>300000</v>
      </c>
      <c r="AI374" s="3">
        <v>300000</v>
      </c>
      <c r="AJ374" s="3">
        <v>300000</v>
      </c>
      <c r="AK374" s="3">
        <v>300000</v>
      </c>
      <c r="AL374" s="3">
        <v>300000</v>
      </c>
      <c r="AM374" s="3">
        <v>300000</v>
      </c>
      <c r="AN374" s="3">
        <v>300000</v>
      </c>
      <c r="AO374" s="3">
        <v>300000</v>
      </c>
      <c r="AP374" s="3">
        <v>300000</v>
      </c>
      <c r="AQ374" s="3"/>
      <c r="AR374" s="3"/>
      <c r="AS374" s="3"/>
      <c r="AT374" s="3"/>
      <c r="AU374" s="3"/>
      <c r="AV374" s="3"/>
      <c r="AW374" s="3">
        <f t="shared" si="21"/>
        <v>900000</v>
      </c>
      <c r="AX374" s="3">
        <f t="shared" si="22"/>
        <v>1800000</v>
      </c>
      <c r="AY374" s="4">
        <f t="shared" si="23"/>
        <v>9</v>
      </c>
      <c r="BA374" s="4" t="s">
        <v>5728</v>
      </c>
      <c r="BB374" s="2"/>
      <c r="BC374" s="3"/>
      <c r="BD374" s="3"/>
    </row>
    <row r="375" spans="1:56" ht="16.8" customHeight="1">
      <c r="A375" s="1">
        <v>374</v>
      </c>
      <c r="B375" s="1" t="s">
        <v>42</v>
      </c>
      <c r="C375" s="1" t="s">
        <v>43</v>
      </c>
      <c r="D375" s="1" t="s">
        <v>1459</v>
      </c>
      <c r="E375" s="1" t="s">
        <v>1459</v>
      </c>
      <c r="F375" s="1" t="s">
        <v>1460</v>
      </c>
      <c r="G375" s="1" t="s">
        <v>1461</v>
      </c>
      <c r="H375" s="1" t="s">
        <v>4950</v>
      </c>
      <c r="I375" s="18">
        <v>48344</v>
      </c>
      <c r="J375" s="18">
        <v>10</v>
      </c>
      <c r="K375" s="18">
        <v>400000</v>
      </c>
      <c r="L375" s="18"/>
      <c r="M375" s="2">
        <v>400000</v>
      </c>
      <c r="N375" s="2">
        <v>400000</v>
      </c>
      <c r="O375" s="2"/>
      <c r="P375" s="2" t="str">
        <f t="shared" si="20"/>
        <v/>
      </c>
      <c r="Q375" s="2"/>
      <c r="R375" s="2"/>
      <c r="S375" s="48"/>
      <c r="T375" s="2">
        <v>0</v>
      </c>
      <c r="U375" s="2">
        <v>1200000</v>
      </c>
      <c r="V375" s="1"/>
      <c r="W375" s="6"/>
      <c r="X375" s="1"/>
      <c r="Y375" s="3"/>
      <c r="Z375" s="3"/>
      <c r="AA375" s="3"/>
      <c r="AB375" s="3"/>
      <c r="AC375" s="3"/>
      <c r="AD375" s="3"/>
      <c r="AE375" s="3"/>
      <c r="AF375" s="3"/>
      <c r="AG375" s="3"/>
      <c r="AH375" s="3">
        <v>400000</v>
      </c>
      <c r="AI375" s="3">
        <v>400000</v>
      </c>
      <c r="AJ375" s="3">
        <v>400000</v>
      </c>
      <c r="AK375" s="3">
        <v>400000</v>
      </c>
      <c r="AL375" s="3">
        <v>400000</v>
      </c>
      <c r="AM375" s="3">
        <v>400000</v>
      </c>
      <c r="AN375" s="3">
        <v>400000</v>
      </c>
      <c r="AO375" s="3">
        <v>400000</v>
      </c>
      <c r="AP375" s="3">
        <v>400000</v>
      </c>
      <c r="AQ375" s="3"/>
      <c r="AR375" s="3"/>
      <c r="AS375" s="3"/>
      <c r="AT375" s="3"/>
      <c r="AU375" s="3"/>
      <c r="AV375" s="3"/>
      <c r="AW375" s="3">
        <f t="shared" si="21"/>
        <v>1200000</v>
      </c>
      <c r="AX375" s="3">
        <f t="shared" si="22"/>
        <v>2400000</v>
      </c>
      <c r="AY375" s="4">
        <f t="shared" si="23"/>
        <v>9</v>
      </c>
      <c r="BA375" s="4" t="s">
        <v>5728</v>
      </c>
      <c r="BB375" s="2"/>
      <c r="BC375" s="3"/>
      <c r="BD375" s="3"/>
    </row>
    <row r="376" spans="1:56" ht="16.8" customHeight="1">
      <c r="A376" s="1">
        <v>375</v>
      </c>
      <c r="B376" s="1" t="s">
        <v>42</v>
      </c>
      <c r="C376" s="1" t="s">
        <v>43</v>
      </c>
      <c r="D376" s="1" t="s">
        <v>1462</v>
      </c>
      <c r="E376" s="1" t="s">
        <v>1462</v>
      </c>
      <c r="F376" s="1" t="s">
        <v>1463</v>
      </c>
      <c r="G376" s="1" t="s">
        <v>1464</v>
      </c>
      <c r="H376" s="1" t="s">
        <v>4951</v>
      </c>
      <c r="I376" s="18">
        <v>48366</v>
      </c>
      <c r="J376" s="18">
        <v>10</v>
      </c>
      <c r="K376" s="18">
        <v>300000</v>
      </c>
      <c r="L376" s="18"/>
      <c r="M376" s="2">
        <v>300000</v>
      </c>
      <c r="N376" s="2">
        <v>300000</v>
      </c>
      <c r="O376" s="2"/>
      <c r="P376" s="2" t="str">
        <f t="shared" si="20"/>
        <v/>
      </c>
      <c r="Q376" s="2"/>
      <c r="R376" s="2"/>
      <c r="S376" s="48"/>
      <c r="T376" s="2">
        <v>0</v>
      </c>
      <c r="U376" s="2">
        <v>900000</v>
      </c>
      <c r="V376" s="1"/>
      <c r="W376" s="6"/>
      <c r="X376" s="1"/>
      <c r="Y376" s="3"/>
      <c r="Z376" s="3"/>
      <c r="AA376" s="3"/>
      <c r="AB376" s="3"/>
      <c r="AC376" s="3"/>
      <c r="AD376" s="3"/>
      <c r="AE376" s="3"/>
      <c r="AF376" s="3"/>
      <c r="AG376" s="3"/>
      <c r="AH376" s="3">
        <v>300000</v>
      </c>
      <c r="AI376" s="3">
        <v>300000</v>
      </c>
      <c r="AJ376" s="3">
        <v>300000</v>
      </c>
      <c r="AK376" s="3">
        <v>300000</v>
      </c>
      <c r="AL376" s="3">
        <v>300000</v>
      </c>
      <c r="AM376" s="3">
        <v>300000</v>
      </c>
      <c r="AN376" s="3">
        <v>300000</v>
      </c>
      <c r="AO376" s="3">
        <v>300000</v>
      </c>
      <c r="AP376" s="3">
        <v>300000</v>
      </c>
      <c r="AQ376" s="3"/>
      <c r="AR376" s="3"/>
      <c r="AS376" s="3"/>
      <c r="AT376" s="3"/>
      <c r="AU376" s="3"/>
      <c r="AV376" s="3"/>
      <c r="AW376" s="3">
        <f t="shared" si="21"/>
        <v>900000</v>
      </c>
      <c r="AX376" s="3">
        <f t="shared" si="22"/>
        <v>1800000</v>
      </c>
      <c r="AY376" s="4">
        <f t="shared" si="23"/>
        <v>9</v>
      </c>
      <c r="BA376" s="4" t="s">
        <v>5728</v>
      </c>
      <c r="BB376" s="2"/>
      <c r="BC376" s="3"/>
      <c r="BD376" s="3"/>
    </row>
    <row r="377" spans="1:56" ht="16.8" customHeight="1">
      <c r="A377" s="1">
        <v>376</v>
      </c>
      <c r="B377" s="1" t="s">
        <v>42</v>
      </c>
      <c r="C377" s="1" t="s">
        <v>43</v>
      </c>
      <c r="D377" s="1" t="s">
        <v>1465</v>
      </c>
      <c r="E377" s="1" t="s">
        <v>1465</v>
      </c>
      <c r="F377" s="1" t="s">
        <v>1466</v>
      </c>
      <c r="G377" s="1" t="s">
        <v>1467</v>
      </c>
      <c r="H377" s="1" t="s">
        <v>4952</v>
      </c>
      <c r="I377" s="18">
        <v>48366</v>
      </c>
      <c r="J377" s="18">
        <v>10</v>
      </c>
      <c r="K377" s="18">
        <v>300000</v>
      </c>
      <c r="L377" s="18"/>
      <c r="M377" s="2">
        <v>300000</v>
      </c>
      <c r="N377" s="2">
        <v>300000</v>
      </c>
      <c r="O377" s="2"/>
      <c r="P377" s="2" t="str">
        <f t="shared" si="20"/>
        <v/>
      </c>
      <c r="Q377" s="2"/>
      <c r="R377" s="2"/>
      <c r="S377" s="48"/>
      <c r="T377" s="2">
        <v>0</v>
      </c>
      <c r="U377" s="2">
        <v>900000</v>
      </c>
      <c r="V377" s="1"/>
      <c r="W377" s="6"/>
      <c r="X377" s="1"/>
      <c r="Y377" s="3"/>
      <c r="Z377" s="3"/>
      <c r="AA377" s="3"/>
      <c r="AB377" s="3"/>
      <c r="AC377" s="3"/>
      <c r="AD377" s="3"/>
      <c r="AE377" s="3"/>
      <c r="AF377" s="3"/>
      <c r="AG377" s="3"/>
      <c r="AH377" s="3">
        <v>300000</v>
      </c>
      <c r="AI377" s="3">
        <v>300000</v>
      </c>
      <c r="AJ377" s="3">
        <v>300000</v>
      </c>
      <c r="AK377" s="3">
        <v>300000</v>
      </c>
      <c r="AL377" s="3">
        <v>300000</v>
      </c>
      <c r="AM377" s="3">
        <v>300000</v>
      </c>
      <c r="AN377" s="3">
        <v>300000</v>
      </c>
      <c r="AO377" s="3">
        <v>300000</v>
      </c>
      <c r="AP377" s="3">
        <v>300000</v>
      </c>
      <c r="AQ377" s="3"/>
      <c r="AR377" s="3"/>
      <c r="AS377" s="3"/>
      <c r="AT377" s="3"/>
      <c r="AU377" s="3"/>
      <c r="AV377" s="3"/>
      <c r="AW377" s="3">
        <f t="shared" si="21"/>
        <v>900000</v>
      </c>
      <c r="AX377" s="3">
        <f t="shared" si="22"/>
        <v>1800000</v>
      </c>
      <c r="AY377" s="4">
        <f t="shared" si="23"/>
        <v>9</v>
      </c>
      <c r="BA377" s="4" t="s">
        <v>5728</v>
      </c>
      <c r="BB377" s="2"/>
      <c r="BC377" s="3"/>
      <c r="BD377" s="3"/>
    </row>
    <row r="378" spans="1:56" ht="16.8" customHeight="1">
      <c r="A378" s="1">
        <v>377</v>
      </c>
      <c r="B378" s="1" t="s">
        <v>42</v>
      </c>
      <c r="C378" s="1" t="s">
        <v>43</v>
      </c>
      <c r="D378" s="1" t="s">
        <v>1468</v>
      </c>
      <c r="E378" s="1" t="s">
        <v>1468</v>
      </c>
      <c r="F378" s="1" t="s">
        <v>1469</v>
      </c>
      <c r="G378" s="1" t="s">
        <v>1470</v>
      </c>
      <c r="H378" s="1" t="s">
        <v>4953</v>
      </c>
      <c r="I378" s="18">
        <v>48366</v>
      </c>
      <c r="J378" s="18">
        <v>10</v>
      </c>
      <c r="K378" s="18">
        <v>300000</v>
      </c>
      <c r="L378" s="18"/>
      <c r="M378" s="2">
        <v>300000</v>
      </c>
      <c r="N378" s="2">
        <v>300000</v>
      </c>
      <c r="O378" s="2"/>
      <c r="P378" s="2" t="str">
        <f t="shared" si="20"/>
        <v/>
      </c>
      <c r="Q378" s="2"/>
      <c r="R378" s="2"/>
      <c r="S378" s="48"/>
      <c r="T378" s="2">
        <v>0</v>
      </c>
      <c r="U378" s="2">
        <v>900000</v>
      </c>
      <c r="V378" s="1"/>
      <c r="W378" s="6"/>
      <c r="X378" s="1"/>
      <c r="Y378" s="3"/>
      <c r="Z378" s="3"/>
      <c r="AA378" s="3"/>
      <c r="AB378" s="3"/>
      <c r="AC378" s="3"/>
      <c r="AD378" s="3"/>
      <c r="AE378" s="3"/>
      <c r="AF378" s="3"/>
      <c r="AG378" s="3"/>
      <c r="AH378" s="3">
        <v>300000</v>
      </c>
      <c r="AI378" s="3">
        <v>300000</v>
      </c>
      <c r="AJ378" s="3">
        <v>300000</v>
      </c>
      <c r="AK378" s="3">
        <v>300000</v>
      </c>
      <c r="AL378" s="3">
        <v>300000</v>
      </c>
      <c r="AM378" s="3">
        <v>300000</v>
      </c>
      <c r="AN378" s="3">
        <v>300000</v>
      </c>
      <c r="AO378" s="3">
        <v>300000</v>
      </c>
      <c r="AP378" s="3">
        <v>300000</v>
      </c>
      <c r="AQ378" s="3"/>
      <c r="AR378" s="3"/>
      <c r="AS378" s="3"/>
      <c r="AT378" s="3"/>
      <c r="AU378" s="3"/>
      <c r="AV378" s="3"/>
      <c r="AW378" s="3">
        <f t="shared" si="21"/>
        <v>900000</v>
      </c>
      <c r="AX378" s="3">
        <f t="shared" si="22"/>
        <v>1800000</v>
      </c>
      <c r="AY378" s="4">
        <f t="shared" si="23"/>
        <v>9</v>
      </c>
      <c r="BA378" s="4" t="s">
        <v>5728</v>
      </c>
      <c r="BB378" s="2"/>
      <c r="BC378" s="3"/>
      <c r="BD378" s="3"/>
    </row>
    <row r="379" spans="1:56" ht="16.8" customHeight="1">
      <c r="A379" s="1">
        <v>378</v>
      </c>
      <c r="B379" s="1" t="s">
        <v>42</v>
      </c>
      <c r="C379" s="1" t="s">
        <v>43</v>
      </c>
      <c r="D379" s="1" t="s">
        <v>1471</v>
      </c>
      <c r="E379" s="1" t="s">
        <v>1471</v>
      </c>
      <c r="F379" s="1" t="s">
        <v>1472</v>
      </c>
      <c r="G379" s="1" t="s">
        <v>1473</v>
      </c>
      <c r="H379" s="1" t="s">
        <v>4954</v>
      </c>
      <c r="I379" s="18">
        <v>44701</v>
      </c>
      <c r="J379" s="18">
        <v>44701</v>
      </c>
      <c r="K379" s="18" t="s">
        <v>4955</v>
      </c>
      <c r="L379" s="18" t="s">
        <v>4734</v>
      </c>
      <c r="M379" s="2">
        <v>500000</v>
      </c>
      <c r="N379" s="2">
        <v>500000</v>
      </c>
      <c r="O379" s="2"/>
      <c r="P379" s="2" t="str">
        <f t="shared" si="20"/>
        <v/>
      </c>
      <c r="Q379" s="2"/>
      <c r="R379" s="2"/>
      <c r="S379" s="48"/>
      <c r="T379" s="2">
        <v>1650000</v>
      </c>
      <c r="U379" s="2">
        <v>0</v>
      </c>
      <c r="V379" s="1" t="s">
        <v>1474</v>
      </c>
      <c r="W379" s="6" t="s">
        <v>1475</v>
      </c>
      <c r="X379" s="1" t="s">
        <v>1476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>
        <f t="shared" si="21"/>
        <v>0</v>
      </c>
      <c r="AX379" s="3">
        <f t="shared" si="22"/>
        <v>0</v>
      </c>
      <c r="AY379" s="4">
        <f t="shared" si="23"/>
        <v>0</v>
      </c>
      <c r="AZ379" s="8" t="s">
        <v>5541</v>
      </c>
      <c r="BA379" s="4" t="s">
        <v>5726</v>
      </c>
      <c r="BB379" s="2"/>
      <c r="BC379" s="3"/>
      <c r="BD379" s="4"/>
    </row>
    <row r="380" spans="1:56" ht="16.8" customHeight="1">
      <c r="A380" s="1">
        <v>379</v>
      </c>
      <c r="B380" s="1" t="s">
        <v>42</v>
      </c>
      <c r="C380" s="1" t="s">
        <v>43</v>
      </c>
      <c r="D380" s="1" t="s">
        <v>1477</v>
      </c>
      <c r="E380" s="1" t="s">
        <v>1477</v>
      </c>
      <c r="F380" s="1" t="s">
        <v>1478</v>
      </c>
      <c r="G380" s="1" t="s">
        <v>1479</v>
      </c>
      <c r="H380" s="1" t="s">
        <v>4956</v>
      </c>
      <c r="I380" s="18">
        <v>48366</v>
      </c>
      <c r="J380" s="18">
        <v>10</v>
      </c>
      <c r="K380" s="18">
        <v>300000</v>
      </c>
      <c r="L380" s="18"/>
      <c r="M380" s="2">
        <v>300000</v>
      </c>
      <c r="N380" s="2">
        <v>300000</v>
      </c>
      <c r="O380" s="2"/>
      <c r="P380" s="2" t="str">
        <f t="shared" si="20"/>
        <v/>
      </c>
      <c r="Q380" s="2"/>
      <c r="R380" s="2"/>
      <c r="S380" s="48"/>
      <c r="T380" s="2">
        <v>0</v>
      </c>
      <c r="U380" s="2">
        <v>900000</v>
      </c>
      <c r="V380" s="1"/>
      <c r="W380" s="6"/>
      <c r="X380" s="1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>
        <f t="shared" si="21"/>
        <v>0</v>
      </c>
      <c r="AX380" s="3">
        <f t="shared" si="22"/>
        <v>0</v>
      </c>
      <c r="AY380" s="4">
        <f t="shared" si="23"/>
        <v>0</v>
      </c>
      <c r="BA380" s="4" t="s">
        <v>5726</v>
      </c>
      <c r="BB380" s="2"/>
      <c r="BC380" s="3"/>
      <c r="BD380" s="4"/>
    </row>
    <row r="381" spans="1:56" ht="16.8" customHeight="1">
      <c r="A381" s="1">
        <v>380</v>
      </c>
      <c r="B381" s="1" t="s">
        <v>42</v>
      </c>
      <c r="C381" s="1" t="s">
        <v>47</v>
      </c>
      <c r="D381" s="1" t="s">
        <v>1480</v>
      </c>
      <c r="E381" s="1" t="s">
        <v>1480</v>
      </c>
      <c r="F381" s="1" t="s">
        <v>1481</v>
      </c>
      <c r="G381" s="1" t="s">
        <v>1004</v>
      </c>
      <c r="H381" s="1" t="s">
        <v>3076</v>
      </c>
      <c r="I381" s="18">
        <v>45931</v>
      </c>
      <c r="J381" s="18">
        <v>45931</v>
      </c>
      <c r="K381" s="18" t="s">
        <v>4877</v>
      </c>
      <c r="L381" s="18" t="s">
        <v>4734</v>
      </c>
      <c r="M381" s="2">
        <v>500000</v>
      </c>
      <c r="N381" s="2">
        <v>500000</v>
      </c>
      <c r="O381" s="2"/>
      <c r="P381" s="2" t="str">
        <f t="shared" si="20"/>
        <v/>
      </c>
      <c r="Q381" s="2"/>
      <c r="R381" s="2"/>
      <c r="S381" s="48"/>
      <c r="T381" s="2">
        <v>1500000</v>
      </c>
      <c r="U381" s="2">
        <v>0</v>
      </c>
      <c r="V381" s="1" t="s">
        <v>328</v>
      </c>
      <c r="W381" s="6" t="s">
        <v>329</v>
      </c>
      <c r="X381" s="1" t="s">
        <v>106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>
        <v>500000</v>
      </c>
      <c r="AI381" s="3">
        <v>500000</v>
      </c>
      <c r="AJ381" s="3">
        <v>500000</v>
      </c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>
        <f t="shared" si="21"/>
        <v>1500000</v>
      </c>
      <c r="AX381" s="3">
        <f t="shared" si="22"/>
        <v>0</v>
      </c>
      <c r="AY381" s="4">
        <f t="shared" si="23"/>
        <v>3</v>
      </c>
      <c r="AZ381" s="8">
        <v>0</v>
      </c>
      <c r="BA381" s="4" t="s">
        <v>5726</v>
      </c>
      <c r="BB381" s="2"/>
      <c r="BC381" s="3"/>
      <c r="BD381" s="4"/>
    </row>
    <row r="382" spans="1:56" ht="16.8" customHeight="1">
      <c r="A382" s="1">
        <v>381</v>
      </c>
      <c r="B382" s="1" t="s">
        <v>42</v>
      </c>
      <c r="C382" s="1" t="s">
        <v>47</v>
      </c>
      <c r="D382" s="1" t="s">
        <v>1482</v>
      </c>
      <c r="E382" s="1" t="s">
        <v>1482</v>
      </c>
      <c r="F382" s="1" t="s">
        <v>1483</v>
      </c>
      <c r="G382" s="1" t="s">
        <v>1484</v>
      </c>
      <c r="H382" s="1" t="s">
        <v>4603</v>
      </c>
      <c r="I382" s="18">
        <v>45931</v>
      </c>
      <c r="J382" s="18">
        <v>45931</v>
      </c>
      <c r="K382" s="18" t="s">
        <v>4877</v>
      </c>
      <c r="L382" s="18" t="s">
        <v>4734</v>
      </c>
      <c r="M382" s="2">
        <v>500000</v>
      </c>
      <c r="N382" s="2">
        <v>500000</v>
      </c>
      <c r="O382" s="2"/>
      <c r="P382" s="2" t="str">
        <f t="shared" si="20"/>
        <v/>
      </c>
      <c r="Q382" s="2"/>
      <c r="R382" s="2"/>
      <c r="S382" s="48"/>
      <c r="T382" s="2">
        <v>1500000</v>
      </c>
      <c r="U382" s="2">
        <v>0</v>
      </c>
      <c r="V382" s="1" t="s">
        <v>328</v>
      </c>
      <c r="W382" s="6" t="s">
        <v>329</v>
      </c>
      <c r="X382" s="1" t="s">
        <v>333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>
        <v>500000</v>
      </c>
      <c r="AI382" s="3">
        <v>500000</v>
      </c>
      <c r="AJ382" s="3">
        <v>500000</v>
      </c>
      <c r="AK382" s="3">
        <v>500000</v>
      </c>
      <c r="AL382" s="3">
        <v>500000</v>
      </c>
      <c r="AM382" s="3">
        <v>500000</v>
      </c>
      <c r="AN382" s="3">
        <v>500000</v>
      </c>
      <c r="AO382" s="3">
        <v>500000</v>
      </c>
      <c r="AP382" s="3">
        <v>500000</v>
      </c>
      <c r="AQ382" s="3"/>
      <c r="AR382" s="3"/>
      <c r="AS382" s="3"/>
      <c r="AT382" s="3"/>
      <c r="AU382" s="3"/>
      <c r="AV382" s="3"/>
      <c r="AW382" s="3">
        <f t="shared" si="21"/>
        <v>1500000</v>
      </c>
      <c r="AX382" s="3">
        <f t="shared" si="22"/>
        <v>3000000</v>
      </c>
      <c r="AY382" s="4">
        <f t="shared" si="23"/>
        <v>9</v>
      </c>
      <c r="AZ382" s="8">
        <v>0</v>
      </c>
      <c r="BA382" s="4" t="s">
        <v>5726</v>
      </c>
      <c r="BB382" s="2"/>
      <c r="BC382" s="3"/>
      <c r="BD382" s="3"/>
    </row>
    <row r="383" spans="1:56" ht="16.8" customHeight="1">
      <c r="A383" s="1">
        <v>382</v>
      </c>
      <c r="B383" s="1" t="s">
        <v>42</v>
      </c>
      <c r="C383" s="1" t="s">
        <v>47</v>
      </c>
      <c r="D383" s="1" t="s">
        <v>1485</v>
      </c>
      <c r="E383" s="1" t="s">
        <v>1485</v>
      </c>
      <c r="F383" s="1" t="s">
        <v>1486</v>
      </c>
      <c r="G383" s="1" t="s">
        <v>1487</v>
      </c>
      <c r="H383" s="1" t="s">
        <v>4957</v>
      </c>
      <c r="I383" s="18">
        <v>48298</v>
      </c>
      <c r="J383" s="18">
        <v>10</v>
      </c>
      <c r="K383" s="18">
        <v>500000</v>
      </c>
      <c r="L383" s="18"/>
      <c r="M383" s="2">
        <v>500000</v>
      </c>
      <c r="N383" s="2">
        <v>500000</v>
      </c>
      <c r="O383" s="2"/>
      <c r="P383" s="2" t="str">
        <f t="shared" si="20"/>
        <v/>
      </c>
      <c r="Q383" s="2"/>
      <c r="R383" s="2"/>
      <c r="S383" s="48"/>
      <c r="T383" s="2">
        <v>0</v>
      </c>
      <c r="U383" s="2">
        <v>1500000</v>
      </c>
      <c r="V383" s="1"/>
      <c r="W383" s="6"/>
      <c r="X383" s="1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>
        <f t="shared" si="21"/>
        <v>0</v>
      </c>
      <c r="AX383" s="3">
        <f t="shared" si="22"/>
        <v>0</v>
      </c>
      <c r="AY383" s="4">
        <f t="shared" si="23"/>
        <v>0</v>
      </c>
      <c r="BA383" s="4" t="s">
        <v>5726</v>
      </c>
      <c r="BB383" s="2"/>
      <c r="BC383" s="3"/>
      <c r="BD383" s="4"/>
    </row>
    <row r="384" spans="1:56" ht="16.8" customHeight="1">
      <c r="A384" s="1">
        <v>383</v>
      </c>
      <c r="B384" s="1" t="s">
        <v>42</v>
      </c>
      <c r="C384" s="1" t="s">
        <v>47</v>
      </c>
      <c r="D384" s="1" t="s">
        <v>1488</v>
      </c>
      <c r="E384" s="1" t="s">
        <v>1488</v>
      </c>
      <c r="F384" s="1" t="s">
        <v>1489</v>
      </c>
      <c r="G384" s="1" t="s">
        <v>1487</v>
      </c>
      <c r="H384" s="1" t="s">
        <v>4958</v>
      </c>
      <c r="I384" s="18">
        <v>48298</v>
      </c>
      <c r="J384" s="18">
        <v>10</v>
      </c>
      <c r="K384" s="18">
        <v>500000</v>
      </c>
      <c r="L384" s="18"/>
      <c r="M384" s="2">
        <v>500000</v>
      </c>
      <c r="N384" s="2">
        <v>500000</v>
      </c>
      <c r="O384" s="2"/>
      <c r="P384" s="2" t="str">
        <f t="shared" si="20"/>
        <v/>
      </c>
      <c r="Q384" s="2"/>
      <c r="R384" s="2"/>
      <c r="S384" s="48"/>
      <c r="T384" s="2">
        <v>0</v>
      </c>
      <c r="U384" s="2">
        <v>1500000</v>
      </c>
      <c r="V384" s="1"/>
      <c r="W384" s="6"/>
      <c r="X384" s="1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>
        <f t="shared" si="21"/>
        <v>0</v>
      </c>
      <c r="AX384" s="3">
        <f t="shared" si="22"/>
        <v>0</v>
      </c>
      <c r="AY384" s="4">
        <f t="shared" si="23"/>
        <v>0</v>
      </c>
      <c r="BA384" s="4" t="s">
        <v>5726</v>
      </c>
      <c r="BB384" s="2"/>
      <c r="BC384" s="3"/>
      <c r="BD384" s="4"/>
    </row>
    <row r="385" spans="1:56" ht="16.8" customHeight="1">
      <c r="A385" s="1">
        <v>384</v>
      </c>
      <c r="B385" s="1" t="s">
        <v>42</v>
      </c>
      <c r="C385" s="1" t="s">
        <v>47</v>
      </c>
      <c r="D385" s="1" t="s">
        <v>1490</v>
      </c>
      <c r="E385" s="1" t="s">
        <v>1490</v>
      </c>
      <c r="F385" s="1" t="s">
        <v>1491</v>
      </c>
      <c r="G385" s="1" t="s">
        <v>1492</v>
      </c>
      <c r="H385" s="1" t="s">
        <v>4604</v>
      </c>
      <c r="I385" s="18">
        <v>45931</v>
      </c>
      <c r="J385" s="18">
        <v>45931</v>
      </c>
      <c r="K385" s="18" t="s">
        <v>4877</v>
      </c>
      <c r="L385" s="18" t="s">
        <v>4734</v>
      </c>
      <c r="M385" s="2">
        <v>500000</v>
      </c>
      <c r="N385" s="2">
        <v>500000</v>
      </c>
      <c r="O385" s="2"/>
      <c r="P385" s="2" t="str">
        <f t="shared" si="20"/>
        <v/>
      </c>
      <c r="Q385" s="2"/>
      <c r="R385" s="2"/>
      <c r="S385" s="48"/>
      <c r="T385" s="2">
        <v>1500000</v>
      </c>
      <c r="U385" s="2">
        <v>0</v>
      </c>
      <c r="V385" s="1" t="s">
        <v>328</v>
      </c>
      <c r="W385" s="6" t="s">
        <v>329</v>
      </c>
      <c r="X385" s="1" t="s">
        <v>333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>
        <v>500000</v>
      </c>
      <c r="AI385" s="3">
        <v>500000</v>
      </c>
      <c r="AJ385" s="3">
        <v>500000</v>
      </c>
      <c r="AK385" s="3">
        <v>500000</v>
      </c>
      <c r="AL385" s="3">
        <v>500000</v>
      </c>
      <c r="AM385" s="3">
        <v>500000</v>
      </c>
      <c r="AN385" s="3">
        <v>500000</v>
      </c>
      <c r="AO385" s="3">
        <v>500000</v>
      </c>
      <c r="AP385" s="3">
        <v>500000</v>
      </c>
      <c r="AQ385" s="3"/>
      <c r="AR385" s="3"/>
      <c r="AS385" s="3"/>
      <c r="AT385" s="3"/>
      <c r="AU385" s="3"/>
      <c r="AV385" s="3"/>
      <c r="AW385" s="3">
        <f t="shared" si="21"/>
        <v>1500000</v>
      </c>
      <c r="AX385" s="3">
        <f t="shared" si="22"/>
        <v>3000000</v>
      </c>
      <c r="AY385" s="4">
        <f t="shared" si="23"/>
        <v>9</v>
      </c>
      <c r="AZ385" s="8">
        <v>0</v>
      </c>
      <c r="BA385" s="4" t="s">
        <v>5726</v>
      </c>
      <c r="BB385" s="2"/>
      <c r="BC385" s="3"/>
      <c r="BD385" s="3"/>
    </row>
    <row r="386" spans="1:56" ht="16.8" customHeight="1">
      <c r="A386" s="1">
        <v>385</v>
      </c>
      <c r="B386" s="1" t="s">
        <v>42</v>
      </c>
      <c r="C386" s="1" t="s">
        <v>47</v>
      </c>
      <c r="D386" s="1" t="s">
        <v>1493</v>
      </c>
      <c r="E386" s="1" t="s">
        <v>1493</v>
      </c>
      <c r="F386" s="1" t="s">
        <v>1494</v>
      </c>
      <c r="G386" s="1" t="s">
        <v>675</v>
      </c>
      <c r="H386" s="1" t="s">
        <v>3044</v>
      </c>
      <c r="I386" s="18">
        <v>45931</v>
      </c>
      <c r="J386" s="18">
        <v>45931</v>
      </c>
      <c r="K386" s="18" t="s">
        <v>4877</v>
      </c>
      <c r="L386" s="18" t="s">
        <v>4734</v>
      </c>
      <c r="M386" s="2">
        <v>500000</v>
      </c>
      <c r="N386" s="2">
        <v>500000</v>
      </c>
      <c r="O386" s="2"/>
      <c r="P386" s="2" t="str">
        <f t="shared" ref="P386:P449" si="24">IF(OR(M386="",N386="",M386=N386),"",N386-M386)</f>
        <v/>
      </c>
      <c r="Q386" s="2"/>
      <c r="R386" s="2"/>
      <c r="S386" s="48"/>
      <c r="T386" s="2">
        <v>1500000</v>
      </c>
      <c r="U386" s="2">
        <v>0</v>
      </c>
      <c r="V386" s="1" t="s">
        <v>328</v>
      </c>
      <c r="W386" s="6" t="s">
        <v>329</v>
      </c>
      <c r="X386" s="1" t="s">
        <v>333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>
        <v>500000</v>
      </c>
      <c r="AI386" s="3">
        <v>500000</v>
      </c>
      <c r="AJ386" s="3">
        <v>500000</v>
      </c>
      <c r="AK386" s="3">
        <v>500000</v>
      </c>
      <c r="AL386" s="3">
        <v>500000</v>
      </c>
      <c r="AM386" s="3">
        <v>500000</v>
      </c>
      <c r="AN386" s="3">
        <v>500000</v>
      </c>
      <c r="AO386" s="3">
        <v>500000</v>
      </c>
      <c r="AP386" s="3">
        <v>500000</v>
      </c>
      <c r="AQ386" s="3"/>
      <c r="AR386" s="3"/>
      <c r="AS386" s="3"/>
      <c r="AT386" s="3"/>
      <c r="AU386" s="3"/>
      <c r="AV386" s="3"/>
      <c r="AW386" s="3">
        <f t="shared" ref="AW386:AW449" si="25">SUM(Y386:AJ386)</f>
        <v>1500000</v>
      </c>
      <c r="AX386" s="3">
        <f t="shared" ref="AX386:AX449" si="26">SUM(AK386:AV386)</f>
        <v>3000000</v>
      </c>
      <c r="AY386" s="4">
        <f t="shared" ref="AY386:AY449" si="27">COUNT(Y386:AV386)</f>
        <v>9</v>
      </c>
      <c r="AZ386" s="8">
        <v>0</v>
      </c>
      <c r="BA386" s="4" t="s">
        <v>5726</v>
      </c>
      <c r="BB386" s="2"/>
      <c r="BC386" s="3"/>
      <c r="BD386" s="3"/>
    </row>
    <row r="387" spans="1:56" ht="16.8" customHeight="1">
      <c r="A387" s="1">
        <v>386</v>
      </c>
      <c r="B387" s="1" t="s">
        <v>42</v>
      </c>
      <c r="C387" s="1" t="s">
        <v>185</v>
      </c>
      <c r="D387" s="1" t="s">
        <v>1495</v>
      </c>
      <c r="E387" s="1" t="s">
        <v>1495</v>
      </c>
      <c r="F387" s="1" t="s">
        <v>1496</v>
      </c>
      <c r="G387" s="1" t="s">
        <v>1497</v>
      </c>
      <c r="H387" s="1" t="s">
        <v>4959</v>
      </c>
      <c r="I387" s="18">
        <v>45931</v>
      </c>
      <c r="J387" s="18">
        <v>45931</v>
      </c>
      <c r="K387" s="18" t="s">
        <v>4777</v>
      </c>
      <c r="L387" s="18" t="s">
        <v>4734</v>
      </c>
      <c r="M387" s="2">
        <v>800000</v>
      </c>
      <c r="N387" s="2">
        <v>800000</v>
      </c>
      <c r="O387" s="2"/>
      <c r="P387" s="2" t="str">
        <f t="shared" si="24"/>
        <v/>
      </c>
      <c r="Q387" s="2"/>
      <c r="R387" s="2"/>
      <c r="S387" s="48"/>
      <c r="T387" s="2">
        <v>0</v>
      </c>
      <c r="U387" s="2">
        <v>0</v>
      </c>
      <c r="V387" s="1"/>
      <c r="W387" s="6"/>
      <c r="X387" s="1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>
        <v>800000</v>
      </c>
      <c r="AL387" s="3">
        <v>800000</v>
      </c>
      <c r="AM387" s="3">
        <v>800000</v>
      </c>
      <c r="AN387" s="3">
        <v>800000</v>
      </c>
      <c r="AO387" s="3">
        <v>800000</v>
      </c>
      <c r="AP387" s="3">
        <v>800000</v>
      </c>
      <c r="AQ387" s="3"/>
      <c r="AR387" s="3"/>
      <c r="AS387" s="3"/>
      <c r="AT387" s="3"/>
      <c r="AU387" s="3"/>
      <c r="AV387" s="3"/>
      <c r="AW387" s="3">
        <f t="shared" si="25"/>
        <v>0</v>
      </c>
      <c r="AX387" s="3">
        <f t="shared" si="26"/>
        <v>4800000</v>
      </c>
      <c r="AY387" s="4">
        <f t="shared" si="27"/>
        <v>6</v>
      </c>
      <c r="AZ387" s="8" t="s">
        <v>5540</v>
      </c>
      <c r="BA387" s="4" t="s">
        <v>5715</v>
      </c>
      <c r="BB387" s="2"/>
      <c r="BC387" s="3"/>
      <c r="BD387" s="3"/>
    </row>
    <row r="388" spans="1:56" ht="16.8" customHeight="1">
      <c r="A388" s="1">
        <v>387</v>
      </c>
      <c r="B388" s="1" t="s">
        <v>42</v>
      </c>
      <c r="C388" s="1" t="s">
        <v>47</v>
      </c>
      <c r="D388" s="1" t="s">
        <v>1498</v>
      </c>
      <c r="E388" s="1" t="s">
        <v>1498</v>
      </c>
      <c r="F388" s="1" t="s">
        <v>1499</v>
      </c>
      <c r="G388" s="1" t="s">
        <v>1500</v>
      </c>
      <c r="H388" s="1" t="s">
        <v>3072</v>
      </c>
      <c r="I388" s="18">
        <v>45931</v>
      </c>
      <c r="J388" s="18">
        <v>45931</v>
      </c>
      <c r="K388" s="18" t="s">
        <v>4877</v>
      </c>
      <c r="L388" s="18" t="s">
        <v>4734</v>
      </c>
      <c r="M388" s="2">
        <v>500000</v>
      </c>
      <c r="N388" s="2">
        <v>500000</v>
      </c>
      <c r="O388" s="2"/>
      <c r="P388" s="2" t="str">
        <f t="shared" si="24"/>
        <v/>
      </c>
      <c r="Q388" s="2"/>
      <c r="R388" s="2"/>
      <c r="S388" s="48"/>
      <c r="T388" s="2">
        <v>1500000</v>
      </c>
      <c r="U388" s="2">
        <v>0</v>
      </c>
      <c r="V388" s="1" t="s">
        <v>328</v>
      </c>
      <c r="W388" s="6" t="s">
        <v>329</v>
      </c>
      <c r="X388" s="1" t="s">
        <v>106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>
        <v>500000</v>
      </c>
      <c r="AI388" s="3">
        <v>500000</v>
      </c>
      <c r="AJ388" s="3">
        <v>500000</v>
      </c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>
        <f t="shared" si="25"/>
        <v>1500000</v>
      </c>
      <c r="AX388" s="3">
        <f t="shared" si="26"/>
        <v>0</v>
      </c>
      <c r="AY388" s="4">
        <f t="shared" si="27"/>
        <v>3</v>
      </c>
      <c r="AZ388" s="8" t="s">
        <v>5700</v>
      </c>
      <c r="BA388" s="4" t="s">
        <v>5726</v>
      </c>
      <c r="BB388" s="2"/>
      <c r="BC388" s="3"/>
      <c r="BD388" s="4"/>
    </row>
    <row r="389" spans="1:56" s="26" customFormat="1" ht="16.8" customHeight="1">
      <c r="A389" s="20">
        <v>388</v>
      </c>
      <c r="B389" s="20" t="s">
        <v>42</v>
      </c>
      <c r="C389" s="1" t="s">
        <v>47</v>
      </c>
      <c r="D389" s="20" t="s">
        <v>1501</v>
      </c>
      <c r="E389" s="20" t="s">
        <v>1501</v>
      </c>
      <c r="F389" s="20" t="s">
        <v>1502</v>
      </c>
      <c r="G389" s="20" t="s">
        <v>1503</v>
      </c>
      <c r="H389" s="20" t="s">
        <v>4605</v>
      </c>
      <c r="I389" s="21">
        <v>45931</v>
      </c>
      <c r="J389" s="21">
        <v>45931</v>
      </c>
      <c r="K389" s="21" t="s">
        <v>4785</v>
      </c>
      <c r="L389" s="21" t="s">
        <v>4734</v>
      </c>
      <c r="M389" s="22">
        <v>400000</v>
      </c>
      <c r="N389" s="22">
        <v>700000</v>
      </c>
      <c r="O389" s="22">
        <v>700000</v>
      </c>
      <c r="P389" s="22">
        <f t="shared" si="24"/>
        <v>300000</v>
      </c>
      <c r="Q389" s="2"/>
      <c r="R389" s="2"/>
      <c r="S389" s="48"/>
      <c r="T389" s="22">
        <v>1200000</v>
      </c>
      <c r="U389" s="22">
        <v>0</v>
      </c>
      <c r="V389" s="20" t="s">
        <v>1504</v>
      </c>
      <c r="W389" s="23" t="s">
        <v>1505</v>
      </c>
      <c r="X389" s="20" t="s">
        <v>397</v>
      </c>
      <c r="Y389" s="24"/>
      <c r="Z389" s="24"/>
      <c r="AA389" s="24"/>
      <c r="AB389" s="24"/>
      <c r="AC389" s="24"/>
      <c r="AD389" s="24"/>
      <c r="AE389" s="24"/>
      <c r="AF389" s="24"/>
      <c r="AG389" s="24"/>
      <c r="AH389" s="24">
        <v>400000</v>
      </c>
      <c r="AI389" s="24">
        <v>400000</v>
      </c>
      <c r="AJ389" s="24">
        <v>400000</v>
      </c>
      <c r="AK389" s="24">
        <v>400000</v>
      </c>
      <c r="AL389" s="24">
        <v>400000</v>
      </c>
      <c r="AM389" s="24">
        <v>400000</v>
      </c>
      <c r="AN389" s="24">
        <v>400000</v>
      </c>
      <c r="AO389" s="24">
        <v>400000</v>
      </c>
      <c r="AP389" s="24">
        <v>400000</v>
      </c>
      <c r="AQ389" s="24"/>
      <c r="AR389" s="24"/>
      <c r="AS389" s="24"/>
      <c r="AT389" s="24"/>
      <c r="AU389" s="24"/>
      <c r="AV389" s="24"/>
      <c r="AW389" s="24">
        <f t="shared" si="25"/>
        <v>1200000</v>
      </c>
      <c r="AX389" s="24">
        <f t="shared" si="26"/>
        <v>2400000</v>
      </c>
      <c r="AY389" s="25">
        <f t="shared" si="27"/>
        <v>9</v>
      </c>
      <c r="AZ389" s="26" t="s">
        <v>5542</v>
      </c>
      <c r="BA389" s="4" t="s">
        <v>5726</v>
      </c>
      <c r="BB389" s="22"/>
      <c r="BC389" s="3"/>
      <c r="BD389" s="24"/>
    </row>
    <row r="390" spans="1:56" ht="16.8" customHeight="1">
      <c r="A390" s="1">
        <v>389</v>
      </c>
      <c r="B390" s="1" t="s">
        <v>42</v>
      </c>
      <c r="C390" s="1" t="s">
        <v>47</v>
      </c>
      <c r="D390" s="1" t="s">
        <v>1506</v>
      </c>
      <c r="E390" s="1" t="s">
        <v>1506</v>
      </c>
      <c r="F390" s="1" t="s">
        <v>1507</v>
      </c>
      <c r="G390" s="1" t="s">
        <v>1508</v>
      </c>
      <c r="H390" s="1" t="s">
        <v>3080</v>
      </c>
      <c r="I390" s="18">
        <v>45931</v>
      </c>
      <c r="J390" s="18">
        <v>45931</v>
      </c>
      <c r="K390" s="18" t="s">
        <v>4742</v>
      </c>
      <c r="L390" s="18" t="s">
        <v>4734</v>
      </c>
      <c r="M390" s="2">
        <v>1000000</v>
      </c>
      <c r="N390" s="2">
        <v>1000000</v>
      </c>
      <c r="O390" s="2"/>
      <c r="P390" s="2" t="str">
        <f t="shared" si="24"/>
        <v/>
      </c>
      <c r="Q390" s="2"/>
      <c r="R390" s="2"/>
      <c r="S390" s="48"/>
      <c r="T390" s="2">
        <v>3000000</v>
      </c>
      <c r="U390" s="2">
        <v>0</v>
      </c>
      <c r="V390" s="1" t="s">
        <v>1509</v>
      </c>
      <c r="W390" s="6" t="s">
        <v>1510</v>
      </c>
      <c r="X390" s="1" t="s">
        <v>333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>
        <v>1000000</v>
      </c>
      <c r="AI390" s="3">
        <v>1000000</v>
      </c>
      <c r="AJ390" s="3">
        <v>1000000</v>
      </c>
      <c r="AK390" s="3">
        <v>1000000</v>
      </c>
      <c r="AL390" s="3">
        <v>1000000</v>
      </c>
      <c r="AM390" s="3">
        <v>1000000</v>
      </c>
      <c r="AN390" s="3">
        <v>1000000</v>
      </c>
      <c r="AO390" s="3">
        <v>1000000</v>
      </c>
      <c r="AP390" s="3">
        <v>1000000</v>
      </c>
      <c r="AQ390" s="3"/>
      <c r="AR390" s="3"/>
      <c r="AS390" s="3"/>
      <c r="AT390" s="3"/>
      <c r="AU390" s="3"/>
      <c r="AV390" s="3"/>
      <c r="AW390" s="3">
        <f t="shared" si="25"/>
        <v>3000000</v>
      </c>
      <c r="AX390" s="3">
        <f t="shared" si="26"/>
        <v>6000000</v>
      </c>
      <c r="AY390" s="4">
        <f t="shared" si="27"/>
        <v>9</v>
      </c>
      <c r="BA390" s="4" t="s">
        <v>5726</v>
      </c>
      <c r="BB390" s="2"/>
      <c r="BC390" s="3"/>
      <c r="BD390" s="3"/>
    </row>
    <row r="391" spans="1:56" ht="16.8" customHeight="1">
      <c r="A391" s="1">
        <v>390</v>
      </c>
      <c r="B391" s="1" t="s">
        <v>42</v>
      </c>
      <c r="C391" s="1" t="s">
        <v>185</v>
      </c>
      <c r="D391" s="1" t="s">
        <v>1511</v>
      </c>
      <c r="E391" s="1" t="s">
        <v>1511</v>
      </c>
      <c r="F391" s="1" t="s">
        <v>1512</v>
      </c>
      <c r="G391" s="1" t="s">
        <v>1513</v>
      </c>
      <c r="H391" s="1" t="s">
        <v>4606</v>
      </c>
      <c r="I391" s="18">
        <v>45931</v>
      </c>
      <c r="J391" s="18">
        <v>45931</v>
      </c>
      <c r="K391" s="18" t="s">
        <v>4737</v>
      </c>
      <c r="L391" s="18" t="s">
        <v>4734</v>
      </c>
      <c r="M391" s="2">
        <v>2000000</v>
      </c>
      <c r="N391" s="2">
        <v>2000000</v>
      </c>
      <c r="O391" s="2"/>
      <c r="P391" s="2" t="str">
        <f t="shared" si="24"/>
        <v/>
      </c>
      <c r="Q391" s="2"/>
      <c r="R391" s="2"/>
      <c r="S391" s="48"/>
      <c r="T391" s="2">
        <v>6000000</v>
      </c>
      <c r="U391" s="2">
        <v>0</v>
      </c>
      <c r="V391" s="1" t="s">
        <v>1513</v>
      </c>
      <c r="W391" s="6" t="s">
        <v>1514</v>
      </c>
      <c r="X391" s="1" t="s">
        <v>1515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>
        <v>2000000</v>
      </c>
      <c r="AI391" s="3">
        <v>2000000</v>
      </c>
      <c r="AJ391" s="3">
        <v>2000000</v>
      </c>
      <c r="AK391" s="3">
        <v>2000000</v>
      </c>
      <c r="AL391" s="3">
        <v>2000000</v>
      </c>
      <c r="AM391" s="3">
        <v>2000000</v>
      </c>
      <c r="AN391" s="3">
        <v>2000000</v>
      </c>
      <c r="AO391" s="3">
        <v>2000000</v>
      </c>
      <c r="AP391" s="3">
        <v>2000000</v>
      </c>
      <c r="AQ391" s="3"/>
      <c r="AR391" s="3"/>
      <c r="AS391" s="3"/>
      <c r="AT391" s="3"/>
      <c r="AU391" s="3"/>
      <c r="AV391" s="3"/>
      <c r="AW391" s="3">
        <f t="shared" si="25"/>
        <v>6000000</v>
      </c>
      <c r="AX391" s="3">
        <f t="shared" si="26"/>
        <v>12000000</v>
      </c>
      <c r="AY391" s="4">
        <f t="shared" si="27"/>
        <v>9</v>
      </c>
      <c r="AZ391" s="8" t="s">
        <v>5514</v>
      </c>
      <c r="BA391" s="4" t="s">
        <v>5715</v>
      </c>
      <c r="BB391" s="2"/>
      <c r="BC391" s="3"/>
      <c r="BD391" s="3"/>
    </row>
    <row r="392" spans="1:56" ht="16.8" customHeight="1">
      <c r="A392" s="1">
        <v>391</v>
      </c>
      <c r="B392" s="1" t="s">
        <v>42</v>
      </c>
      <c r="C392" s="1" t="s">
        <v>43</v>
      </c>
      <c r="D392" s="1" t="s">
        <v>1516</v>
      </c>
      <c r="E392" s="1" t="s">
        <v>1516</v>
      </c>
      <c r="F392" s="1" t="s">
        <v>1517</v>
      </c>
      <c r="G392" s="1" t="s">
        <v>758</v>
      </c>
      <c r="H392" s="1" t="s">
        <v>4529</v>
      </c>
      <c r="I392" s="18">
        <v>45931</v>
      </c>
      <c r="J392" s="18">
        <v>45931</v>
      </c>
      <c r="K392" s="18" t="s">
        <v>4733</v>
      </c>
      <c r="L392" s="18" t="s">
        <v>4734</v>
      </c>
      <c r="M392" s="2">
        <v>8200000</v>
      </c>
      <c r="N392" s="2">
        <v>8200000</v>
      </c>
      <c r="O392" s="2"/>
      <c r="P392" s="2" t="str">
        <f t="shared" si="24"/>
        <v/>
      </c>
      <c r="Q392" s="2"/>
      <c r="R392" s="2"/>
      <c r="S392" s="48"/>
      <c r="T392" s="2">
        <v>0</v>
      </c>
      <c r="U392" s="2">
        <v>0</v>
      </c>
      <c r="V392" s="1"/>
      <c r="W392" s="6"/>
      <c r="X392" s="1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>
        <v>8200000</v>
      </c>
      <c r="AL392" s="3">
        <v>8200000</v>
      </c>
      <c r="AM392" s="3">
        <v>8200000</v>
      </c>
      <c r="AN392" s="3">
        <v>8200000</v>
      </c>
      <c r="AO392" s="3">
        <v>8200000</v>
      </c>
      <c r="AP392" s="3">
        <v>8200000</v>
      </c>
      <c r="AQ392" s="3"/>
      <c r="AR392" s="3"/>
      <c r="AS392" s="3"/>
      <c r="AT392" s="3"/>
      <c r="AU392" s="3"/>
      <c r="AV392" s="3"/>
      <c r="AW392" s="3">
        <f t="shared" si="25"/>
        <v>0</v>
      </c>
      <c r="AX392" s="3">
        <f t="shared" si="26"/>
        <v>49200000</v>
      </c>
      <c r="AY392" s="4">
        <f t="shared" si="27"/>
        <v>6</v>
      </c>
      <c r="AZ392" s="8" t="s">
        <v>5509</v>
      </c>
      <c r="BA392" s="4" t="s">
        <v>5727</v>
      </c>
      <c r="BB392" s="2"/>
      <c r="BC392" s="3"/>
      <c r="BD392" s="3"/>
    </row>
    <row r="393" spans="1:56" ht="16.8" customHeight="1">
      <c r="A393" s="1">
        <v>392</v>
      </c>
      <c r="B393" s="1" t="s">
        <v>42</v>
      </c>
      <c r="C393" s="1" t="s">
        <v>47</v>
      </c>
      <c r="D393" s="1" t="s">
        <v>1518</v>
      </c>
      <c r="E393" s="1" t="s">
        <v>1518</v>
      </c>
      <c r="F393" s="1" t="s">
        <v>1519</v>
      </c>
      <c r="G393" s="1" t="s">
        <v>1520</v>
      </c>
      <c r="H393" s="1" t="s">
        <v>4607</v>
      </c>
      <c r="I393" s="18">
        <v>45931</v>
      </c>
      <c r="J393" s="18">
        <v>45931</v>
      </c>
      <c r="K393" s="18" t="s">
        <v>4877</v>
      </c>
      <c r="L393" s="18" t="s">
        <v>4734</v>
      </c>
      <c r="M393" s="2">
        <v>1200000</v>
      </c>
      <c r="N393" s="2">
        <v>1200000</v>
      </c>
      <c r="O393" s="2"/>
      <c r="P393" s="2" t="str">
        <f t="shared" si="24"/>
        <v/>
      </c>
      <c r="Q393" s="2"/>
      <c r="R393" s="2"/>
      <c r="S393" s="48"/>
      <c r="T393" s="2">
        <v>3600000</v>
      </c>
      <c r="U393" s="2">
        <v>0</v>
      </c>
      <c r="V393" s="1" t="s">
        <v>1521</v>
      </c>
      <c r="W393" s="6" t="s">
        <v>1522</v>
      </c>
      <c r="X393" s="1" t="s">
        <v>1523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>
        <v>1200000</v>
      </c>
      <c r="AI393" s="3">
        <v>1200000</v>
      </c>
      <c r="AJ393" s="3">
        <v>1200000</v>
      </c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>
        <f t="shared" si="25"/>
        <v>3600000</v>
      </c>
      <c r="AX393" s="3">
        <f t="shared" si="26"/>
        <v>0</v>
      </c>
      <c r="AY393" s="4">
        <f t="shared" si="27"/>
        <v>3</v>
      </c>
      <c r="BA393" s="4" t="s">
        <v>5726</v>
      </c>
      <c r="BB393" s="2"/>
      <c r="BC393" s="3"/>
      <c r="BD393" s="4"/>
    </row>
    <row r="394" spans="1:56" ht="16.8" customHeight="1">
      <c r="A394" s="1">
        <v>393</v>
      </c>
      <c r="B394" s="1" t="s">
        <v>42</v>
      </c>
      <c r="C394" s="1" t="s">
        <v>43</v>
      </c>
      <c r="D394" s="1" t="s">
        <v>1524</v>
      </c>
      <c r="E394" s="1" t="s">
        <v>1524</v>
      </c>
      <c r="F394" s="1" t="s">
        <v>1525</v>
      </c>
      <c r="G394" s="1" t="s">
        <v>58</v>
      </c>
      <c r="H394" s="1" t="s">
        <v>4732</v>
      </c>
      <c r="I394" s="18">
        <v>45940</v>
      </c>
      <c r="J394" s="18">
        <v>45931</v>
      </c>
      <c r="K394" s="18" t="s">
        <v>4733</v>
      </c>
      <c r="L394" s="18" t="s">
        <v>4734</v>
      </c>
      <c r="M394" s="2">
        <v>8200000</v>
      </c>
      <c r="N394" s="2">
        <v>8200000</v>
      </c>
      <c r="O394" s="2"/>
      <c r="P394" s="2" t="str">
        <f t="shared" si="24"/>
        <v/>
      </c>
      <c r="Q394" s="2"/>
      <c r="R394" s="2"/>
      <c r="S394" s="48"/>
      <c r="T394" s="2">
        <v>27060000</v>
      </c>
      <c r="U394" s="2">
        <v>0</v>
      </c>
      <c r="V394" s="1" t="s">
        <v>58</v>
      </c>
      <c r="W394" s="6" t="s">
        <v>59</v>
      </c>
      <c r="X394" s="1" t="s">
        <v>60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>
        <v>8200000</v>
      </c>
      <c r="AL394" s="3">
        <v>8200000</v>
      </c>
      <c r="AM394" s="3">
        <v>8200000</v>
      </c>
      <c r="AN394" s="3">
        <v>8200000</v>
      </c>
      <c r="AO394" s="3">
        <v>8200000</v>
      </c>
      <c r="AP394" s="3">
        <v>8200000</v>
      </c>
      <c r="AQ394" s="3"/>
      <c r="AR394" s="3"/>
      <c r="AS394" s="3"/>
      <c r="AT394" s="3"/>
      <c r="AU394" s="3"/>
      <c r="AV394" s="3"/>
      <c r="AW394" s="3">
        <f t="shared" si="25"/>
        <v>0</v>
      </c>
      <c r="AX394" s="3">
        <f t="shared" si="26"/>
        <v>49200000</v>
      </c>
      <c r="AY394" s="4">
        <f t="shared" si="27"/>
        <v>6</v>
      </c>
      <c r="AZ394" s="8" t="s">
        <v>5483</v>
      </c>
      <c r="BA394" s="4" t="s">
        <v>5727</v>
      </c>
      <c r="BB394" s="2"/>
      <c r="BC394" s="3"/>
      <c r="BD394" s="3"/>
    </row>
    <row r="395" spans="1:56" ht="16.8" customHeight="1">
      <c r="A395" s="1">
        <v>394</v>
      </c>
      <c r="B395" s="1" t="s">
        <v>42</v>
      </c>
      <c r="C395" s="1" t="s">
        <v>43</v>
      </c>
      <c r="D395" s="1" t="s">
        <v>1526</v>
      </c>
      <c r="E395" s="1" t="s">
        <v>1526</v>
      </c>
      <c r="F395" s="1" t="s">
        <v>1527</v>
      </c>
      <c r="G395" s="1" t="s">
        <v>975</v>
      </c>
      <c r="H395" s="1" t="s">
        <v>4940</v>
      </c>
      <c r="I395" s="18">
        <v>45931</v>
      </c>
      <c r="J395" s="18">
        <v>45931</v>
      </c>
      <c r="K395" s="18" t="s">
        <v>4770</v>
      </c>
      <c r="L395" s="18" t="s">
        <v>4734</v>
      </c>
      <c r="M395" s="2">
        <v>8200000</v>
      </c>
      <c r="N395" s="2">
        <v>8200000</v>
      </c>
      <c r="O395" s="2"/>
      <c r="P395" s="2" t="str">
        <f t="shared" si="24"/>
        <v/>
      </c>
      <c r="Q395" s="2"/>
      <c r="R395" s="2"/>
      <c r="S395" s="48"/>
      <c r="T395" s="2">
        <v>27060000</v>
      </c>
      <c r="U395" s="2">
        <v>0</v>
      </c>
      <c r="V395" s="1" t="s">
        <v>975</v>
      </c>
      <c r="W395" s="6" t="s">
        <v>976</v>
      </c>
      <c r="X395" s="1" t="s">
        <v>977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>
        <v>8200000</v>
      </c>
      <c r="AL395" s="3">
        <v>8200000</v>
      </c>
      <c r="AM395" s="3">
        <v>8200000</v>
      </c>
      <c r="AN395" s="3">
        <v>8200000</v>
      </c>
      <c r="AO395" s="3">
        <v>8200000</v>
      </c>
      <c r="AP395" s="3">
        <v>8200000</v>
      </c>
      <c r="AQ395" s="3"/>
      <c r="AR395" s="3"/>
      <c r="AS395" s="3"/>
      <c r="AT395" s="3"/>
      <c r="AU395" s="3"/>
      <c r="AV395" s="3"/>
      <c r="AW395" s="3">
        <f t="shared" si="25"/>
        <v>0</v>
      </c>
      <c r="AX395" s="3">
        <f t="shared" si="26"/>
        <v>49200000</v>
      </c>
      <c r="AY395" s="4">
        <f t="shared" si="27"/>
        <v>6</v>
      </c>
      <c r="AZ395" s="8" t="s">
        <v>5484</v>
      </c>
      <c r="BA395" s="4" t="s">
        <v>5727</v>
      </c>
      <c r="BB395" s="2"/>
      <c r="BC395" s="3"/>
      <c r="BD395" s="3"/>
    </row>
    <row r="396" spans="1:56" ht="16.8" customHeight="1">
      <c r="A396" s="1">
        <v>395</v>
      </c>
      <c r="B396" s="1" t="s">
        <v>42</v>
      </c>
      <c r="C396" s="1" t="s">
        <v>47</v>
      </c>
      <c r="D396" s="1" t="s">
        <v>1528</v>
      </c>
      <c r="E396" s="1" t="s">
        <v>1528</v>
      </c>
      <c r="F396" s="1" t="s">
        <v>1529</v>
      </c>
      <c r="G396" s="1" t="s">
        <v>1530</v>
      </c>
      <c r="H396" s="1" t="s">
        <v>4608</v>
      </c>
      <c r="I396" s="18">
        <v>45931</v>
      </c>
      <c r="J396" s="18">
        <v>45931</v>
      </c>
      <c r="K396" s="18" t="s">
        <v>4877</v>
      </c>
      <c r="L396" s="18" t="s">
        <v>4734</v>
      </c>
      <c r="M396" s="2">
        <v>1500000</v>
      </c>
      <c r="N396" s="2">
        <v>1500000</v>
      </c>
      <c r="O396" s="2"/>
      <c r="P396" s="2" t="str">
        <f t="shared" si="24"/>
        <v/>
      </c>
      <c r="Q396" s="2"/>
      <c r="R396" s="2"/>
      <c r="S396" s="48"/>
      <c r="T396" s="2">
        <v>4500000</v>
      </c>
      <c r="U396" s="2">
        <v>0</v>
      </c>
      <c r="V396" s="1" t="s">
        <v>1531</v>
      </c>
      <c r="W396" s="6" t="s">
        <v>1532</v>
      </c>
      <c r="X396" s="1" t="s">
        <v>224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>
        <v>1500000</v>
      </c>
      <c r="AI396" s="3">
        <v>1500000</v>
      </c>
      <c r="AJ396" s="3">
        <v>1500000</v>
      </c>
      <c r="AK396" s="3">
        <v>1500000</v>
      </c>
      <c r="AL396" s="3">
        <v>1500000</v>
      </c>
      <c r="AM396" s="3">
        <v>1500000</v>
      </c>
      <c r="AN396" s="3">
        <v>1500000</v>
      </c>
      <c r="AO396" s="3">
        <v>1500000</v>
      </c>
      <c r="AP396" s="3">
        <v>1500000</v>
      </c>
      <c r="AQ396" s="3"/>
      <c r="AR396" s="3"/>
      <c r="AS396" s="3"/>
      <c r="AT396" s="3"/>
      <c r="AU396" s="3"/>
      <c r="AV396" s="3"/>
      <c r="AW396" s="3">
        <f t="shared" si="25"/>
        <v>4500000</v>
      </c>
      <c r="AX396" s="3">
        <f t="shared" si="26"/>
        <v>9000000</v>
      </c>
      <c r="AY396" s="4">
        <f t="shared" si="27"/>
        <v>9</v>
      </c>
      <c r="BA396" s="4" t="s">
        <v>5726</v>
      </c>
      <c r="BB396" s="2"/>
      <c r="BC396" s="3"/>
      <c r="BD396" s="3"/>
    </row>
    <row r="397" spans="1:56" ht="16.8" customHeight="1">
      <c r="A397" s="1">
        <v>396</v>
      </c>
      <c r="B397" s="1" t="s">
        <v>42</v>
      </c>
      <c r="C397" s="1" t="s">
        <v>43</v>
      </c>
      <c r="D397" s="1" t="s">
        <v>1533</v>
      </c>
      <c r="E397" s="1" t="s">
        <v>1533</v>
      </c>
      <c r="F397" s="1" t="s">
        <v>1534</v>
      </c>
      <c r="G397" s="1" t="s">
        <v>207</v>
      </c>
      <c r="H397" s="1" t="s">
        <v>4764</v>
      </c>
      <c r="I397" s="18">
        <v>45931</v>
      </c>
      <c r="J397" s="18">
        <v>45931</v>
      </c>
      <c r="K397" s="18" t="s">
        <v>4752</v>
      </c>
      <c r="L397" s="18" t="s">
        <v>4734</v>
      </c>
      <c r="M397" s="2">
        <v>7600000</v>
      </c>
      <c r="N397" s="2">
        <v>7600000</v>
      </c>
      <c r="O397" s="2"/>
      <c r="P397" s="2" t="str">
        <f t="shared" si="24"/>
        <v/>
      </c>
      <c r="Q397" s="2"/>
      <c r="R397" s="2"/>
      <c r="S397" s="48"/>
      <c r="T397" s="2">
        <v>25080000</v>
      </c>
      <c r="U397" s="2">
        <v>0</v>
      </c>
      <c r="V397" s="1" t="s">
        <v>208</v>
      </c>
      <c r="W397" s="6" t="s">
        <v>209</v>
      </c>
      <c r="X397" s="1" t="s">
        <v>210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>
        <v>7600000</v>
      </c>
      <c r="AL397" s="3">
        <v>7600000</v>
      </c>
      <c r="AM397" s="3">
        <v>7600000</v>
      </c>
      <c r="AN397" s="3">
        <v>7600000</v>
      </c>
      <c r="AO397" s="3">
        <v>7600000</v>
      </c>
      <c r="AP397" s="3">
        <v>7600000</v>
      </c>
      <c r="AQ397" s="3"/>
      <c r="AR397" s="3"/>
      <c r="AS397" s="3"/>
      <c r="AT397" s="3"/>
      <c r="AU397" s="3"/>
      <c r="AV397" s="3"/>
      <c r="AW397" s="3">
        <f t="shared" si="25"/>
        <v>0</v>
      </c>
      <c r="AX397" s="3">
        <f t="shared" si="26"/>
        <v>45600000</v>
      </c>
      <c r="AY397" s="4">
        <f t="shared" si="27"/>
        <v>6</v>
      </c>
      <c r="AZ397" s="8" t="s">
        <v>5484</v>
      </c>
      <c r="BA397" s="4" t="s">
        <v>5727</v>
      </c>
      <c r="BB397" s="2"/>
      <c r="BC397" s="3"/>
      <c r="BD397" s="3"/>
    </row>
    <row r="398" spans="1:56" ht="16.8" customHeight="1">
      <c r="A398" s="1">
        <v>397</v>
      </c>
      <c r="B398" s="1" t="s">
        <v>42</v>
      </c>
      <c r="C398" s="1" t="s">
        <v>43</v>
      </c>
      <c r="D398" s="1" t="s">
        <v>1535</v>
      </c>
      <c r="E398" s="1" t="s">
        <v>1535</v>
      </c>
      <c r="F398" s="1" t="s">
        <v>1536</v>
      </c>
      <c r="G398" s="1" t="s">
        <v>1537</v>
      </c>
      <c r="H398" s="1" t="s">
        <v>4609</v>
      </c>
      <c r="I398" s="18">
        <v>45931</v>
      </c>
      <c r="J398" s="18">
        <v>45931</v>
      </c>
      <c r="K398" s="18" t="s">
        <v>4752</v>
      </c>
      <c r="L398" s="18" t="s">
        <v>4734</v>
      </c>
      <c r="M398" s="2">
        <v>300000</v>
      </c>
      <c r="N398" s="2">
        <v>300000</v>
      </c>
      <c r="O398" s="2"/>
      <c r="P398" s="2" t="str">
        <f t="shared" si="24"/>
        <v/>
      </c>
      <c r="Q398" s="2"/>
      <c r="R398" s="2"/>
      <c r="S398" s="48"/>
      <c r="T398" s="2">
        <v>900000</v>
      </c>
      <c r="U398" s="2">
        <v>0</v>
      </c>
      <c r="V398" s="1" t="s">
        <v>1537</v>
      </c>
      <c r="W398" s="6" t="s">
        <v>1539</v>
      </c>
      <c r="X398" s="1" t="s">
        <v>598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>
        <v>300000</v>
      </c>
      <c r="AI398" s="3">
        <v>300000</v>
      </c>
      <c r="AJ398" s="3">
        <v>300000</v>
      </c>
      <c r="AK398" s="3">
        <v>300000</v>
      </c>
      <c r="AL398" s="3">
        <v>300000</v>
      </c>
      <c r="AM398" s="3">
        <v>300000</v>
      </c>
      <c r="AN398" s="3">
        <v>300000</v>
      </c>
      <c r="AO398" s="3">
        <v>300000</v>
      </c>
      <c r="AP398" s="3">
        <v>300000</v>
      </c>
      <c r="AQ398" s="3"/>
      <c r="AR398" s="3"/>
      <c r="AS398" s="3"/>
      <c r="AT398" s="3"/>
      <c r="AU398" s="3"/>
      <c r="AV398" s="3"/>
      <c r="AW398" s="3">
        <f t="shared" si="25"/>
        <v>900000</v>
      </c>
      <c r="AX398" s="3">
        <f t="shared" si="26"/>
        <v>1800000</v>
      </c>
      <c r="AY398" s="4">
        <f t="shared" si="27"/>
        <v>9</v>
      </c>
      <c r="BA398" s="4" t="s">
        <v>5715</v>
      </c>
      <c r="BB398" s="2"/>
      <c r="BC398" s="3"/>
      <c r="BD398" s="3"/>
    </row>
    <row r="399" spans="1:56" ht="16.8" customHeight="1">
      <c r="A399" s="1">
        <v>398</v>
      </c>
      <c r="B399" s="1" t="s">
        <v>42</v>
      </c>
      <c r="C399" s="1" t="s">
        <v>43</v>
      </c>
      <c r="D399" s="1" t="s">
        <v>1540</v>
      </c>
      <c r="E399" s="1" t="s">
        <v>1540</v>
      </c>
      <c r="F399" s="1" t="s">
        <v>1541</v>
      </c>
      <c r="G399" s="1" t="s">
        <v>1542</v>
      </c>
      <c r="H399" s="1" t="s">
        <v>4960</v>
      </c>
      <c r="I399" s="18">
        <v>45231</v>
      </c>
      <c r="J399" s="18">
        <v>45275</v>
      </c>
      <c r="K399" s="18" t="s">
        <v>4961</v>
      </c>
      <c r="L399" s="18" t="s">
        <v>4734</v>
      </c>
      <c r="M399" s="2">
        <v>7000000</v>
      </c>
      <c r="N399" s="2">
        <v>7000000</v>
      </c>
      <c r="O399" s="2"/>
      <c r="P399" s="2" t="str">
        <f t="shared" si="24"/>
        <v/>
      </c>
      <c r="Q399" s="2"/>
      <c r="R399" s="2"/>
      <c r="S399" s="48"/>
      <c r="T399" s="2">
        <v>0</v>
      </c>
      <c r="U399" s="2">
        <v>0</v>
      </c>
      <c r="V399" s="1" t="s">
        <v>1542</v>
      </c>
      <c r="W399" s="6" t="s">
        <v>1543</v>
      </c>
      <c r="X399" s="1" t="s">
        <v>210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>
        <v>7000000</v>
      </c>
      <c r="AL399" s="3">
        <v>7000000</v>
      </c>
      <c r="AM399" s="3">
        <v>7000000</v>
      </c>
      <c r="AN399" s="3">
        <v>7000000</v>
      </c>
      <c r="AO399" s="3">
        <v>7000000</v>
      </c>
      <c r="AP399" s="3">
        <v>7000000</v>
      </c>
      <c r="AQ399" s="3">
        <v>7000000</v>
      </c>
      <c r="AR399" s="3">
        <v>7000000</v>
      </c>
      <c r="AS399" s="3">
        <v>7000000</v>
      </c>
      <c r="AT399" s="3"/>
      <c r="AU399" s="3"/>
      <c r="AV399" s="3"/>
      <c r="AW399" s="3">
        <f t="shared" si="25"/>
        <v>0</v>
      </c>
      <c r="AX399" s="3">
        <f t="shared" si="26"/>
        <v>63000000</v>
      </c>
      <c r="AY399" s="4">
        <f t="shared" si="27"/>
        <v>9</v>
      </c>
      <c r="BA399" s="4" t="s">
        <v>5718</v>
      </c>
      <c r="BB399" s="2">
        <v>23100000</v>
      </c>
      <c r="BC399" s="3"/>
      <c r="BD399" s="3"/>
    </row>
    <row r="400" spans="1:56" ht="16.8" customHeight="1">
      <c r="A400" s="1">
        <v>399</v>
      </c>
      <c r="B400" s="1" t="s">
        <v>42</v>
      </c>
      <c r="C400" s="1" t="s">
        <v>47</v>
      </c>
      <c r="D400" s="1" t="s">
        <v>1544</v>
      </c>
      <c r="E400" s="1" t="s">
        <v>1544</v>
      </c>
      <c r="F400" s="1" t="s">
        <v>1545</v>
      </c>
      <c r="G400" s="1" t="s">
        <v>1546</v>
      </c>
      <c r="H400" s="1" t="s">
        <v>4610</v>
      </c>
      <c r="I400" s="18">
        <v>45931</v>
      </c>
      <c r="J400" s="18">
        <v>45931</v>
      </c>
      <c r="K400" s="18" t="s">
        <v>4884</v>
      </c>
      <c r="L400" s="18" t="s">
        <v>4734</v>
      </c>
      <c r="M400" s="2">
        <v>500000</v>
      </c>
      <c r="N400" s="2">
        <v>500000</v>
      </c>
      <c r="O400" s="2"/>
      <c r="P400" s="2" t="str">
        <f t="shared" si="24"/>
        <v/>
      </c>
      <c r="Q400" s="2"/>
      <c r="R400" s="2"/>
      <c r="S400" s="48"/>
      <c r="T400" s="2">
        <v>3000000</v>
      </c>
      <c r="U400" s="2">
        <v>0</v>
      </c>
      <c r="V400" s="1" t="s">
        <v>228</v>
      </c>
      <c r="W400" s="6" t="s">
        <v>229</v>
      </c>
      <c r="X400" s="1" t="s">
        <v>106</v>
      </c>
      <c r="Y400" s="3"/>
      <c r="Z400" s="3"/>
      <c r="AA400" s="3"/>
      <c r="AB400" s="3"/>
      <c r="AC400" s="3"/>
      <c r="AD400" s="3"/>
      <c r="AE400" s="3"/>
      <c r="AF400" s="3"/>
      <c r="AG400" s="3"/>
      <c r="AH400" s="3">
        <v>500000</v>
      </c>
      <c r="AI400" s="3">
        <v>500000</v>
      </c>
      <c r="AJ400" s="3">
        <v>500000</v>
      </c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>
        <f t="shared" si="25"/>
        <v>1500000</v>
      </c>
      <c r="AX400" s="3">
        <f t="shared" si="26"/>
        <v>0</v>
      </c>
      <c r="AY400" s="4">
        <f t="shared" si="27"/>
        <v>3</v>
      </c>
      <c r="AZ400" s="8" t="s">
        <v>5489</v>
      </c>
      <c r="BA400" s="4" t="s">
        <v>5726</v>
      </c>
      <c r="BB400" s="2"/>
      <c r="BC400" s="3"/>
      <c r="BD400" s="4"/>
    </row>
    <row r="401" spans="1:56" ht="16.8" customHeight="1">
      <c r="A401" s="1">
        <v>400</v>
      </c>
      <c r="B401" s="1" t="s">
        <v>42</v>
      </c>
      <c r="C401" s="1" t="s">
        <v>47</v>
      </c>
      <c r="D401" s="1" t="s">
        <v>1547</v>
      </c>
      <c r="E401" s="1" t="s">
        <v>1547</v>
      </c>
      <c r="F401" s="1" t="s">
        <v>1548</v>
      </c>
      <c r="G401" s="1" t="s">
        <v>1549</v>
      </c>
      <c r="H401" s="1" t="s">
        <v>4962</v>
      </c>
      <c r="I401" s="18">
        <v>45931</v>
      </c>
      <c r="J401" s="18">
        <v>45931</v>
      </c>
      <c r="K401" s="18" t="s">
        <v>4884</v>
      </c>
      <c r="L401" s="18" t="s">
        <v>4734</v>
      </c>
      <c r="M401" s="2">
        <v>500000</v>
      </c>
      <c r="N401" s="2">
        <v>500000</v>
      </c>
      <c r="O401" s="2"/>
      <c r="P401" s="2" t="str">
        <f t="shared" si="24"/>
        <v/>
      </c>
      <c r="Q401" s="2"/>
      <c r="R401" s="2"/>
      <c r="S401" s="48"/>
      <c r="T401" s="2">
        <v>1500000</v>
      </c>
      <c r="U401" s="2">
        <v>0</v>
      </c>
      <c r="V401" s="1" t="s">
        <v>228</v>
      </c>
      <c r="W401" s="6" t="s">
        <v>739</v>
      </c>
      <c r="X401" s="1" t="s">
        <v>89</v>
      </c>
      <c r="Y401" s="3"/>
      <c r="Z401" s="3"/>
      <c r="AA401" s="3"/>
      <c r="AB401" s="3"/>
      <c r="AC401" s="3"/>
      <c r="AD401" s="3"/>
      <c r="AE401" s="3"/>
      <c r="AF401" s="3"/>
      <c r="AG401" s="3"/>
      <c r="AH401" s="3">
        <v>500000</v>
      </c>
      <c r="AI401" s="3">
        <v>500000</v>
      </c>
      <c r="AJ401" s="3">
        <v>500000</v>
      </c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>
        <f t="shared" si="25"/>
        <v>1500000</v>
      </c>
      <c r="AX401" s="3">
        <f t="shared" si="26"/>
        <v>0</v>
      </c>
      <c r="AY401" s="4">
        <f t="shared" si="27"/>
        <v>3</v>
      </c>
      <c r="BA401" s="4" t="s">
        <v>5726</v>
      </c>
      <c r="BB401" s="2"/>
      <c r="BC401" s="3"/>
      <c r="BD401" s="4"/>
    </row>
    <row r="402" spans="1:56" ht="16.8" customHeight="1">
      <c r="A402" s="1">
        <v>401</v>
      </c>
      <c r="B402" s="1" t="s">
        <v>42</v>
      </c>
      <c r="C402" s="1" t="s">
        <v>43</v>
      </c>
      <c r="D402" s="1" t="s">
        <v>1550</v>
      </c>
      <c r="E402" s="1" t="s">
        <v>1550</v>
      </c>
      <c r="F402" s="1" t="s">
        <v>1551</v>
      </c>
      <c r="G402" s="1" t="s">
        <v>1552</v>
      </c>
      <c r="H402" s="1" t="s">
        <v>4611</v>
      </c>
      <c r="I402" s="18">
        <v>45931</v>
      </c>
      <c r="J402" s="18">
        <v>45931</v>
      </c>
      <c r="K402" s="18" t="s">
        <v>4733</v>
      </c>
      <c r="L402" s="18" t="s">
        <v>4734</v>
      </c>
      <c r="M402" s="2">
        <v>7600000</v>
      </c>
      <c r="N402" s="2">
        <v>7600000</v>
      </c>
      <c r="O402" s="2"/>
      <c r="P402" s="2" t="str">
        <f t="shared" si="24"/>
        <v/>
      </c>
      <c r="Q402" s="2"/>
      <c r="R402" s="2"/>
      <c r="S402" s="48"/>
      <c r="T402" s="2">
        <v>45600000</v>
      </c>
      <c r="U402" s="2">
        <v>0</v>
      </c>
      <c r="V402" s="1" t="s">
        <v>1553</v>
      </c>
      <c r="W402" s="6" t="s">
        <v>1554</v>
      </c>
      <c r="X402" s="1" t="s">
        <v>481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>
        <v>7600000</v>
      </c>
      <c r="AI402" s="3">
        <v>7600000</v>
      </c>
      <c r="AJ402" s="3">
        <v>7600000</v>
      </c>
      <c r="AK402" s="3">
        <v>7600000</v>
      </c>
      <c r="AL402" s="3">
        <v>7600000</v>
      </c>
      <c r="AM402" s="3">
        <v>7600000</v>
      </c>
      <c r="AN402" s="3">
        <v>7600000</v>
      </c>
      <c r="AO402" s="3">
        <v>7600000</v>
      </c>
      <c r="AP402" s="3">
        <v>7600000</v>
      </c>
      <c r="AQ402" s="3"/>
      <c r="AR402" s="3"/>
      <c r="AS402" s="3"/>
      <c r="AT402" s="3"/>
      <c r="AU402" s="3"/>
      <c r="AV402" s="3"/>
      <c r="AW402" s="3">
        <f t="shared" si="25"/>
        <v>22800000</v>
      </c>
      <c r="AX402" s="3">
        <f t="shared" si="26"/>
        <v>45600000</v>
      </c>
      <c r="AY402" s="4">
        <f t="shared" si="27"/>
        <v>9</v>
      </c>
      <c r="AZ402" s="8" t="s">
        <v>5486</v>
      </c>
      <c r="BA402" s="4" t="s">
        <v>5727</v>
      </c>
      <c r="BB402" s="2"/>
      <c r="BC402" s="3"/>
      <c r="BD402" s="3"/>
    </row>
    <row r="403" spans="1:56" ht="16.8" customHeight="1">
      <c r="A403" s="1">
        <v>402</v>
      </c>
      <c r="B403" s="1" t="s">
        <v>42</v>
      </c>
      <c r="C403" s="1" t="s">
        <v>47</v>
      </c>
      <c r="D403" s="1" t="s">
        <v>1555</v>
      </c>
      <c r="E403" s="1" t="s">
        <v>1555</v>
      </c>
      <c r="F403" s="1" t="s">
        <v>1556</v>
      </c>
      <c r="G403" s="1" t="s">
        <v>1557</v>
      </c>
      <c r="H403" s="1" t="s">
        <v>4612</v>
      </c>
      <c r="I403" s="18">
        <v>45931</v>
      </c>
      <c r="J403" s="18">
        <v>45931</v>
      </c>
      <c r="K403" s="18" t="s">
        <v>4877</v>
      </c>
      <c r="L403" s="18" t="s">
        <v>4734</v>
      </c>
      <c r="M403" s="2">
        <v>500000</v>
      </c>
      <c r="N403" s="2">
        <v>500000</v>
      </c>
      <c r="O403" s="2"/>
      <c r="P403" s="2" t="str">
        <f t="shared" si="24"/>
        <v/>
      </c>
      <c r="Q403" s="2"/>
      <c r="R403" s="2"/>
      <c r="S403" s="48"/>
      <c r="T403" s="2">
        <v>1500000</v>
      </c>
      <c r="U403" s="2">
        <v>0</v>
      </c>
      <c r="V403" s="1" t="s">
        <v>1557</v>
      </c>
      <c r="W403" s="6" t="s">
        <v>1558</v>
      </c>
      <c r="X403" s="1" t="s">
        <v>1559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>
        <v>500000</v>
      </c>
      <c r="AI403" s="3">
        <v>500000</v>
      </c>
      <c r="AJ403" s="3">
        <v>500000</v>
      </c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>
        <f t="shared" si="25"/>
        <v>1500000</v>
      </c>
      <c r="AX403" s="3">
        <f t="shared" si="26"/>
        <v>0</v>
      </c>
      <c r="AY403" s="4">
        <f t="shared" si="27"/>
        <v>3</v>
      </c>
      <c r="AZ403" s="8" t="s">
        <v>5664</v>
      </c>
      <c r="BA403" s="4" t="s">
        <v>5726</v>
      </c>
      <c r="BB403" s="2"/>
      <c r="BC403" s="3"/>
      <c r="BD403" s="4"/>
    </row>
    <row r="404" spans="1:56" ht="16.8" customHeight="1">
      <c r="A404" s="1">
        <v>403</v>
      </c>
      <c r="B404" s="1" t="s">
        <v>42</v>
      </c>
      <c r="C404" s="1" t="s">
        <v>47</v>
      </c>
      <c r="D404" s="1" t="s">
        <v>1560</v>
      </c>
      <c r="E404" s="1" t="s">
        <v>1560</v>
      </c>
      <c r="F404" s="1" t="s">
        <v>1561</v>
      </c>
      <c r="G404" s="1" t="s">
        <v>1562</v>
      </c>
      <c r="H404" s="1" t="s">
        <v>3099</v>
      </c>
      <c r="I404" s="18">
        <v>45931</v>
      </c>
      <c r="J404" s="18">
        <v>45931</v>
      </c>
      <c r="K404" s="18" t="s">
        <v>4742</v>
      </c>
      <c r="L404" s="18" t="s">
        <v>4734</v>
      </c>
      <c r="M404" s="2">
        <v>500000</v>
      </c>
      <c r="N404" s="2">
        <v>500000</v>
      </c>
      <c r="O404" s="2"/>
      <c r="P404" s="2" t="str">
        <f t="shared" si="24"/>
        <v/>
      </c>
      <c r="Q404" s="2"/>
      <c r="R404" s="2"/>
      <c r="S404" s="48"/>
      <c r="T404" s="2">
        <v>1500000</v>
      </c>
      <c r="U404" s="2">
        <v>0</v>
      </c>
      <c r="V404" s="1" t="s">
        <v>328</v>
      </c>
      <c r="W404" s="6" t="s">
        <v>329</v>
      </c>
      <c r="X404" s="1" t="s">
        <v>333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>
        <v>500000</v>
      </c>
      <c r="AI404" s="3">
        <v>500000</v>
      </c>
      <c r="AJ404" s="3">
        <v>500000</v>
      </c>
      <c r="AK404" s="3">
        <v>500000</v>
      </c>
      <c r="AL404" s="3">
        <v>500000</v>
      </c>
      <c r="AM404" s="3">
        <v>500000</v>
      </c>
      <c r="AN404" s="3">
        <v>500000</v>
      </c>
      <c r="AO404" s="3">
        <v>500000</v>
      </c>
      <c r="AP404" s="3">
        <v>500000</v>
      </c>
      <c r="AQ404" s="3"/>
      <c r="AR404" s="3"/>
      <c r="AS404" s="3"/>
      <c r="AT404" s="3"/>
      <c r="AU404" s="3"/>
      <c r="AV404" s="3"/>
      <c r="AW404" s="3">
        <f t="shared" si="25"/>
        <v>1500000</v>
      </c>
      <c r="AX404" s="3">
        <f t="shared" si="26"/>
        <v>3000000</v>
      </c>
      <c r="AY404" s="4">
        <f t="shared" si="27"/>
        <v>9</v>
      </c>
      <c r="BA404" s="4" t="s">
        <v>5726</v>
      </c>
      <c r="BB404" s="2"/>
      <c r="BC404" s="3"/>
      <c r="BD404" s="3"/>
    </row>
    <row r="405" spans="1:56" ht="16.8" customHeight="1">
      <c r="A405" s="1">
        <v>404</v>
      </c>
      <c r="B405" s="1" t="s">
        <v>42</v>
      </c>
      <c r="C405" s="1" t="s">
        <v>43</v>
      </c>
      <c r="D405" s="1" t="s">
        <v>1563</v>
      </c>
      <c r="E405" s="1" t="s">
        <v>1563</v>
      </c>
      <c r="F405" s="1" t="s">
        <v>1564</v>
      </c>
      <c r="G405" s="1" t="s">
        <v>1565</v>
      </c>
      <c r="H405" s="1" t="s">
        <v>4963</v>
      </c>
      <c r="I405" s="18">
        <v>45931</v>
      </c>
      <c r="J405" s="18">
        <v>45931</v>
      </c>
      <c r="K405" s="18" t="s">
        <v>4752</v>
      </c>
      <c r="L405" s="18" t="s">
        <v>4734</v>
      </c>
      <c r="M405" s="2">
        <v>7200000</v>
      </c>
      <c r="N405" s="2">
        <v>7200000</v>
      </c>
      <c r="O405" s="2"/>
      <c r="P405" s="2" t="str">
        <f t="shared" si="24"/>
        <v/>
      </c>
      <c r="Q405" s="2"/>
      <c r="R405" s="2"/>
      <c r="S405" s="48"/>
      <c r="T405" s="2">
        <v>23760000</v>
      </c>
      <c r="U405" s="2">
        <v>0</v>
      </c>
      <c r="V405" s="1" t="s">
        <v>1565</v>
      </c>
      <c r="W405" s="6" t="s">
        <v>1566</v>
      </c>
      <c r="X405" s="1" t="s">
        <v>1567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>
        <v>7200000</v>
      </c>
      <c r="AL405" s="3">
        <v>7200000</v>
      </c>
      <c r="AM405" s="3">
        <v>7200000</v>
      </c>
      <c r="AN405" s="3">
        <v>7200000</v>
      </c>
      <c r="AO405" s="3">
        <v>7200000</v>
      </c>
      <c r="AP405" s="3">
        <v>7200000</v>
      </c>
      <c r="AQ405" s="3"/>
      <c r="AR405" s="3"/>
      <c r="AS405" s="3"/>
      <c r="AT405" s="3"/>
      <c r="AU405" s="3"/>
      <c r="AV405" s="3"/>
      <c r="AW405" s="3">
        <f t="shared" si="25"/>
        <v>0</v>
      </c>
      <c r="AX405" s="3">
        <f t="shared" si="26"/>
        <v>43200000</v>
      </c>
      <c r="AY405" s="4">
        <f t="shared" si="27"/>
        <v>6</v>
      </c>
      <c r="AZ405" s="8" t="s">
        <v>5484</v>
      </c>
      <c r="BA405" s="4" t="s">
        <v>5727</v>
      </c>
      <c r="BB405" s="2"/>
      <c r="BC405" s="3"/>
      <c r="BD405" s="3"/>
    </row>
    <row r="406" spans="1:56" ht="16.8" customHeight="1">
      <c r="A406" s="1">
        <v>405</v>
      </c>
      <c r="B406" s="1" t="s">
        <v>42</v>
      </c>
      <c r="C406" s="1" t="s">
        <v>185</v>
      </c>
      <c r="D406" s="1" t="s">
        <v>1568</v>
      </c>
      <c r="E406" s="1" t="s">
        <v>1568</v>
      </c>
      <c r="F406" s="1" t="s">
        <v>1569</v>
      </c>
      <c r="G406" s="1" t="s">
        <v>1570</v>
      </c>
      <c r="H406" s="1" t="s">
        <v>4964</v>
      </c>
      <c r="I406" s="18">
        <v>45931</v>
      </c>
      <c r="J406" s="18">
        <v>45931</v>
      </c>
      <c r="K406" s="18" t="s">
        <v>4777</v>
      </c>
      <c r="L406" s="18" t="s">
        <v>4734</v>
      </c>
      <c r="M406" s="2">
        <v>700000</v>
      </c>
      <c r="N406" s="2">
        <v>700000</v>
      </c>
      <c r="O406" s="2"/>
      <c r="P406" s="2" t="str">
        <f t="shared" si="24"/>
        <v/>
      </c>
      <c r="Q406" s="2"/>
      <c r="R406" s="2"/>
      <c r="S406" s="48"/>
      <c r="T406" s="2">
        <v>0</v>
      </c>
      <c r="U406" s="2">
        <v>0</v>
      </c>
      <c r="V406" s="1"/>
      <c r="W406" s="6"/>
      <c r="X406" s="1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>
        <v>700000</v>
      </c>
      <c r="AL406" s="3">
        <v>700000</v>
      </c>
      <c r="AM406" s="3">
        <v>700000</v>
      </c>
      <c r="AN406" s="3">
        <v>700000</v>
      </c>
      <c r="AO406" s="3">
        <v>700000</v>
      </c>
      <c r="AP406" s="3">
        <v>700000</v>
      </c>
      <c r="AQ406" s="3"/>
      <c r="AR406" s="3"/>
      <c r="AS406" s="3"/>
      <c r="AT406" s="3"/>
      <c r="AU406" s="3"/>
      <c r="AV406" s="3"/>
      <c r="AW406" s="3">
        <f t="shared" si="25"/>
        <v>0</v>
      </c>
      <c r="AX406" s="3">
        <f t="shared" si="26"/>
        <v>4200000</v>
      </c>
      <c r="AY406" s="4">
        <f t="shared" si="27"/>
        <v>6</v>
      </c>
      <c r="AZ406" s="8" t="s">
        <v>5540</v>
      </c>
      <c r="BA406" s="4" t="s">
        <v>5715</v>
      </c>
      <c r="BB406" s="2"/>
      <c r="BC406" s="3"/>
      <c r="BD406" s="3"/>
    </row>
    <row r="407" spans="1:56" ht="16.8" customHeight="1">
      <c r="A407" s="1">
        <v>406</v>
      </c>
      <c r="B407" s="1" t="s">
        <v>42</v>
      </c>
      <c r="C407" s="1" t="s">
        <v>43</v>
      </c>
      <c r="D407" s="1" t="s">
        <v>1571</v>
      </c>
      <c r="E407" s="1" t="s">
        <v>1571</v>
      </c>
      <c r="F407" s="1" t="s">
        <v>1572</v>
      </c>
      <c r="G407" s="1" t="s">
        <v>1552</v>
      </c>
      <c r="H407" s="1" t="s">
        <v>4611</v>
      </c>
      <c r="I407" s="18">
        <v>45931</v>
      </c>
      <c r="J407" s="18">
        <v>45931</v>
      </c>
      <c r="K407" s="18" t="s">
        <v>4733</v>
      </c>
      <c r="L407" s="18" t="s">
        <v>4734</v>
      </c>
      <c r="M407" s="2">
        <v>7600000</v>
      </c>
      <c r="N407" s="2">
        <v>7600000</v>
      </c>
      <c r="O407" s="2"/>
      <c r="P407" s="2" t="str">
        <f t="shared" si="24"/>
        <v/>
      </c>
      <c r="Q407" s="2"/>
      <c r="R407" s="2"/>
      <c r="S407" s="48"/>
      <c r="T407" s="2">
        <v>0</v>
      </c>
      <c r="U407" s="2">
        <v>0</v>
      </c>
      <c r="V407" s="1"/>
      <c r="W407" s="6"/>
      <c r="X407" s="1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>
        <v>7600000</v>
      </c>
      <c r="AL407" s="3">
        <v>7600000</v>
      </c>
      <c r="AM407" s="3">
        <v>7600000</v>
      </c>
      <c r="AN407" s="3">
        <v>7600000</v>
      </c>
      <c r="AO407" s="3">
        <v>7600000</v>
      </c>
      <c r="AP407" s="3">
        <v>7600000</v>
      </c>
      <c r="AQ407" s="3"/>
      <c r="AR407" s="3"/>
      <c r="AS407" s="3"/>
      <c r="AT407" s="3"/>
      <c r="AU407" s="3"/>
      <c r="AV407" s="3"/>
      <c r="AW407" s="3">
        <f t="shared" si="25"/>
        <v>0</v>
      </c>
      <c r="AX407" s="3">
        <f t="shared" si="26"/>
        <v>45600000</v>
      </c>
      <c r="AY407" s="4">
        <f t="shared" si="27"/>
        <v>6</v>
      </c>
      <c r="AZ407" s="8" t="s">
        <v>5486</v>
      </c>
      <c r="BA407" s="4" t="s">
        <v>5727</v>
      </c>
      <c r="BB407" s="2"/>
      <c r="BC407" s="3"/>
      <c r="BD407" s="3"/>
    </row>
    <row r="408" spans="1:56" ht="16.8" customHeight="1">
      <c r="A408" s="1">
        <v>407</v>
      </c>
      <c r="B408" s="1" t="s">
        <v>42</v>
      </c>
      <c r="C408" s="1" t="s">
        <v>43</v>
      </c>
      <c r="D408" s="1" t="s">
        <v>1573</v>
      </c>
      <c r="E408" s="1" t="s">
        <v>1573</v>
      </c>
      <c r="F408" s="1" t="s">
        <v>1574</v>
      </c>
      <c r="G408" s="1" t="s">
        <v>785</v>
      </c>
      <c r="H408" s="1" t="s">
        <v>4856</v>
      </c>
      <c r="I408" s="18">
        <v>45931</v>
      </c>
      <c r="J408" s="18">
        <v>45931</v>
      </c>
      <c r="K408" s="18">
        <v>46661</v>
      </c>
      <c r="L408" s="18" t="s">
        <v>4734</v>
      </c>
      <c r="M408" s="2">
        <v>7600000</v>
      </c>
      <c r="N408" s="2">
        <v>7600000</v>
      </c>
      <c r="O408" s="2"/>
      <c r="P408" s="2" t="str">
        <f t="shared" si="24"/>
        <v/>
      </c>
      <c r="Q408" s="2"/>
      <c r="R408" s="2"/>
      <c r="S408" s="48"/>
      <c r="T408" s="2">
        <v>25080000</v>
      </c>
      <c r="U408" s="2">
        <v>0</v>
      </c>
      <c r="V408" s="1" t="s">
        <v>785</v>
      </c>
      <c r="W408" s="6" t="s">
        <v>786</v>
      </c>
      <c r="X408" s="1" t="s">
        <v>787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>
        <v>7600000</v>
      </c>
      <c r="AL408" s="3">
        <v>7600000</v>
      </c>
      <c r="AM408" s="3">
        <v>7600000</v>
      </c>
      <c r="AN408" s="3">
        <v>7600000</v>
      </c>
      <c r="AO408" s="3">
        <v>7600000</v>
      </c>
      <c r="AP408" s="3">
        <v>7600000</v>
      </c>
      <c r="AQ408" s="3"/>
      <c r="AR408" s="3"/>
      <c r="AS408" s="3"/>
      <c r="AT408" s="3"/>
      <c r="AU408" s="3"/>
      <c r="AV408" s="3"/>
      <c r="AW408" s="3">
        <f t="shared" si="25"/>
        <v>0</v>
      </c>
      <c r="AX408" s="3">
        <f t="shared" si="26"/>
        <v>45600000</v>
      </c>
      <c r="AY408" s="4">
        <f t="shared" si="27"/>
        <v>6</v>
      </c>
      <c r="AZ408" s="8" t="s">
        <v>5511</v>
      </c>
      <c r="BA408" s="4" t="s">
        <v>5727</v>
      </c>
      <c r="BB408" s="2"/>
      <c r="BC408" s="3"/>
      <c r="BD408" s="3"/>
    </row>
    <row r="409" spans="1:56" ht="16.8" customHeight="1">
      <c r="A409" s="1">
        <v>408</v>
      </c>
      <c r="B409" s="1" t="s">
        <v>42</v>
      </c>
      <c r="C409" s="1" t="s">
        <v>43</v>
      </c>
      <c r="D409" s="1" t="s">
        <v>1575</v>
      </c>
      <c r="E409" s="1" t="s">
        <v>1575</v>
      </c>
      <c r="F409" s="1" t="s">
        <v>1576</v>
      </c>
      <c r="G409" s="1" t="s">
        <v>1577</v>
      </c>
      <c r="H409" s="1" t="s">
        <v>4613</v>
      </c>
      <c r="I409" s="18">
        <v>45931</v>
      </c>
      <c r="J409" s="18">
        <v>45931</v>
      </c>
      <c r="K409" s="18" t="s">
        <v>4733</v>
      </c>
      <c r="L409" s="18" t="s">
        <v>4734</v>
      </c>
      <c r="M409" s="2">
        <v>8200000</v>
      </c>
      <c r="N409" s="2">
        <v>8200000</v>
      </c>
      <c r="O409" s="2"/>
      <c r="P409" s="2" t="str">
        <f t="shared" si="24"/>
        <v/>
      </c>
      <c r="Q409" s="2"/>
      <c r="R409" s="2"/>
      <c r="S409" s="48"/>
      <c r="T409" s="2">
        <v>24600000</v>
      </c>
      <c r="U409" s="2">
        <v>0</v>
      </c>
      <c r="V409" s="1" t="s">
        <v>1577</v>
      </c>
      <c r="W409" s="6" t="s">
        <v>1578</v>
      </c>
      <c r="X409" s="1" t="s">
        <v>1344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>
        <v>8200000</v>
      </c>
      <c r="AI409" s="3">
        <v>8200000</v>
      </c>
      <c r="AJ409" s="3">
        <v>8200000</v>
      </c>
      <c r="AK409" s="3">
        <v>8200000</v>
      </c>
      <c r="AL409" s="3">
        <v>8200000</v>
      </c>
      <c r="AM409" s="3">
        <v>8200000</v>
      </c>
      <c r="AN409" s="3">
        <v>8200000</v>
      </c>
      <c r="AO409" s="3">
        <v>8200000</v>
      </c>
      <c r="AP409" s="3">
        <v>8200000</v>
      </c>
      <c r="AQ409" s="3"/>
      <c r="AR409" s="3"/>
      <c r="AS409" s="3"/>
      <c r="AT409" s="3"/>
      <c r="AU409" s="3"/>
      <c r="AV409" s="3"/>
      <c r="AW409" s="3">
        <f t="shared" si="25"/>
        <v>24600000</v>
      </c>
      <c r="AX409" s="3">
        <f t="shared" si="26"/>
        <v>49200000</v>
      </c>
      <c r="AY409" s="4">
        <f t="shared" si="27"/>
        <v>9</v>
      </c>
      <c r="AZ409" s="8" t="s">
        <v>5532</v>
      </c>
      <c r="BA409" s="4" t="s">
        <v>5727</v>
      </c>
      <c r="BB409" s="2"/>
      <c r="BC409" s="3"/>
      <c r="BD409" s="3"/>
    </row>
    <row r="410" spans="1:56" ht="16.8" customHeight="1">
      <c r="A410" s="1">
        <v>409</v>
      </c>
      <c r="B410" s="1" t="s">
        <v>42</v>
      </c>
      <c r="C410" s="1" t="s">
        <v>185</v>
      </c>
      <c r="D410" s="1" t="s">
        <v>1579</v>
      </c>
      <c r="E410" s="1" t="s">
        <v>1579</v>
      </c>
      <c r="F410" s="1" t="s">
        <v>1580</v>
      </c>
      <c r="G410" s="1" t="s">
        <v>1581</v>
      </c>
      <c r="H410" s="1" t="s">
        <v>4614</v>
      </c>
      <c r="I410" s="18">
        <v>45931</v>
      </c>
      <c r="J410" s="18">
        <v>45931</v>
      </c>
      <c r="K410" s="18" t="s">
        <v>4884</v>
      </c>
      <c r="L410" s="18" t="s">
        <v>4734</v>
      </c>
      <c r="M410" s="2">
        <v>500000</v>
      </c>
      <c r="N410" s="2">
        <v>500000</v>
      </c>
      <c r="O410" s="2"/>
      <c r="P410" s="2" t="str">
        <f t="shared" si="24"/>
        <v/>
      </c>
      <c r="Q410" s="2"/>
      <c r="R410" s="2"/>
      <c r="S410" s="48"/>
      <c r="T410" s="2">
        <v>1500000</v>
      </c>
      <c r="U410" s="2">
        <v>0</v>
      </c>
      <c r="V410" s="1" t="s">
        <v>1582</v>
      </c>
      <c r="W410" s="6" t="s">
        <v>1583</v>
      </c>
      <c r="X410" s="1" t="s">
        <v>1584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>
        <v>500000</v>
      </c>
      <c r="AI410" s="3">
        <v>500000</v>
      </c>
      <c r="AJ410" s="3">
        <v>500000</v>
      </c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>
        <f t="shared" si="25"/>
        <v>1500000</v>
      </c>
      <c r="AX410" s="3">
        <f t="shared" si="26"/>
        <v>0</v>
      </c>
      <c r="AY410" s="4">
        <f t="shared" si="27"/>
        <v>3</v>
      </c>
      <c r="AZ410" s="8" t="s">
        <v>5540</v>
      </c>
      <c r="BA410" s="4" t="s">
        <v>5726</v>
      </c>
      <c r="BB410" s="2"/>
      <c r="BC410" s="3"/>
      <c r="BD410" s="4"/>
    </row>
    <row r="411" spans="1:56" ht="16.8" customHeight="1">
      <c r="A411" s="1">
        <v>410</v>
      </c>
      <c r="B411" s="1" t="s">
        <v>42</v>
      </c>
      <c r="C411" s="1" t="s">
        <v>185</v>
      </c>
      <c r="D411" s="1" t="s">
        <v>1585</v>
      </c>
      <c r="E411" s="1" t="s">
        <v>1585</v>
      </c>
      <c r="F411" s="1" t="s">
        <v>1586</v>
      </c>
      <c r="G411" s="1" t="s">
        <v>1587</v>
      </c>
      <c r="H411" s="1" t="s">
        <v>4965</v>
      </c>
      <c r="I411" s="18">
        <v>46027</v>
      </c>
      <c r="J411" s="18">
        <v>46023</v>
      </c>
      <c r="K411" s="18" t="s">
        <v>4966</v>
      </c>
      <c r="L411" s="18" t="s">
        <v>4734</v>
      </c>
      <c r="M411" s="2">
        <v>7000000</v>
      </c>
      <c r="N411" s="2">
        <v>7000000</v>
      </c>
      <c r="O411" s="2"/>
      <c r="P411" s="2" t="str">
        <f t="shared" si="24"/>
        <v/>
      </c>
      <c r="Q411" s="2"/>
      <c r="R411" s="2"/>
      <c r="S411" s="48"/>
      <c r="T411" s="2">
        <v>46200000</v>
      </c>
      <c r="U411" s="2">
        <v>0</v>
      </c>
      <c r="V411" s="1" t="s">
        <v>1587</v>
      </c>
      <c r="W411" s="6" t="s">
        <v>1588</v>
      </c>
      <c r="X411" s="1" t="s">
        <v>1589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>
        <v>7000000</v>
      </c>
      <c r="AL411" s="3">
        <v>7000000</v>
      </c>
      <c r="AM411" s="3">
        <v>7000000</v>
      </c>
      <c r="AN411" s="3"/>
      <c r="AO411" s="3"/>
      <c r="AP411" s="3"/>
      <c r="AQ411" s="3"/>
      <c r="AR411" s="3"/>
      <c r="AS411" s="3"/>
      <c r="AT411" s="3"/>
      <c r="AU411" s="3"/>
      <c r="AV411" s="3"/>
      <c r="AW411" s="3">
        <f t="shared" si="25"/>
        <v>0</v>
      </c>
      <c r="AX411" s="3">
        <f t="shared" si="26"/>
        <v>21000000</v>
      </c>
      <c r="AY411" s="4">
        <f t="shared" si="27"/>
        <v>3</v>
      </c>
      <c r="AZ411" s="8" t="s">
        <v>5543</v>
      </c>
      <c r="BA411" s="4" t="s">
        <v>5716</v>
      </c>
      <c r="BB411" s="2"/>
      <c r="BC411" s="3"/>
      <c r="BD411" s="3"/>
    </row>
    <row r="412" spans="1:56" ht="16.8" customHeight="1">
      <c r="A412" s="1">
        <v>411</v>
      </c>
      <c r="B412" s="1" t="s">
        <v>42</v>
      </c>
      <c r="C412" s="1" t="s">
        <v>185</v>
      </c>
      <c r="D412" s="1" t="s">
        <v>1590</v>
      </c>
      <c r="E412" s="1" t="s">
        <v>1590</v>
      </c>
      <c r="F412" s="1" t="s">
        <v>1591</v>
      </c>
      <c r="G412" s="1" t="s">
        <v>1592</v>
      </c>
      <c r="H412" s="1" t="s">
        <v>4967</v>
      </c>
      <c r="I412" s="18">
        <v>45931</v>
      </c>
      <c r="J412" s="18">
        <v>45931</v>
      </c>
      <c r="K412" s="18" t="s">
        <v>4968</v>
      </c>
      <c r="L412" s="18" t="s">
        <v>4734</v>
      </c>
      <c r="M412" s="2">
        <v>500000</v>
      </c>
      <c r="N412" s="2">
        <v>500000</v>
      </c>
      <c r="O412" s="2"/>
      <c r="P412" s="2" t="str">
        <f t="shared" si="24"/>
        <v/>
      </c>
      <c r="Q412" s="2"/>
      <c r="R412" s="2"/>
      <c r="S412" s="48"/>
      <c r="T412" s="2">
        <v>0</v>
      </c>
      <c r="U412" s="2">
        <v>0</v>
      </c>
      <c r="V412" s="1"/>
      <c r="W412" s="6"/>
      <c r="X412" s="1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>
        <v>500000</v>
      </c>
      <c r="AL412" s="3">
        <v>500000</v>
      </c>
      <c r="AM412" s="3">
        <v>500000</v>
      </c>
      <c r="AN412" s="3">
        <v>500000</v>
      </c>
      <c r="AO412" s="3">
        <v>500000</v>
      </c>
      <c r="AP412" s="3">
        <v>500000</v>
      </c>
      <c r="AQ412" s="3"/>
      <c r="AR412" s="3"/>
      <c r="AS412" s="3"/>
      <c r="AT412" s="3"/>
      <c r="AU412" s="3"/>
      <c r="AV412" s="3"/>
      <c r="AW412" s="3">
        <f t="shared" si="25"/>
        <v>0</v>
      </c>
      <c r="AX412" s="3">
        <f t="shared" si="26"/>
        <v>3000000</v>
      </c>
      <c r="AY412" s="4">
        <f t="shared" si="27"/>
        <v>6</v>
      </c>
      <c r="AZ412" s="8" t="s">
        <v>5532</v>
      </c>
      <c r="BA412" s="4" t="s">
        <v>5715</v>
      </c>
      <c r="BB412" s="2"/>
      <c r="BC412" s="3"/>
      <c r="BD412" s="3"/>
    </row>
    <row r="413" spans="1:56" ht="16.8" customHeight="1">
      <c r="A413" s="1">
        <v>412</v>
      </c>
      <c r="B413" s="1" t="s">
        <v>42</v>
      </c>
      <c r="C413" s="1" t="s">
        <v>43</v>
      </c>
      <c r="D413" s="1" t="s">
        <v>1593</v>
      </c>
      <c r="E413" s="1" t="s">
        <v>1593</v>
      </c>
      <c r="F413" s="1" t="s">
        <v>1594</v>
      </c>
      <c r="G413" s="1" t="s">
        <v>1595</v>
      </c>
      <c r="H413" s="1" t="s">
        <v>4615</v>
      </c>
      <c r="I413" s="18">
        <v>45931</v>
      </c>
      <c r="J413" s="18">
        <v>45931</v>
      </c>
      <c r="K413" s="18" t="s">
        <v>4733</v>
      </c>
      <c r="L413" s="18" t="s">
        <v>4734</v>
      </c>
      <c r="M413" s="2">
        <v>8200000</v>
      </c>
      <c r="N413" s="2">
        <v>8200000</v>
      </c>
      <c r="O413" s="2"/>
      <c r="P413" s="2" t="str">
        <f t="shared" si="24"/>
        <v/>
      </c>
      <c r="Q413" s="2"/>
      <c r="R413" s="2"/>
      <c r="S413" s="48"/>
      <c r="T413" s="2">
        <v>24600000</v>
      </c>
      <c r="U413" s="2">
        <v>0</v>
      </c>
      <c r="V413" s="1" t="s">
        <v>1596</v>
      </c>
      <c r="W413" s="6" t="s">
        <v>1597</v>
      </c>
      <c r="X413" s="1" t="s">
        <v>1598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>
        <v>8200000</v>
      </c>
      <c r="AI413" s="3">
        <v>8200000</v>
      </c>
      <c r="AJ413" s="3">
        <v>8200000</v>
      </c>
      <c r="AK413" s="3">
        <v>8200000</v>
      </c>
      <c r="AL413" s="3">
        <v>8200000</v>
      </c>
      <c r="AM413" s="3">
        <v>8200000</v>
      </c>
      <c r="AN413" s="3">
        <v>8200000</v>
      </c>
      <c r="AO413" s="3">
        <v>8200000</v>
      </c>
      <c r="AP413" s="3">
        <v>8200000</v>
      </c>
      <c r="AQ413" s="3"/>
      <c r="AR413" s="3"/>
      <c r="AS413" s="3"/>
      <c r="AT413" s="3"/>
      <c r="AU413" s="3"/>
      <c r="AV413" s="3"/>
      <c r="AW413" s="3">
        <f t="shared" si="25"/>
        <v>24600000</v>
      </c>
      <c r="AX413" s="3">
        <f t="shared" si="26"/>
        <v>49200000</v>
      </c>
      <c r="AY413" s="4">
        <f t="shared" si="27"/>
        <v>9</v>
      </c>
      <c r="AZ413" s="8" t="s">
        <v>5486</v>
      </c>
      <c r="BA413" s="4" t="s">
        <v>5727</v>
      </c>
      <c r="BB413" s="2"/>
      <c r="BC413" s="3"/>
      <c r="BD413" s="3"/>
    </row>
    <row r="414" spans="1:56" ht="16.8" customHeight="1">
      <c r="A414" s="1">
        <v>413</v>
      </c>
      <c r="B414" s="1" t="s">
        <v>42</v>
      </c>
      <c r="C414" s="1" t="s">
        <v>185</v>
      </c>
      <c r="D414" s="1" t="s">
        <v>1599</v>
      </c>
      <c r="E414" s="1" t="s">
        <v>1599</v>
      </c>
      <c r="F414" s="1" t="s">
        <v>1600</v>
      </c>
      <c r="G414" s="1" t="s">
        <v>1601</v>
      </c>
      <c r="H414" s="1" t="s">
        <v>4969</v>
      </c>
      <c r="I414" s="18">
        <v>45931</v>
      </c>
      <c r="J414" s="18">
        <v>45931</v>
      </c>
      <c r="K414" s="18" t="s">
        <v>4968</v>
      </c>
      <c r="L414" s="18" t="s">
        <v>4734</v>
      </c>
      <c r="M414" s="2">
        <v>500000</v>
      </c>
      <c r="N414" s="2">
        <v>500000</v>
      </c>
      <c r="O414" s="2"/>
      <c r="P414" s="2" t="str">
        <f t="shared" si="24"/>
        <v/>
      </c>
      <c r="Q414" s="2"/>
      <c r="R414" s="2"/>
      <c r="S414" s="48"/>
      <c r="T414" s="2">
        <v>0</v>
      </c>
      <c r="U414" s="2">
        <v>0</v>
      </c>
      <c r="V414" s="1"/>
      <c r="W414" s="6"/>
      <c r="X414" s="1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>
        <v>500000</v>
      </c>
      <c r="AL414" s="3">
        <v>500000</v>
      </c>
      <c r="AM414" s="3">
        <v>500000</v>
      </c>
      <c r="AN414" s="3">
        <v>500000</v>
      </c>
      <c r="AO414" s="3">
        <v>500000</v>
      </c>
      <c r="AP414" s="3">
        <v>500000</v>
      </c>
      <c r="AQ414" s="3"/>
      <c r="AR414" s="3"/>
      <c r="AS414" s="3"/>
      <c r="AT414" s="3"/>
      <c r="AU414" s="3"/>
      <c r="AV414" s="3"/>
      <c r="AW414" s="3">
        <f t="shared" si="25"/>
        <v>0</v>
      </c>
      <c r="AX414" s="3">
        <f t="shared" si="26"/>
        <v>3000000</v>
      </c>
      <c r="AY414" s="4">
        <f t="shared" si="27"/>
        <v>6</v>
      </c>
      <c r="AZ414" s="8" t="s">
        <v>5495</v>
      </c>
      <c r="BA414" s="4" t="s">
        <v>5715</v>
      </c>
      <c r="BB414" s="2"/>
      <c r="BC414" s="3"/>
      <c r="BD414" s="3"/>
    </row>
    <row r="415" spans="1:56" ht="16.8" customHeight="1">
      <c r="A415" s="1">
        <v>414</v>
      </c>
      <c r="B415" s="1" t="s">
        <v>42</v>
      </c>
      <c r="C415" s="1" t="s">
        <v>43</v>
      </c>
      <c r="D415" s="1" t="s">
        <v>1602</v>
      </c>
      <c r="E415" s="1" t="s">
        <v>1602</v>
      </c>
      <c r="F415" s="1" t="s">
        <v>1603</v>
      </c>
      <c r="G415" s="1" t="s">
        <v>1604</v>
      </c>
      <c r="H415" s="1" t="s">
        <v>4970</v>
      </c>
      <c r="I415" s="18">
        <v>46023</v>
      </c>
      <c r="J415" s="18">
        <v>46023</v>
      </c>
      <c r="K415" s="18">
        <v>47848</v>
      </c>
      <c r="L415" s="18" t="s">
        <v>4734</v>
      </c>
      <c r="M415" s="2">
        <v>2727273</v>
      </c>
      <c r="N415" s="2">
        <v>2727273</v>
      </c>
      <c r="O415" s="2"/>
      <c r="P415" s="2" t="str">
        <f t="shared" si="24"/>
        <v/>
      </c>
      <c r="Q415" s="2"/>
      <c r="R415" s="2"/>
      <c r="S415" s="48"/>
      <c r="T415" s="2">
        <v>0</v>
      </c>
      <c r="U415" s="2">
        <v>0</v>
      </c>
      <c r="V415" s="1" t="s">
        <v>1604</v>
      </c>
      <c r="W415" s="6" t="s">
        <v>1605</v>
      </c>
      <c r="X415" s="1" t="s">
        <v>210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>
        <v>2727273</v>
      </c>
      <c r="AL415" s="3">
        <v>2727273</v>
      </c>
      <c r="AM415" s="3">
        <v>2727273</v>
      </c>
      <c r="AN415" s="3">
        <v>2727273</v>
      </c>
      <c r="AO415" s="3">
        <v>2727273</v>
      </c>
      <c r="AP415" s="3">
        <v>2727273</v>
      </c>
      <c r="AQ415" s="3">
        <v>2727273</v>
      </c>
      <c r="AR415" s="3">
        <v>2727273</v>
      </c>
      <c r="AS415" s="3">
        <v>2727273</v>
      </c>
      <c r="AT415" s="3">
        <v>2727273</v>
      </c>
      <c r="AU415" s="3">
        <v>2727273</v>
      </c>
      <c r="AV415" s="3">
        <v>2727273</v>
      </c>
      <c r="AW415" s="3">
        <f t="shared" si="25"/>
        <v>0</v>
      </c>
      <c r="AX415" s="3">
        <f t="shared" si="26"/>
        <v>32727276</v>
      </c>
      <c r="AY415" s="4">
        <f t="shared" si="27"/>
        <v>12</v>
      </c>
      <c r="AZ415" s="8" t="s">
        <v>5544</v>
      </c>
      <c r="BA415" s="4" t="s">
        <v>5726</v>
      </c>
      <c r="BB415" s="2"/>
      <c r="BC415" s="3"/>
      <c r="BD415" s="3"/>
    </row>
    <row r="416" spans="1:56" ht="16.8" customHeight="1">
      <c r="A416" s="1">
        <v>415</v>
      </c>
      <c r="B416" s="1" t="s">
        <v>42</v>
      </c>
      <c r="C416" s="1" t="s">
        <v>47</v>
      </c>
      <c r="D416" s="1" t="s">
        <v>1606</v>
      </c>
      <c r="E416" s="1" t="s">
        <v>1606</v>
      </c>
      <c r="F416" s="1" t="s">
        <v>1607</v>
      </c>
      <c r="G416" s="1" t="s">
        <v>1608</v>
      </c>
      <c r="H416" s="1" t="s">
        <v>4616</v>
      </c>
      <c r="I416" s="18">
        <v>45931</v>
      </c>
      <c r="J416" s="18">
        <v>45931</v>
      </c>
      <c r="K416" s="18" t="s">
        <v>4884</v>
      </c>
      <c r="L416" s="18" t="s">
        <v>4734</v>
      </c>
      <c r="M416" s="2">
        <v>1500000</v>
      </c>
      <c r="N416" s="2">
        <v>1500000</v>
      </c>
      <c r="O416" s="2"/>
      <c r="P416" s="2" t="str">
        <f t="shared" si="24"/>
        <v/>
      </c>
      <c r="Q416" s="2"/>
      <c r="R416" s="2"/>
      <c r="S416" s="48"/>
      <c r="T416" s="2">
        <v>4500000</v>
      </c>
      <c r="U416" s="2">
        <v>0</v>
      </c>
      <c r="V416" s="1" t="s">
        <v>1609</v>
      </c>
      <c r="W416" s="6" t="s">
        <v>1610</v>
      </c>
      <c r="X416" s="1" t="s">
        <v>1222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>
        <v>1500000</v>
      </c>
      <c r="AI416" s="3">
        <v>1500000</v>
      </c>
      <c r="AJ416" s="3">
        <v>1500000</v>
      </c>
      <c r="AK416" s="3">
        <v>1500000</v>
      </c>
      <c r="AL416" s="3">
        <v>1500000</v>
      </c>
      <c r="AM416" s="3">
        <v>1500000</v>
      </c>
      <c r="AN416" s="3">
        <v>1500000</v>
      </c>
      <c r="AO416" s="3">
        <v>1500000</v>
      </c>
      <c r="AP416" s="3">
        <v>1500000</v>
      </c>
      <c r="AQ416" s="3"/>
      <c r="AR416" s="3"/>
      <c r="AS416" s="3"/>
      <c r="AT416" s="3"/>
      <c r="AU416" s="3"/>
      <c r="AV416" s="3"/>
      <c r="AW416" s="3">
        <f t="shared" si="25"/>
        <v>4500000</v>
      </c>
      <c r="AX416" s="3">
        <f t="shared" si="26"/>
        <v>9000000</v>
      </c>
      <c r="AY416" s="4">
        <f t="shared" si="27"/>
        <v>9</v>
      </c>
      <c r="AZ416" s="8" t="s">
        <v>5495</v>
      </c>
      <c r="BA416" s="4" t="s">
        <v>5726</v>
      </c>
      <c r="BB416" s="2"/>
      <c r="BC416" s="3"/>
      <c r="BD416" s="3"/>
    </row>
    <row r="417" spans="1:56" ht="16.8" customHeight="1">
      <c r="A417" s="1">
        <v>416</v>
      </c>
      <c r="B417" s="1" t="s">
        <v>42</v>
      </c>
      <c r="C417" s="1" t="s">
        <v>47</v>
      </c>
      <c r="D417" s="1" t="s">
        <v>1611</v>
      </c>
      <c r="E417" s="1" t="s">
        <v>1611</v>
      </c>
      <c r="F417" s="1" t="s">
        <v>1612</v>
      </c>
      <c r="G417" s="1" t="s">
        <v>1613</v>
      </c>
      <c r="H417" s="1" t="s">
        <v>4617</v>
      </c>
      <c r="I417" s="18">
        <v>45931</v>
      </c>
      <c r="J417" s="18">
        <v>45931</v>
      </c>
      <c r="K417" s="18" t="s">
        <v>4884</v>
      </c>
      <c r="L417" s="18" t="s">
        <v>4734</v>
      </c>
      <c r="M417" s="2">
        <v>500000</v>
      </c>
      <c r="N417" s="2">
        <v>500000</v>
      </c>
      <c r="O417" s="2"/>
      <c r="P417" s="2" t="str">
        <f t="shared" si="24"/>
        <v/>
      </c>
      <c r="Q417" s="2"/>
      <c r="R417" s="2"/>
      <c r="S417" s="48"/>
      <c r="T417" s="2">
        <v>1500000</v>
      </c>
      <c r="U417" s="2">
        <v>0</v>
      </c>
      <c r="V417" s="1" t="s">
        <v>1614</v>
      </c>
      <c r="W417" s="6" t="s">
        <v>1615</v>
      </c>
      <c r="X417" s="1" t="s">
        <v>224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>
        <v>500000</v>
      </c>
      <c r="AI417" s="3">
        <v>500000</v>
      </c>
      <c r="AJ417" s="3">
        <v>500000</v>
      </c>
      <c r="AK417" s="3">
        <v>500000</v>
      </c>
      <c r="AL417" s="3">
        <v>500000</v>
      </c>
      <c r="AM417" s="3">
        <v>500000</v>
      </c>
      <c r="AN417" s="3">
        <v>500000</v>
      </c>
      <c r="AO417" s="3">
        <v>500000</v>
      </c>
      <c r="AP417" s="3">
        <v>500000</v>
      </c>
      <c r="AQ417" s="3"/>
      <c r="AR417" s="3"/>
      <c r="AS417" s="3"/>
      <c r="AT417" s="3"/>
      <c r="AU417" s="3"/>
      <c r="AV417" s="3"/>
      <c r="AW417" s="3">
        <f t="shared" si="25"/>
        <v>1500000</v>
      </c>
      <c r="AX417" s="3">
        <f t="shared" si="26"/>
        <v>3000000</v>
      </c>
      <c r="AY417" s="4">
        <f t="shared" si="27"/>
        <v>9</v>
      </c>
      <c r="AZ417" s="8" t="s">
        <v>5545</v>
      </c>
      <c r="BA417" s="4" t="s">
        <v>5726</v>
      </c>
      <c r="BB417" s="2"/>
      <c r="BC417" s="3"/>
      <c r="BD417" s="3"/>
    </row>
    <row r="418" spans="1:56" ht="16.8" customHeight="1">
      <c r="A418" s="1">
        <v>417</v>
      </c>
      <c r="B418" s="1" t="s">
        <v>42</v>
      </c>
      <c r="C418" s="1" t="s">
        <v>47</v>
      </c>
      <c r="D418" s="1" t="s">
        <v>1616</v>
      </c>
      <c r="E418" s="1" t="s">
        <v>1616</v>
      </c>
      <c r="F418" s="1" t="s">
        <v>1617</v>
      </c>
      <c r="G418" s="1" t="s">
        <v>1618</v>
      </c>
      <c r="H418" s="1" t="s">
        <v>3137</v>
      </c>
      <c r="I418" s="18">
        <v>45931</v>
      </c>
      <c r="J418" s="18">
        <v>45931</v>
      </c>
      <c r="K418" s="18" t="s">
        <v>4768</v>
      </c>
      <c r="L418" s="18" t="s">
        <v>4734</v>
      </c>
      <c r="M418" s="2">
        <v>500000</v>
      </c>
      <c r="N418" s="2">
        <v>500000</v>
      </c>
      <c r="O418" s="2"/>
      <c r="P418" s="2" t="str">
        <f t="shared" si="24"/>
        <v/>
      </c>
      <c r="Q418" s="2"/>
      <c r="R418" s="2"/>
      <c r="S418" s="48"/>
      <c r="T418" s="2">
        <v>1500000</v>
      </c>
      <c r="U418" s="2">
        <v>0</v>
      </c>
      <c r="V418" s="1" t="s">
        <v>328</v>
      </c>
      <c r="W418" s="6" t="s">
        <v>329</v>
      </c>
      <c r="X418" s="1" t="s">
        <v>333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>
        <v>500000</v>
      </c>
      <c r="AI418" s="3">
        <v>500000</v>
      </c>
      <c r="AJ418" s="3">
        <v>500000</v>
      </c>
      <c r="AK418" s="3">
        <v>500000</v>
      </c>
      <c r="AL418" s="3">
        <v>500000</v>
      </c>
      <c r="AM418" s="3">
        <v>500000</v>
      </c>
      <c r="AN418" s="3">
        <v>500000</v>
      </c>
      <c r="AO418" s="3">
        <v>500000</v>
      </c>
      <c r="AP418" s="3">
        <v>500000</v>
      </c>
      <c r="AQ418" s="3"/>
      <c r="AR418" s="3"/>
      <c r="AS418" s="3"/>
      <c r="AT418" s="3"/>
      <c r="AU418" s="3"/>
      <c r="AV418" s="3"/>
      <c r="AW418" s="3">
        <f t="shared" si="25"/>
        <v>1500000</v>
      </c>
      <c r="AX418" s="3">
        <f t="shared" si="26"/>
        <v>3000000</v>
      </c>
      <c r="AY418" s="4">
        <f t="shared" si="27"/>
        <v>9</v>
      </c>
      <c r="AZ418" s="8">
        <v>0</v>
      </c>
      <c r="BA418" s="4" t="s">
        <v>5726</v>
      </c>
      <c r="BB418" s="2"/>
      <c r="BC418" s="3"/>
      <c r="BD418" s="3"/>
    </row>
    <row r="419" spans="1:56" ht="16.8" customHeight="1">
      <c r="A419" s="1">
        <v>418</v>
      </c>
      <c r="B419" s="1" t="s">
        <v>42</v>
      </c>
      <c r="C419" s="1" t="s">
        <v>47</v>
      </c>
      <c r="D419" s="1" t="s">
        <v>1619</v>
      </c>
      <c r="E419" s="1" t="s">
        <v>1619</v>
      </c>
      <c r="F419" s="1" t="s">
        <v>1620</v>
      </c>
      <c r="G419" s="1" t="s">
        <v>1621</v>
      </c>
      <c r="H419" s="1" t="s">
        <v>4971</v>
      </c>
      <c r="I419" s="18">
        <v>45931</v>
      </c>
      <c r="J419" s="18">
        <v>45931</v>
      </c>
      <c r="K419" s="18" t="s">
        <v>4884</v>
      </c>
      <c r="L419" s="18" t="s">
        <v>4734</v>
      </c>
      <c r="M419" s="2">
        <v>500000</v>
      </c>
      <c r="N419" s="2">
        <v>500000</v>
      </c>
      <c r="O419" s="2"/>
      <c r="P419" s="2" t="str">
        <f t="shared" si="24"/>
        <v/>
      </c>
      <c r="Q419" s="2"/>
      <c r="R419" s="2"/>
      <c r="S419" s="48"/>
      <c r="T419" s="2">
        <v>1500000</v>
      </c>
      <c r="U419" s="2">
        <v>0</v>
      </c>
      <c r="V419" s="1" t="s">
        <v>1621</v>
      </c>
      <c r="W419" s="6" t="s">
        <v>1622</v>
      </c>
      <c r="X419" s="1" t="s">
        <v>106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>
        <v>500000</v>
      </c>
      <c r="AI419" s="3">
        <v>500000</v>
      </c>
      <c r="AJ419" s="3">
        <v>500000</v>
      </c>
      <c r="AK419" s="3">
        <v>500000</v>
      </c>
      <c r="AL419" s="3">
        <v>500000</v>
      </c>
      <c r="AM419" s="3">
        <v>500000</v>
      </c>
      <c r="AN419" s="3">
        <v>500000</v>
      </c>
      <c r="AO419" s="3">
        <v>500000</v>
      </c>
      <c r="AP419" s="3">
        <v>500000</v>
      </c>
      <c r="AQ419" s="3"/>
      <c r="AR419" s="3"/>
      <c r="AS419" s="3"/>
      <c r="AT419" s="3"/>
      <c r="AU419" s="3"/>
      <c r="AV419" s="3"/>
      <c r="AW419" s="3">
        <f t="shared" si="25"/>
        <v>1500000</v>
      </c>
      <c r="AX419" s="3">
        <f t="shared" si="26"/>
        <v>3000000</v>
      </c>
      <c r="AY419" s="4">
        <f t="shared" si="27"/>
        <v>9</v>
      </c>
      <c r="AZ419" s="8">
        <v>0</v>
      </c>
      <c r="BA419" s="4" t="s">
        <v>5726</v>
      </c>
      <c r="BB419" s="2"/>
      <c r="BC419" s="3"/>
      <c r="BD419" s="3"/>
    </row>
    <row r="420" spans="1:56" ht="16.8" customHeight="1">
      <c r="A420" s="1">
        <v>419</v>
      </c>
      <c r="B420" s="1" t="s">
        <v>42</v>
      </c>
      <c r="C420" s="1" t="s">
        <v>185</v>
      </c>
      <c r="D420" s="1" t="s">
        <v>1623</v>
      </c>
      <c r="E420" s="1" t="s">
        <v>1623</v>
      </c>
      <c r="F420" s="1" t="s">
        <v>1624</v>
      </c>
      <c r="G420" s="1" t="s">
        <v>1625</v>
      </c>
      <c r="H420" s="1" t="s">
        <v>4618</v>
      </c>
      <c r="I420" s="18">
        <v>45931</v>
      </c>
      <c r="J420" s="18">
        <v>45931</v>
      </c>
      <c r="K420" s="18" t="s">
        <v>4737</v>
      </c>
      <c r="L420" s="18" t="s">
        <v>4734</v>
      </c>
      <c r="M420" s="2">
        <v>2000000</v>
      </c>
      <c r="N420" s="2">
        <v>2000000</v>
      </c>
      <c r="O420" s="2"/>
      <c r="P420" s="2" t="str">
        <f t="shared" si="24"/>
        <v/>
      </c>
      <c r="Q420" s="2"/>
      <c r="R420" s="2"/>
      <c r="S420" s="48"/>
      <c r="T420" s="2">
        <v>6000000</v>
      </c>
      <c r="U420" s="2">
        <v>0</v>
      </c>
      <c r="V420" s="1" t="s">
        <v>1625</v>
      </c>
      <c r="W420" s="6" t="s">
        <v>1626</v>
      </c>
      <c r="X420" s="1" t="s">
        <v>1627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>
        <v>2000000</v>
      </c>
      <c r="AI420" s="3">
        <v>2000000</v>
      </c>
      <c r="AJ420" s="3">
        <v>2000000</v>
      </c>
      <c r="AK420" s="3">
        <v>2000000</v>
      </c>
      <c r="AL420" s="3">
        <v>2000000</v>
      </c>
      <c r="AM420" s="3">
        <v>2000000</v>
      </c>
      <c r="AN420" s="3">
        <v>2000000</v>
      </c>
      <c r="AO420" s="3">
        <v>2000000</v>
      </c>
      <c r="AP420" s="3">
        <v>2000000</v>
      </c>
      <c r="AQ420" s="3"/>
      <c r="AR420" s="3"/>
      <c r="AS420" s="3"/>
      <c r="AT420" s="3"/>
      <c r="AU420" s="3"/>
      <c r="AV420" s="3"/>
      <c r="AW420" s="3">
        <f t="shared" si="25"/>
        <v>6000000</v>
      </c>
      <c r="AX420" s="3">
        <f t="shared" si="26"/>
        <v>12000000</v>
      </c>
      <c r="AY420" s="4">
        <f t="shared" si="27"/>
        <v>9</v>
      </c>
      <c r="AZ420" s="8" t="s">
        <v>5503</v>
      </c>
      <c r="BA420" s="4" t="s">
        <v>5726</v>
      </c>
      <c r="BB420" s="2"/>
      <c r="BC420" s="3"/>
      <c r="BD420" s="3"/>
    </row>
    <row r="421" spans="1:56" ht="16.8" customHeight="1">
      <c r="A421" s="1">
        <v>420</v>
      </c>
      <c r="B421" s="1" t="s">
        <v>42</v>
      </c>
      <c r="C421" s="1" t="s">
        <v>47</v>
      </c>
      <c r="D421" s="1" t="s">
        <v>1628</v>
      </c>
      <c r="E421" s="1" t="s">
        <v>1628</v>
      </c>
      <c r="F421" s="1" t="s">
        <v>1629</v>
      </c>
      <c r="G421" s="1" t="s">
        <v>1630</v>
      </c>
      <c r="H421" s="1" t="s">
        <v>4972</v>
      </c>
      <c r="I421" s="18">
        <v>45931</v>
      </c>
      <c r="J421" s="18">
        <v>45931</v>
      </c>
      <c r="K421" s="18" t="s">
        <v>4737</v>
      </c>
      <c r="L421" s="18" t="s">
        <v>4734</v>
      </c>
      <c r="M421" s="2">
        <v>500000</v>
      </c>
      <c r="N421" s="2">
        <v>500000</v>
      </c>
      <c r="O421" s="2"/>
      <c r="P421" s="2" t="str">
        <f t="shared" si="24"/>
        <v/>
      </c>
      <c r="Q421" s="2"/>
      <c r="R421" s="2"/>
      <c r="S421" s="48"/>
      <c r="T421" s="2">
        <v>1500000</v>
      </c>
      <c r="U421" s="2">
        <v>0</v>
      </c>
      <c r="V421" s="1" t="s">
        <v>1630</v>
      </c>
      <c r="W421" s="6" t="s">
        <v>1631</v>
      </c>
      <c r="X421" s="1" t="s">
        <v>106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>
        <v>500000</v>
      </c>
      <c r="AI421" s="3">
        <v>500000</v>
      </c>
      <c r="AJ421" s="3">
        <v>500000</v>
      </c>
      <c r="AK421" s="3">
        <v>500000</v>
      </c>
      <c r="AL421" s="3">
        <v>500000</v>
      </c>
      <c r="AM421" s="3">
        <v>500000</v>
      </c>
      <c r="AN421" s="3">
        <v>500000</v>
      </c>
      <c r="AO421" s="3">
        <v>500000</v>
      </c>
      <c r="AP421" s="3">
        <v>500000</v>
      </c>
      <c r="AQ421" s="3"/>
      <c r="AR421" s="3"/>
      <c r="AS421" s="3"/>
      <c r="AT421" s="3"/>
      <c r="AU421" s="3"/>
      <c r="AV421" s="3"/>
      <c r="AW421" s="3">
        <f t="shared" si="25"/>
        <v>1500000</v>
      </c>
      <c r="AX421" s="3">
        <f t="shared" si="26"/>
        <v>3000000</v>
      </c>
      <c r="AY421" s="4">
        <f t="shared" si="27"/>
        <v>9</v>
      </c>
      <c r="AZ421" s="8">
        <v>0</v>
      </c>
      <c r="BA421" s="4" t="s">
        <v>5726</v>
      </c>
      <c r="BB421" s="2"/>
      <c r="BC421" s="3"/>
      <c r="BD421" s="3"/>
    </row>
    <row r="422" spans="1:56" ht="16.8" customHeight="1">
      <c r="A422" s="1">
        <v>421</v>
      </c>
      <c r="B422" s="1" t="s">
        <v>42</v>
      </c>
      <c r="C422" s="1" t="s">
        <v>47</v>
      </c>
      <c r="D422" s="1" t="s">
        <v>1632</v>
      </c>
      <c r="E422" s="1" t="s">
        <v>1632</v>
      </c>
      <c r="F422" s="1" t="s">
        <v>1633</v>
      </c>
      <c r="G422" s="1" t="s">
        <v>1634</v>
      </c>
      <c r="H422" s="1" t="s">
        <v>3103</v>
      </c>
      <c r="I422" s="18">
        <v>45931</v>
      </c>
      <c r="J422" s="18">
        <v>45931</v>
      </c>
      <c r="K422" s="18" t="s">
        <v>4884</v>
      </c>
      <c r="L422" s="18" t="s">
        <v>4734</v>
      </c>
      <c r="M422" s="2">
        <v>1200000</v>
      </c>
      <c r="N422" s="2">
        <v>1200000</v>
      </c>
      <c r="O422" s="2"/>
      <c r="P422" s="2" t="str">
        <f t="shared" si="24"/>
        <v/>
      </c>
      <c r="Q422" s="2"/>
      <c r="R422" s="2"/>
      <c r="S422" s="48"/>
      <c r="T422" s="2">
        <v>3600000</v>
      </c>
      <c r="U422" s="2">
        <v>0</v>
      </c>
      <c r="V422" s="1" t="s">
        <v>1635</v>
      </c>
      <c r="W422" s="6" t="s">
        <v>1636</v>
      </c>
      <c r="X422" s="1" t="s">
        <v>115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>
        <v>1200000</v>
      </c>
      <c r="AI422" s="3">
        <v>1200000</v>
      </c>
      <c r="AJ422" s="3">
        <v>1200000</v>
      </c>
      <c r="AK422" s="3">
        <v>1200000</v>
      </c>
      <c r="AL422" s="3">
        <v>1200000</v>
      </c>
      <c r="AM422" s="3">
        <v>1200000</v>
      </c>
      <c r="AN422" s="3">
        <v>1200000</v>
      </c>
      <c r="AO422" s="3">
        <v>1200000</v>
      </c>
      <c r="AP422" s="3">
        <v>1200000</v>
      </c>
      <c r="AQ422" s="3"/>
      <c r="AR422" s="3"/>
      <c r="AS422" s="3"/>
      <c r="AT422" s="3"/>
      <c r="AU422" s="3"/>
      <c r="AV422" s="3"/>
      <c r="AW422" s="3">
        <f t="shared" si="25"/>
        <v>3600000</v>
      </c>
      <c r="AX422" s="3">
        <f t="shared" si="26"/>
        <v>7200000</v>
      </c>
      <c r="AY422" s="4">
        <f t="shared" si="27"/>
        <v>9</v>
      </c>
      <c r="AZ422" s="8" t="s">
        <v>5701</v>
      </c>
      <c r="BA422" s="4" t="s">
        <v>5726</v>
      </c>
      <c r="BB422" s="2"/>
      <c r="BC422" s="3"/>
      <c r="BD422" s="3"/>
    </row>
    <row r="423" spans="1:56" ht="16.8" customHeight="1">
      <c r="A423" s="1">
        <v>422</v>
      </c>
      <c r="B423" s="1" t="s">
        <v>42</v>
      </c>
      <c r="C423" s="1" t="s">
        <v>47</v>
      </c>
      <c r="D423" s="1" t="s">
        <v>1637</v>
      </c>
      <c r="E423" s="1" t="s">
        <v>1637</v>
      </c>
      <c r="F423" s="1" t="s">
        <v>1638</v>
      </c>
      <c r="G423" s="1" t="s">
        <v>1639</v>
      </c>
      <c r="H423" s="1" t="s">
        <v>4973</v>
      </c>
      <c r="I423" s="18">
        <v>45931</v>
      </c>
      <c r="J423" s="18">
        <v>45931</v>
      </c>
      <c r="K423" s="18" t="s">
        <v>4737</v>
      </c>
      <c r="L423" s="18" t="s">
        <v>4734</v>
      </c>
      <c r="M423" s="2">
        <v>400000</v>
      </c>
      <c r="N423" s="2">
        <v>400000</v>
      </c>
      <c r="O423" s="2"/>
      <c r="P423" s="2" t="str">
        <f t="shared" si="24"/>
        <v/>
      </c>
      <c r="Q423" s="2"/>
      <c r="R423" s="2"/>
      <c r="S423" s="48"/>
      <c r="T423" s="2">
        <v>1200000</v>
      </c>
      <c r="U423" s="2">
        <v>0</v>
      </c>
      <c r="V423" s="1" t="s">
        <v>1639</v>
      </c>
      <c r="W423" s="6" t="s">
        <v>1640</v>
      </c>
      <c r="X423" s="1" t="s">
        <v>677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>
        <v>400000</v>
      </c>
      <c r="AI423" s="3">
        <v>400000</v>
      </c>
      <c r="AJ423" s="3">
        <v>400000</v>
      </c>
      <c r="AK423" s="3">
        <v>400000</v>
      </c>
      <c r="AL423" s="3">
        <v>400000</v>
      </c>
      <c r="AM423" s="3">
        <v>400000</v>
      </c>
      <c r="AN423" s="3">
        <v>400000</v>
      </c>
      <c r="AO423" s="3">
        <v>400000</v>
      </c>
      <c r="AP423" s="3">
        <v>400000</v>
      </c>
      <c r="AQ423" s="3"/>
      <c r="AR423" s="3"/>
      <c r="AS423" s="3"/>
      <c r="AT423" s="3"/>
      <c r="AU423" s="3"/>
      <c r="AV423" s="3"/>
      <c r="AW423" s="3">
        <f t="shared" si="25"/>
        <v>1200000</v>
      </c>
      <c r="AX423" s="3">
        <f t="shared" si="26"/>
        <v>2400000</v>
      </c>
      <c r="AY423" s="4">
        <f t="shared" si="27"/>
        <v>9</v>
      </c>
      <c r="AZ423" s="8" t="s">
        <v>5489</v>
      </c>
      <c r="BA423" s="4" t="s">
        <v>5726</v>
      </c>
      <c r="BB423" s="2"/>
      <c r="BC423" s="3"/>
      <c r="BD423" s="3"/>
    </row>
    <row r="424" spans="1:56" ht="16.8" customHeight="1">
      <c r="A424" s="1">
        <v>423</v>
      </c>
      <c r="B424" s="1" t="s">
        <v>42</v>
      </c>
      <c r="C424" s="1" t="s">
        <v>43</v>
      </c>
      <c r="D424" s="1" t="s">
        <v>1641</v>
      </c>
      <c r="E424" s="1" t="s">
        <v>1641</v>
      </c>
      <c r="F424" s="1" t="s">
        <v>1642</v>
      </c>
      <c r="G424" s="1" t="s">
        <v>1473</v>
      </c>
      <c r="H424" s="1" t="s">
        <v>4974</v>
      </c>
      <c r="I424" s="18">
        <v>45716</v>
      </c>
      <c r="J424" s="18">
        <v>0</v>
      </c>
      <c r="K424" s="18" t="s">
        <v>4975</v>
      </c>
      <c r="L424" s="18" t="s">
        <v>4734</v>
      </c>
      <c r="M424" s="2">
        <v>1666667</v>
      </c>
      <c r="N424" s="2">
        <v>1666667</v>
      </c>
      <c r="O424" s="2"/>
      <c r="P424" s="2" t="str">
        <f t="shared" si="24"/>
        <v/>
      </c>
      <c r="Q424" s="2"/>
      <c r="R424" s="2"/>
      <c r="S424" s="48"/>
      <c r="T424" s="2">
        <v>0</v>
      </c>
      <c r="U424" s="2">
        <v>0</v>
      </c>
      <c r="V424" s="1"/>
      <c r="W424" s="6"/>
      <c r="X424" s="1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>
        <f t="shared" si="25"/>
        <v>0</v>
      </c>
      <c r="AX424" s="3">
        <f t="shared" si="26"/>
        <v>0</v>
      </c>
      <c r="AY424" s="4">
        <f t="shared" si="27"/>
        <v>0</v>
      </c>
      <c r="AZ424" s="8" t="s">
        <v>5541</v>
      </c>
      <c r="BA424" s="4" t="s">
        <v>5726</v>
      </c>
      <c r="BB424" s="2"/>
      <c r="BC424" s="3"/>
      <c r="BD424" s="4"/>
    </row>
    <row r="425" spans="1:56" ht="16.8" customHeight="1">
      <c r="A425" s="1">
        <v>424</v>
      </c>
      <c r="B425" s="1" t="s">
        <v>42</v>
      </c>
      <c r="C425" s="1" t="s">
        <v>47</v>
      </c>
      <c r="D425" s="1" t="s">
        <v>1643</v>
      </c>
      <c r="E425" s="1" t="s">
        <v>1643</v>
      </c>
      <c r="F425" s="1" t="s">
        <v>1644</v>
      </c>
      <c r="G425" s="1" t="s">
        <v>1645</v>
      </c>
      <c r="H425" s="1" t="s">
        <v>3048</v>
      </c>
      <c r="I425" s="18">
        <v>45931</v>
      </c>
      <c r="J425" s="18">
        <v>45931</v>
      </c>
      <c r="K425" s="18" t="s">
        <v>4737</v>
      </c>
      <c r="L425" s="18" t="s">
        <v>4734</v>
      </c>
      <c r="M425" s="2">
        <v>500000</v>
      </c>
      <c r="N425" s="2">
        <v>500000</v>
      </c>
      <c r="O425" s="2"/>
      <c r="P425" s="2" t="str">
        <f t="shared" si="24"/>
        <v/>
      </c>
      <c r="Q425" s="2"/>
      <c r="R425" s="2"/>
      <c r="S425" s="48"/>
      <c r="T425" s="2">
        <v>1500000</v>
      </c>
      <c r="U425" s="2">
        <v>0</v>
      </c>
      <c r="V425" s="1" t="s">
        <v>328</v>
      </c>
      <c r="W425" s="6" t="s">
        <v>329</v>
      </c>
      <c r="X425" s="1" t="s">
        <v>106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>
        <v>500000</v>
      </c>
      <c r="AI425" s="3">
        <v>500000</v>
      </c>
      <c r="AJ425" s="3">
        <v>500000</v>
      </c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>
        <f t="shared" si="25"/>
        <v>1500000</v>
      </c>
      <c r="AX425" s="3">
        <f t="shared" si="26"/>
        <v>0</v>
      </c>
      <c r="AY425" s="4">
        <f t="shared" si="27"/>
        <v>3</v>
      </c>
      <c r="AZ425" s="8" t="s">
        <v>5683</v>
      </c>
      <c r="BA425" s="4" t="s">
        <v>5726</v>
      </c>
      <c r="BB425" s="2"/>
      <c r="BC425" s="3"/>
      <c r="BD425" s="4"/>
    </row>
    <row r="426" spans="1:56" ht="16.8" customHeight="1">
      <c r="A426" s="1">
        <v>425</v>
      </c>
      <c r="B426" s="1" t="s">
        <v>42</v>
      </c>
      <c r="C426" s="1" t="s">
        <v>47</v>
      </c>
      <c r="D426" s="1" t="s">
        <v>1646</v>
      </c>
      <c r="E426" s="1" t="s">
        <v>1646</v>
      </c>
      <c r="F426" s="1" t="s">
        <v>1647</v>
      </c>
      <c r="G426" s="1" t="s">
        <v>1648</v>
      </c>
      <c r="H426" s="1" t="s">
        <v>4619</v>
      </c>
      <c r="I426" s="18">
        <v>45931</v>
      </c>
      <c r="J426" s="18">
        <v>45931</v>
      </c>
      <c r="K426" s="18" t="s">
        <v>4737</v>
      </c>
      <c r="L426" s="18" t="s">
        <v>4734</v>
      </c>
      <c r="M426" s="2">
        <v>500000</v>
      </c>
      <c r="N426" s="2">
        <v>500000</v>
      </c>
      <c r="O426" s="2"/>
      <c r="P426" s="2" t="str">
        <f t="shared" si="24"/>
        <v/>
      </c>
      <c r="Q426" s="2"/>
      <c r="R426" s="2"/>
      <c r="S426" s="48"/>
      <c r="T426" s="2">
        <v>1500000</v>
      </c>
      <c r="U426" s="2">
        <v>0</v>
      </c>
      <c r="V426" s="1" t="s">
        <v>1648</v>
      </c>
      <c r="W426" s="6" t="s">
        <v>1649</v>
      </c>
      <c r="X426" s="1" t="s">
        <v>224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>
        <v>500000</v>
      </c>
      <c r="AI426" s="3">
        <v>500000</v>
      </c>
      <c r="AJ426" s="3">
        <v>500000</v>
      </c>
      <c r="AK426" s="3">
        <v>500000</v>
      </c>
      <c r="AL426" s="3">
        <v>500000</v>
      </c>
      <c r="AM426" s="3">
        <v>500000</v>
      </c>
      <c r="AN426" s="3">
        <v>500000</v>
      </c>
      <c r="AO426" s="3">
        <v>500000</v>
      </c>
      <c r="AP426" s="3">
        <v>500000</v>
      </c>
      <c r="AQ426" s="3"/>
      <c r="AR426" s="3"/>
      <c r="AS426" s="3"/>
      <c r="AT426" s="3"/>
      <c r="AU426" s="3"/>
      <c r="AV426" s="3"/>
      <c r="AW426" s="3">
        <f t="shared" si="25"/>
        <v>1500000</v>
      </c>
      <c r="AX426" s="3">
        <f t="shared" si="26"/>
        <v>3000000</v>
      </c>
      <c r="AY426" s="4">
        <f t="shared" si="27"/>
        <v>9</v>
      </c>
      <c r="AZ426" s="8" t="s">
        <v>5546</v>
      </c>
      <c r="BA426" s="4" t="s">
        <v>5726</v>
      </c>
      <c r="BB426" s="2"/>
      <c r="BC426" s="3"/>
      <c r="BD426" s="3"/>
    </row>
    <row r="427" spans="1:56" ht="16.8" customHeight="1">
      <c r="A427" s="1">
        <v>426</v>
      </c>
      <c r="B427" s="1" t="s">
        <v>42</v>
      </c>
      <c r="C427" s="1" t="s">
        <v>43</v>
      </c>
      <c r="D427" s="1" t="s">
        <v>1650</v>
      </c>
      <c r="E427" s="1" t="s">
        <v>1650</v>
      </c>
      <c r="F427" s="1" t="s">
        <v>1651</v>
      </c>
      <c r="G427" s="1" t="s">
        <v>312</v>
      </c>
      <c r="H427" s="1" t="s">
        <v>4976</v>
      </c>
      <c r="I427" s="18">
        <v>45931</v>
      </c>
      <c r="J427" s="18">
        <v>45931</v>
      </c>
      <c r="K427" s="18" t="s">
        <v>4752</v>
      </c>
      <c r="L427" s="18" t="s">
        <v>4734</v>
      </c>
      <c r="M427" s="2">
        <v>8200000</v>
      </c>
      <c r="N427" s="2">
        <v>8200000</v>
      </c>
      <c r="O427" s="2"/>
      <c r="P427" s="2" t="str">
        <f t="shared" si="24"/>
        <v/>
      </c>
      <c r="Q427" s="2"/>
      <c r="R427" s="2"/>
      <c r="S427" s="48"/>
      <c r="T427" s="2">
        <v>27060000</v>
      </c>
      <c r="U427" s="2">
        <v>0</v>
      </c>
      <c r="V427" s="1" t="s">
        <v>1652</v>
      </c>
      <c r="W427" s="6" t="s">
        <v>1653</v>
      </c>
      <c r="X427" s="1" t="s">
        <v>1654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>
        <v>8200000</v>
      </c>
      <c r="AL427" s="3">
        <v>8200000</v>
      </c>
      <c r="AM427" s="3">
        <v>8200000</v>
      </c>
      <c r="AN427" s="3">
        <v>8200000</v>
      </c>
      <c r="AO427" s="3">
        <v>8200000</v>
      </c>
      <c r="AP427" s="3">
        <v>8200000</v>
      </c>
      <c r="AQ427" s="3"/>
      <c r="AR427" s="3"/>
      <c r="AS427" s="3"/>
      <c r="AT427" s="3"/>
      <c r="AU427" s="3"/>
      <c r="AV427" s="3"/>
      <c r="AW427" s="3">
        <f t="shared" si="25"/>
        <v>0</v>
      </c>
      <c r="AX427" s="3">
        <f t="shared" si="26"/>
        <v>49200000</v>
      </c>
      <c r="AY427" s="4">
        <f t="shared" si="27"/>
        <v>6</v>
      </c>
      <c r="AZ427" s="8" t="s">
        <v>5484</v>
      </c>
      <c r="BA427" s="4" t="s">
        <v>5734</v>
      </c>
      <c r="BB427" s="2"/>
      <c r="BC427" s="3"/>
      <c r="BD427" s="3"/>
    </row>
    <row r="428" spans="1:56" ht="16.8" customHeight="1">
      <c r="A428" s="1">
        <v>427</v>
      </c>
      <c r="B428" s="1" t="s">
        <v>42</v>
      </c>
      <c r="C428" s="1" t="s">
        <v>185</v>
      </c>
      <c r="D428" s="1" t="s">
        <v>1655</v>
      </c>
      <c r="E428" s="1" t="s">
        <v>1655</v>
      </c>
      <c r="F428" s="1" t="s">
        <v>1656</v>
      </c>
      <c r="G428" s="1" t="s">
        <v>1657</v>
      </c>
      <c r="H428" s="1"/>
      <c r="I428" s="18"/>
      <c r="J428" s="18"/>
      <c r="K428" s="18"/>
      <c r="L428" s="18"/>
      <c r="M428" s="2">
        <v>3000000</v>
      </c>
      <c r="N428" s="2">
        <v>3000000</v>
      </c>
      <c r="O428" s="2"/>
      <c r="P428" s="2" t="str">
        <f t="shared" si="24"/>
        <v/>
      </c>
      <c r="Q428" s="2"/>
      <c r="R428" s="2"/>
      <c r="S428" s="48"/>
      <c r="T428" s="2">
        <v>0</v>
      </c>
      <c r="U428" s="2">
        <v>0</v>
      </c>
      <c r="V428" s="1"/>
      <c r="W428" s="6"/>
      <c r="X428" s="1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>
        <f t="shared" si="25"/>
        <v>0</v>
      </c>
      <c r="AX428" s="3">
        <f t="shared" si="26"/>
        <v>0</v>
      </c>
      <c r="AY428" s="4">
        <f t="shared" si="27"/>
        <v>0</v>
      </c>
      <c r="BA428" s="4" t="s">
        <v>5726</v>
      </c>
      <c r="BB428" s="2"/>
      <c r="BC428" s="3"/>
      <c r="BD428" s="4"/>
    </row>
    <row r="429" spans="1:56" ht="16.8" customHeight="1">
      <c r="A429" s="1">
        <v>428</v>
      </c>
      <c r="B429" s="1" t="s">
        <v>42</v>
      </c>
      <c r="C429" s="1" t="s">
        <v>185</v>
      </c>
      <c r="D429" s="1" t="s">
        <v>1658</v>
      </c>
      <c r="E429" s="1" t="s">
        <v>1658</v>
      </c>
      <c r="F429" s="1" t="s">
        <v>1659</v>
      </c>
      <c r="G429" s="1" t="s">
        <v>1660</v>
      </c>
      <c r="H429" s="1"/>
      <c r="I429" s="18"/>
      <c r="J429" s="18"/>
      <c r="K429" s="18"/>
      <c r="L429" s="18"/>
      <c r="M429" s="2">
        <v>1000000</v>
      </c>
      <c r="N429" s="2">
        <v>1000000</v>
      </c>
      <c r="O429" s="2"/>
      <c r="P429" s="2" t="str">
        <f t="shared" si="24"/>
        <v/>
      </c>
      <c r="Q429" s="2"/>
      <c r="R429" s="2"/>
      <c r="S429" s="48"/>
      <c r="T429" s="2">
        <v>0</v>
      </c>
      <c r="U429" s="2">
        <v>0</v>
      </c>
      <c r="V429" s="1"/>
      <c r="W429" s="6"/>
      <c r="X429" s="1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>
        <f t="shared" si="25"/>
        <v>0</v>
      </c>
      <c r="AX429" s="3">
        <f t="shared" si="26"/>
        <v>0</v>
      </c>
      <c r="AY429" s="4">
        <f t="shared" si="27"/>
        <v>0</v>
      </c>
      <c r="BA429" s="4" t="s">
        <v>5726</v>
      </c>
      <c r="BB429" s="2"/>
      <c r="BC429" s="3"/>
      <c r="BD429" s="4"/>
    </row>
    <row r="430" spans="1:56" ht="16.8" customHeight="1">
      <c r="A430" s="1">
        <v>429</v>
      </c>
      <c r="B430" s="1" t="s">
        <v>42</v>
      </c>
      <c r="C430" s="1" t="s">
        <v>185</v>
      </c>
      <c r="D430" s="1" t="s">
        <v>1661</v>
      </c>
      <c r="E430" s="1" t="s">
        <v>1661</v>
      </c>
      <c r="F430" s="1" t="s">
        <v>1662</v>
      </c>
      <c r="G430" s="1" t="s">
        <v>1663</v>
      </c>
      <c r="H430" s="1"/>
      <c r="I430" s="18"/>
      <c r="J430" s="18"/>
      <c r="K430" s="18"/>
      <c r="L430" s="18"/>
      <c r="M430" s="2">
        <v>500000</v>
      </c>
      <c r="N430" s="2">
        <v>500000</v>
      </c>
      <c r="O430" s="2"/>
      <c r="P430" s="2" t="str">
        <f t="shared" si="24"/>
        <v/>
      </c>
      <c r="Q430" s="2"/>
      <c r="R430" s="2"/>
      <c r="S430" s="48"/>
      <c r="T430" s="2">
        <v>0</v>
      </c>
      <c r="U430" s="2">
        <v>0</v>
      </c>
      <c r="V430" s="1"/>
      <c r="W430" s="6"/>
      <c r="X430" s="1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>
        <v>500000</v>
      </c>
      <c r="AL430" s="3">
        <v>500000</v>
      </c>
      <c r="AM430" s="3">
        <v>500000</v>
      </c>
      <c r="AN430" s="3">
        <v>500000</v>
      </c>
      <c r="AO430" s="3">
        <v>500000</v>
      </c>
      <c r="AP430" s="3">
        <v>500000</v>
      </c>
      <c r="AQ430" s="3"/>
      <c r="AR430" s="3"/>
      <c r="AS430" s="3"/>
      <c r="AT430" s="3"/>
      <c r="AU430" s="3"/>
      <c r="AV430" s="3"/>
      <c r="AW430" s="3">
        <f t="shared" si="25"/>
        <v>0</v>
      </c>
      <c r="AX430" s="3">
        <f t="shared" si="26"/>
        <v>3000000</v>
      </c>
      <c r="AY430" s="4">
        <f t="shared" si="27"/>
        <v>6</v>
      </c>
      <c r="BA430" s="4" t="s">
        <v>5715</v>
      </c>
      <c r="BB430" s="2"/>
      <c r="BC430" s="3"/>
      <c r="BD430" s="3"/>
    </row>
    <row r="431" spans="1:56" ht="16.8" customHeight="1">
      <c r="A431" s="1">
        <v>430</v>
      </c>
      <c r="B431" s="1" t="s">
        <v>42</v>
      </c>
      <c r="C431" s="1" t="s">
        <v>185</v>
      </c>
      <c r="D431" s="1" t="s">
        <v>1661</v>
      </c>
      <c r="E431" s="1" t="s">
        <v>1661</v>
      </c>
      <c r="F431" s="1" t="s">
        <v>1662</v>
      </c>
      <c r="G431" s="1" t="s">
        <v>1664</v>
      </c>
      <c r="H431" s="1"/>
      <c r="I431" s="18"/>
      <c r="J431" s="18"/>
      <c r="K431" s="18"/>
      <c r="L431" s="18"/>
      <c r="M431" s="2">
        <v>400000</v>
      </c>
      <c r="N431" s="2">
        <v>400000</v>
      </c>
      <c r="O431" s="2"/>
      <c r="P431" s="2" t="str">
        <f t="shared" si="24"/>
        <v/>
      </c>
      <c r="Q431" s="2"/>
      <c r="R431" s="2"/>
      <c r="S431" s="48"/>
      <c r="T431" s="2">
        <v>0</v>
      </c>
      <c r="U431" s="2">
        <v>0</v>
      </c>
      <c r="V431" s="1"/>
      <c r="W431" s="6"/>
      <c r="X431" s="1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>
        <v>500000</v>
      </c>
      <c r="AL431" s="3">
        <v>500000</v>
      </c>
      <c r="AM431" s="3">
        <v>500000</v>
      </c>
      <c r="AN431" s="3">
        <v>500000</v>
      </c>
      <c r="AO431" s="3">
        <v>500000</v>
      </c>
      <c r="AP431" s="3">
        <v>500000</v>
      </c>
      <c r="AQ431" s="3"/>
      <c r="AR431" s="3"/>
      <c r="AS431" s="3"/>
      <c r="AT431" s="3"/>
      <c r="AU431" s="3"/>
      <c r="AV431" s="3"/>
      <c r="AW431" s="3">
        <f t="shared" si="25"/>
        <v>0</v>
      </c>
      <c r="AX431" s="3">
        <f t="shared" si="26"/>
        <v>3000000</v>
      </c>
      <c r="AY431" s="4">
        <f t="shared" si="27"/>
        <v>6</v>
      </c>
      <c r="BA431" s="4" t="s">
        <v>5715</v>
      </c>
      <c r="BB431" s="2"/>
      <c r="BC431" s="3"/>
      <c r="BD431" s="3"/>
    </row>
    <row r="432" spans="1:56" ht="16.8" customHeight="1">
      <c r="A432" s="1">
        <v>431</v>
      </c>
      <c r="B432" s="1" t="s">
        <v>42</v>
      </c>
      <c r="C432" s="1" t="s">
        <v>47</v>
      </c>
      <c r="D432" s="1" t="s">
        <v>1665</v>
      </c>
      <c r="E432" s="1" t="s">
        <v>1665</v>
      </c>
      <c r="F432" s="1" t="s">
        <v>1666</v>
      </c>
      <c r="G432" s="1" t="s">
        <v>1667</v>
      </c>
      <c r="H432" s="1" t="s">
        <v>4977</v>
      </c>
      <c r="I432" s="18">
        <v>45962</v>
      </c>
      <c r="J432" s="18">
        <v>46023</v>
      </c>
      <c r="K432" s="18" t="s">
        <v>4835</v>
      </c>
      <c r="L432" s="18" t="s">
        <v>4734</v>
      </c>
      <c r="M432" s="2">
        <v>500000</v>
      </c>
      <c r="N432" s="2">
        <v>500000</v>
      </c>
      <c r="O432" s="2"/>
      <c r="P432" s="2" t="str">
        <f t="shared" si="24"/>
        <v/>
      </c>
      <c r="Q432" s="2"/>
      <c r="R432" s="2"/>
      <c r="S432" s="48"/>
      <c r="T432" s="2">
        <v>0</v>
      </c>
      <c r="U432" s="2">
        <v>0</v>
      </c>
      <c r="V432" s="1"/>
      <c r="W432" s="6"/>
      <c r="X432" s="1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>
        <f t="shared" si="25"/>
        <v>0</v>
      </c>
      <c r="AX432" s="3">
        <f t="shared" si="26"/>
        <v>0</v>
      </c>
      <c r="AY432" s="4">
        <f t="shared" si="27"/>
        <v>0</v>
      </c>
      <c r="AZ432" s="8" t="s">
        <v>5547</v>
      </c>
      <c r="BA432" s="4" t="s">
        <v>5726</v>
      </c>
      <c r="BB432" s="2"/>
      <c r="BC432" s="3"/>
      <c r="BD432" s="4"/>
    </row>
    <row r="433" spans="1:56" ht="16.8" customHeight="1">
      <c r="A433" s="1">
        <v>432</v>
      </c>
      <c r="B433" s="1" t="s">
        <v>42</v>
      </c>
      <c r="C433" s="1" t="s">
        <v>47</v>
      </c>
      <c r="D433" s="1" t="s">
        <v>1668</v>
      </c>
      <c r="E433" s="1" t="s">
        <v>1668</v>
      </c>
      <c r="F433" s="1" t="s">
        <v>1669</v>
      </c>
      <c r="G433" s="1" t="s">
        <v>1670</v>
      </c>
      <c r="H433" s="1" t="s">
        <v>4978</v>
      </c>
      <c r="I433" s="18">
        <v>45992</v>
      </c>
      <c r="J433" s="18">
        <v>46023</v>
      </c>
      <c r="K433" s="18" t="s">
        <v>4835</v>
      </c>
      <c r="L433" s="18" t="s">
        <v>4734</v>
      </c>
      <c r="M433" s="2">
        <v>500000</v>
      </c>
      <c r="N433" s="2">
        <v>500000</v>
      </c>
      <c r="O433" s="2"/>
      <c r="P433" s="2" t="str">
        <f t="shared" si="24"/>
        <v/>
      </c>
      <c r="Q433" s="2"/>
      <c r="R433" s="2"/>
      <c r="S433" s="48"/>
      <c r="T433" s="2">
        <v>0</v>
      </c>
      <c r="U433" s="2">
        <v>0</v>
      </c>
      <c r="V433" s="1"/>
      <c r="W433" s="6"/>
      <c r="X433" s="1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>
        <f t="shared" si="25"/>
        <v>0</v>
      </c>
      <c r="AX433" s="3">
        <f t="shared" si="26"/>
        <v>0</v>
      </c>
      <c r="AY433" s="4">
        <f t="shared" si="27"/>
        <v>0</v>
      </c>
      <c r="AZ433" s="8" t="s">
        <v>5548</v>
      </c>
      <c r="BA433" s="4" t="s">
        <v>5726</v>
      </c>
      <c r="BB433" s="2"/>
      <c r="BC433" s="3"/>
      <c r="BD433" s="4"/>
    </row>
    <row r="434" spans="1:56" ht="16.8" customHeight="1">
      <c r="A434" s="1">
        <v>433</v>
      </c>
      <c r="B434" s="1" t="s">
        <v>42</v>
      </c>
      <c r="C434" s="1" t="s">
        <v>47</v>
      </c>
      <c r="D434" s="1" t="s">
        <v>1671</v>
      </c>
      <c r="E434" s="1" t="s">
        <v>1671</v>
      </c>
      <c r="F434" s="1" t="s">
        <v>1672</v>
      </c>
      <c r="G434" s="1" t="s">
        <v>1673</v>
      </c>
      <c r="H434" s="1"/>
      <c r="I434" s="18"/>
      <c r="J434" s="18"/>
      <c r="K434" s="18"/>
      <c r="L434" s="18"/>
      <c r="M434" s="2">
        <v>500000</v>
      </c>
      <c r="N434" s="2">
        <v>500000</v>
      </c>
      <c r="O434" s="2"/>
      <c r="P434" s="2" t="str">
        <f t="shared" si="24"/>
        <v/>
      </c>
      <c r="Q434" s="2"/>
      <c r="R434" s="2"/>
      <c r="S434" s="48"/>
      <c r="T434" s="2">
        <v>0</v>
      </c>
      <c r="U434" s="2">
        <v>0</v>
      </c>
      <c r="V434" s="1"/>
      <c r="W434" s="6"/>
      <c r="X434" s="1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>
        <f t="shared" si="25"/>
        <v>0</v>
      </c>
      <c r="AX434" s="3">
        <f t="shared" si="26"/>
        <v>0</v>
      </c>
      <c r="AY434" s="4">
        <f t="shared" si="27"/>
        <v>0</v>
      </c>
      <c r="BA434" s="4" t="s">
        <v>5726</v>
      </c>
      <c r="BB434" s="2"/>
      <c r="BC434" s="3"/>
      <c r="BD434" s="4"/>
    </row>
    <row r="435" spans="1:56" ht="16.8" customHeight="1">
      <c r="A435" s="1">
        <v>434</v>
      </c>
      <c r="B435" s="1" t="s">
        <v>42</v>
      </c>
      <c r="C435" s="1" t="s">
        <v>47</v>
      </c>
      <c r="D435" s="1" t="s">
        <v>1674</v>
      </c>
      <c r="E435" s="1" t="s">
        <v>1674</v>
      </c>
      <c r="F435" s="1" t="s">
        <v>1675</v>
      </c>
      <c r="G435" s="1" t="s">
        <v>1676</v>
      </c>
      <c r="H435" s="1" t="s">
        <v>4979</v>
      </c>
      <c r="I435" s="18">
        <v>45925</v>
      </c>
      <c r="J435" s="18">
        <v>46023</v>
      </c>
      <c r="K435" s="18" t="s">
        <v>4980</v>
      </c>
      <c r="L435" s="18" t="s">
        <v>4734</v>
      </c>
      <c r="M435" s="2">
        <v>500000</v>
      </c>
      <c r="N435" s="2">
        <v>500000</v>
      </c>
      <c r="O435" s="2"/>
      <c r="P435" s="2" t="str">
        <f t="shared" si="24"/>
        <v/>
      </c>
      <c r="Q435" s="2"/>
      <c r="R435" s="2"/>
      <c r="S435" s="48"/>
      <c r="T435" s="2">
        <v>0</v>
      </c>
      <c r="U435" s="2">
        <v>0</v>
      </c>
      <c r="V435" s="1"/>
      <c r="W435" s="6"/>
      <c r="X435" s="1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>
        <f t="shared" si="25"/>
        <v>0</v>
      </c>
      <c r="AX435" s="3">
        <f t="shared" si="26"/>
        <v>0</v>
      </c>
      <c r="AY435" s="4">
        <f t="shared" si="27"/>
        <v>0</v>
      </c>
      <c r="AZ435" s="8" t="s">
        <v>5547</v>
      </c>
      <c r="BA435" s="4" t="s">
        <v>5726</v>
      </c>
      <c r="BB435" s="2"/>
      <c r="BC435" s="3"/>
      <c r="BD435" s="4"/>
    </row>
    <row r="436" spans="1:56" ht="16.8" customHeight="1">
      <c r="A436" s="1">
        <v>435</v>
      </c>
      <c r="B436" s="1" t="s">
        <v>42</v>
      </c>
      <c r="C436" s="1" t="s">
        <v>47</v>
      </c>
      <c r="D436" s="1" t="s">
        <v>1677</v>
      </c>
      <c r="E436" s="1" t="s">
        <v>1677</v>
      </c>
      <c r="F436" s="1" t="s">
        <v>1678</v>
      </c>
      <c r="G436" s="1" t="s">
        <v>1679</v>
      </c>
      <c r="H436" s="1" t="s">
        <v>4981</v>
      </c>
      <c r="I436" s="18">
        <v>45833</v>
      </c>
      <c r="J436" s="18">
        <v>46023</v>
      </c>
      <c r="K436" s="18" t="s">
        <v>4982</v>
      </c>
      <c r="L436" s="18" t="s">
        <v>4734</v>
      </c>
      <c r="M436" s="2">
        <v>500000</v>
      </c>
      <c r="N436" s="2">
        <v>500000</v>
      </c>
      <c r="O436" s="2"/>
      <c r="P436" s="2" t="str">
        <f t="shared" si="24"/>
        <v/>
      </c>
      <c r="Q436" s="2"/>
      <c r="R436" s="2"/>
      <c r="S436" s="48"/>
      <c r="T436" s="2">
        <v>0</v>
      </c>
      <c r="U436" s="2">
        <v>0</v>
      </c>
      <c r="V436" s="1"/>
      <c r="W436" s="6"/>
      <c r="X436" s="1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>
        <f t="shared" si="25"/>
        <v>0</v>
      </c>
      <c r="AX436" s="3">
        <f t="shared" si="26"/>
        <v>0</v>
      </c>
      <c r="AY436" s="4">
        <f t="shared" si="27"/>
        <v>0</v>
      </c>
      <c r="AZ436" s="8" t="s">
        <v>5517</v>
      </c>
      <c r="BA436" s="4" t="s">
        <v>5726</v>
      </c>
      <c r="BB436" s="2"/>
      <c r="BC436" s="3"/>
      <c r="BD436" s="4"/>
    </row>
    <row r="437" spans="1:56" ht="16.8" customHeight="1">
      <c r="A437" s="1">
        <v>436</v>
      </c>
      <c r="B437" s="1" t="s">
        <v>42</v>
      </c>
      <c r="C437" s="1" t="s">
        <v>47</v>
      </c>
      <c r="D437" s="1" t="s">
        <v>1680</v>
      </c>
      <c r="E437" s="1" t="s">
        <v>1680</v>
      </c>
      <c r="F437" s="1" t="s">
        <v>1681</v>
      </c>
      <c r="G437" s="1" t="s">
        <v>1682</v>
      </c>
      <c r="H437" s="1" t="s">
        <v>4983</v>
      </c>
      <c r="I437" s="18">
        <v>45918</v>
      </c>
      <c r="J437" s="18">
        <v>46023</v>
      </c>
      <c r="K437" s="18" t="s">
        <v>4984</v>
      </c>
      <c r="L437" s="18" t="s">
        <v>4734</v>
      </c>
      <c r="M437" s="2">
        <v>1500000</v>
      </c>
      <c r="N437" s="2">
        <v>1500000</v>
      </c>
      <c r="O437" s="2"/>
      <c r="P437" s="2" t="str">
        <f t="shared" si="24"/>
        <v/>
      </c>
      <c r="Q437" s="2"/>
      <c r="R437" s="2"/>
      <c r="S437" s="48"/>
      <c r="T437" s="2">
        <v>0</v>
      </c>
      <c r="U437" s="2">
        <v>0</v>
      </c>
      <c r="V437" s="1"/>
      <c r="W437" s="6"/>
      <c r="X437" s="1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>
        <f t="shared" si="25"/>
        <v>0</v>
      </c>
      <c r="AX437" s="3">
        <f t="shared" si="26"/>
        <v>0</v>
      </c>
      <c r="AY437" s="4">
        <f t="shared" si="27"/>
        <v>0</v>
      </c>
      <c r="AZ437" s="8" t="s">
        <v>5547</v>
      </c>
      <c r="BA437" s="4" t="s">
        <v>5726</v>
      </c>
      <c r="BB437" s="2"/>
      <c r="BC437" s="3"/>
      <c r="BD437" s="4"/>
    </row>
    <row r="438" spans="1:56" ht="16.8" customHeight="1">
      <c r="A438" s="1">
        <v>437</v>
      </c>
      <c r="B438" s="1" t="s">
        <v>42</v>
      </c>
      <c r="C438" s="1" t="s">
        <v>47</v>
      </c>
      <c r="D438" s="1" t="s">
        <v>1683</v>
      </c>
      <c r="E438" s="1" t="s">
        <v>1683</v>
      </c>
      <c r="F438" s="1" t="s">
        <v>1684</v>
      </c>
      <c r="G438" s="1" t="s">
        <v>1685</v>
      </c>
      <c r="H438" s="1" t="s">
        <v>4985</v>
      </c>
      <c r="I438" s="18">
        <v>45920</v>
      </c>
      <c r="J438" s="18">
        <v>46023</v>
      </c>
      <c r="K438" s="18" t="s">
        <v>4986</v>
      </c>
      <c r="L438" s="18" t="s">
        <v>4734</v>
      </c>
      <c r="M438" s="2">
        <v>500000</v>
      </c>
      <c r="N438" s="2">
        <v>500000</v>
      </c>
      <c r="O438" s="2"/>
      <c r="P438" s="2" t="str">
        <f t="shared" si="24"/>
        <v/>
      </c>
      <c r="Q438" s="2"/>
      <c r="R438" s="2"/>
      <c r="S438" s="48"/>
      <c r="T438" s="2">
        <v>0</v>
      </c>
      <c r="U438" s="2">
        <v>0</v>
      </c>
      <c r="V438" s="1"/>
      <c r="W438" s="6"/>
      <c r="X438" s="1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>
        <f t="shared" si="25"/>
        <v>0</v>
      </c>
      <c r="AX438" s="3">
        <f t="shared" si="26"/>
        <v>0</v>
      </c>
      <c r="AY438" s="4">
        <f t="shared" si="27"/>
        <v>0</v>
      </c>
      <c r="AZ438" s="8" t="s">
        <v>5549</v>
      </c>
      <c r="BA438" s="4" t="s">
        <v>5726</v>
      </c>
      <c r="BB438" s="2"/>
      <c r="BC438" s="3"/>
      <c r="BD438" s="4"/>
    </row>
    <row r="439" spans="1:56" ht="16.8" customHeight="1">
      <c r="A439" s="1">
        <v>438</v>
      </c>
      <c r="B439" s="1" t="s">
        <v>42</v>
      </c>
      <c r="C439" s="1" t="s">
        <v>47</v>
      </c>
      <c r="D439" s="1" t="s">
        <v>1686</v>
      </c>
      <c r="E439" s="1" t="s">
        <v>1686</v>
      </c>
      <c r="F439" s="1" t="s">
        <v>1687</v>
      </c>
      <c r="G439" s="1" t="s">
        <v>1688</v>
      </c>
      <c r="H439" s="1" t="s">
        <v>4987</v>
      </c>
      <c r="I439" s="18">
        <v>45925</v>
      </c>
      <c r="J439" s="18">
        <v>46023</v>
      </c>
      <c r="K439" s="18" t="s">
        <v>4980</v>
      </c>
      <c r="L439" s="18" t="s">
        <v>4734</v>
      </c>
      <c r="M439" s="2">
        <v>500000</v>
      </c>
      <c r="N439" s="2">
        <v>500000</v>
      </c>
      <c r="O439" s="2"/>
      <c r="P439" s="2" t="str">
        <f t="shared" si="24"/>
        <v/>
      </c>
      <c r="Q439" s="2"/>
      <c r="R439" s="2"/>
      <c r="S439" s="48"/>
      <c r="T439" s="2">
        <v>0</v>
      </c>
      <c r="U439" s="2">
        <v>0</v>
      </c>
      <c r="V439" s="1"/>
      <c r="W439" s="6"/>
      <c r="X439" s="1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>
        <f t="shared" si="25"/>
        <v>0</v>
      </c>
      <c r="AX439" s="3">
        <f t="shared" si="26"/>
        <v>0</v>
      </c>
      <c r="AY439" s="4">
        <f t="shared" si="27"/>
        <v>0</v>
      </c>
      <c r="AZ439" s="8" t="s">
        <v>5547</v>
      </c>
      <c r="BA439" s="4" t="s">
        <v>5726</v>
      </c>
      <c r="BB439" s="2"/>
      <c r="BC439" s="3"/>
      <c r="BD439" s="4"/>
    </row>
    <row r="440" spans="1:56" ht="16.8" customHeight="1">
      <c r="A440" s="1">
        <v>439</v>
      </c>
      <c r="B440" s="1" t="s">
        <v>42</v>
      </c>
      <c r="C440" s="1" t="s">
        <v>47</v>
      </c>
      <c r="D440" s="1" t="s">
        <v>1689</v>
      </c>
      <c r="E440" s="1" t="s">
        <v>1689</v>
      </c>
      <c r="F440" s="1" t="s">
        <v>1690</v>
      </c>
      <c r="G440" s="1" t="s">
        <v>1691</v>
      </c>
      <c r="H440" s="1" t="s">
        <v>4988</v>
      </c>
      <c r="I440" s="18">
        <v>45931</v>
      </c>
      <c r="J440" s="18">
        <v>46023</v>
      </c>
      <c r="K440" s="18" t="s">
        <v>4737</v>
      </c>
      <c r="L440" s="18" t="s">
        <v>4734</v>
      </c>
      <c r="M440" s="2">
        <v>500000</v>
      </c>
      <c r="N440" s="2">
        <v>500000</v>
      </c>
      <c r="O440" s="2"/>
      <c r="P440" s="2" t="str">
        <f t="shared" si="24"/>
        <v/>
      </c>
      <c r="Q440" s="2"/>
      <c r="R440" s="2"/>
      <c r="S440" s="48"/>
      <c r="T440" s="2">
        <v>0</v>
      </c>
      <c r="U440" s="2">
        <v>0</v>
      </c>
      <c r="V440" s="1"/>
      <c r="W440" s="6"/>
      <c r="X440" s="1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>
        <f t="shared" si="25"/>
        <v>0</v>
      </c>
      <c r="AX440" s="3">
        <f t="shared" si="26"/>
        <v>0</v>
      </c>
      <c r="AY440" s="4">
        <f t="shared" si="27"/>
        <v>0</v>
      </c>
      <c r="AZ440" s="8" t="s">
        <v>5547</v>
      </c>
      <c r="BA440" s="4" t="s">
        <v>5726</v>
      </c>
      <c r="BB440" s="2"/>
      <c r="BC440" s="3"/>
      <c r="BD440" s="4"/>
    </row>
    <row r="441" spans="1:56" ht="16.8" customHeight="1">
      <c r="A441" s="1">
        <v>440</v>
      </c>
      <c r="B441" s="1" t="s">
        <v>42</v>
      </c>
      <c r="C441" s="1" t="s">
        <v>47</v>
      </c>
      <c r="D441" s="1" t="s">
        <v>1692</v>
      </c>
      <c r="E441" s="1" t="s">
        <v>1692</v>
      </c>
      <c r="F441" s="1" t="s">
        <v>1693</v>
      </c>
      <c r="G441" s="1" t="s">
        <v>1694</v>
      </c>
      <c r="H441" s="1" t="s">
        <v>4989</v>
      </c>
      <c r="I441" s="18">
        <v>45925</v>
      </c>
      <c r="J441" s="18">
        <v>46023</v>
      </c>
      <c r="K441" s="18" t="s">
        <v>4980</v>
      </c>
      <c r="L441" s="18" t="s">
        <v>4734</v>
      </c>
      <c r="M441" s="2">
        <v>500000</v>
      </c>
      <c r="N441" s="2">
        <v>500000</v>
      </c>
      <c r="O441" s="2"/>
      <c r="P441" s="2" t="str">
        <f t="shared" si="24"/>
        <v/>
      </c>
      <c r="Q441" s="2"/>
      <c r="R441" s="2"/>
      <c r="S441" s="48"/>
      <c r="T441" s="2">
        <v>0</v>
      </c>
      <c r="U441" s="2">
        <v>0</v>
      </c>
      <c r="V441" s="1"/>
      <c r="W441" s="6"/>
      <c r="X441" s="1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>
        <f t="shared" si="25"/>
        <v>0</v>
      </c>
      <c r="AX441" s="3">
        <f t="shared" si="26"/>
        <v>0</v>
      </c>
      <c r="AY441" s="4">
        <f t="shared" si="27"/>
        <v>0</v>
      </c>
      <c r="AZ441" s="8" t="s">
        <v>5550</v>
      </c>
      <c r="BA441" s="4" t="s">
        <v>5726</v>
      </c>
      <c r="BB441" s="2"/>
      <c r="BC441" s="3"/>
      <c r="BD441" s="4"/>
    </row>
    <row r="442" spans="1:56" ht="16.8" customHeight="1">
      <c r="A442" s="1">
        <v>441</v>
      </c>
      <c r="B442" s="1" t="s">
        <v>42</v>
      </c>
      <c r="C442" s="1" t="s">
        <v>47</v>
      </c>
      <c r="D442" s="1" t="s">
        <v>1695</v>
      </c>
      <c r="E442" s="1" t="s">
        <v>1695</v>
      </c>
      <c r="F442" s="1" t="s">
        <v>1696</v>
      </c>
      <c r="G442" s="1" t="s">
        <v>1697</v>
      </c>
      <c r="H442" s="1"/>
      <c r="I442" s="18"/>
      <c r="J442" s="18"/>
      <c r="K442" s="18"/>
      <c r="L442" s="18"/>
      <c r="M442" s="2">
        <v>1700000</v>
      </c>
      <c r="N442" s="2">
        <v>1700000</v>
      </c>
      <c r="O442" s="2"/>
      <c r="P442" s="2" t="str">
        <f t="shared" si="24"/>
        <v/>
      </c>
      <c r="Q442" s="2"/>
      <c r="R442" s="2"/>
      <c r="S442" s="48"/>
      <c r="T442" s="2">
        <v>0</v>
      </c>
      <c r="U442" s="2">
        <v>0</v>
      </c>
      <c r="V442" s="1" t="s">
        <v>228</v>
      </c>
      <c r="W442" s="6" t="s">
        <v>229</v>
      </c>
      <c r="X442" s="1" t="s">
        <v>106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>
        <f t="shared" si="25"/>
        <v>0</v>
      </c>
      <c r="AX442" s="3">
        <f t="shared" si="26"/>
        <v>0</v>
      </c>
      <c r="AY442" s="4">
        <f t="shared" si="27"/>
        <v>0</v>
      </c>
      <c r="BA442" s="4" t="s">
        <v>5726</v>
      </c>
      <c r="BB442" s="2"/>
      <c r="BC442" s="3"/>
      <c r="BD442" s="4"/>
    </row>
    <row r="443" spans="1:56" ht="16.8" customHeight="1">
      <c r="A443" s="1">
        <v>442</v>
      </c>
      <c r="B443" s="1" t="s">
        <v>42</v>
      </c>
      <c r="C443" s="1" t="s">
        <v>47</v>
      </c>
      <c r="D443" s="1" t="s">
        <v>1698</v>
      </c>
      <c r="E443" s="1" t="s">
        <v>1698</v>
      </c>
      <c r="F443" s="1" t="s">
        <v>1699</v>
      </c>
      <c r="G443" s="1" t="s">
        <v>1700</v>
      </c>
      <c r="H443" s="1" t="s">
        <v>4990</v>
      </c>
      <c r="I443" s="18">
        <v>45925</v>
      </c>
      <c r="J443" s="18">
        <v>46023</v>
      </c>
      <c r="K443" s="18" t="s">
        <v>4980</v>
      </c>
      <c r="L443" s="18" t="s">
        <v>4734</v>
      </c>
      <c r="M443" s="2">
        <v>500000</v>
      </c>
      <c r="N443" s="2">
        <v>500000</v>
      </c>
      <c r="O443" s="2"/>
      <c r="P443" s="2" t="str">
        <f t="shared" si="24"/>
        <v/>
      </c>
      <c r="Q443" s="2"/>
      <c r="R443" s="2"/>
      <c r="S443" s="48"/>
      <c r="T443" s="2">
        <v>0</v>
      </c>
      <c r="U443" s="2">
        <v>0</v>
      </c>
      <c r="V443" s="1"/>
      <c r="W443" s="6"/>
      <c r="X443" s="1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>
        <f t="shared" si="25"/>
        <v>0</v>
      </c>
      <c r="AX443" s="3">
        <f t="shared" si="26"/>
        <v>0</v>
      </c>
      <c r="AY443" s="4">
        <f t="shared" si="27"/>
        <v>0</v>
      </c>
      <c r="AZ443" s="8" t="s">
        <v>5547</v>
      </c>
      <c r="BA443" s="4" t="s">
        <v>5726</v>
      </c>
      <c r="BB443" s="2"/>
      <c r="BC443" s="3"/>
      <c r="BD443" s="4"/>
    </row>
    <row r="444" spans="1:56" ht="16.8" customHeight="1">
      <c r="A444" s="1">
        <v>443</v>
      </c>
      <c r="B444" s="1" t="s">
        <v>42</v>
      </c>
      <c r="C444" s="1" t="s">
        <v>185</v>
      </c>
      <c r="D444" s="1" t="s">
        <v>1701</v>
      </c>
      <c r="E444" s="1" t="s">
        <v>1701</v>
      </c>
      <c r="F444" s="1" t="s">
        <v>1702</v>
      </c>
      <c r="G444" s="1" t="s">
        <v>1703</v>
      </c>
      <c r="H444" s="1" t="s">
        <v>4991</v>
      </c>
      <c r="I444" s="18">
        <v>45992</v>
      </c>
      <c r="J444" s="18">
        <v>45992</v>
      </c>
      <c r="K444" s="18" t="s">
        <v>4992</v>
      </c>
      <c r="L444" s="18" t="s">
        <v>4734</v>
      </c>
      <c r="M444" s="2">
        <v>1000000</v>
      </c>
      <c r="N444" s="2">
        <v>1000000</v>
      </c>
      <c r="O444" s="2"/>
      <c r="P444" s="2" t="str">
        <f t="shared" si="24"/>
        <v/>
      </c>
      <c r="Q444" s="2"/>
      <c r="R444" s="2"/>
      <c r="S444" s="48"/>
      <c r="T444" s="2">
        <v>0</v>
      </c>
      <c r="U444" s="2">
        <v>0</v>
      </c>
      <c r="V444" s="1"/>
      <c r="W444" s="6"/>
      <c r="X444" s="1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>
        <f t="shared" si="25"/>
        <v>0</v>
      </c>
      <c r="AX444" s="3">
        <f t="shared" si="26"/>
        <v>0</v>
      </c>
      <c r="AY444" s="4">
        <f t="shared" si="27"/>
        <v>0</v>
      </c>
      <c r="AZ444" s="8" t="s">
        <v>5551</v>
      </c>
      <c r="BA444" s="4" t="s">
        <v>5726</v>
      </c>
      <c r="BB444" s="2"/>
      <c r="BC444" s="3"/>
      <c r="BD444" s="4"/>
    </row>
    <row r="445" spans="1:56" ht="16.8" customHeight="1">
      <c r="A445" s="1">
        <v>444</v>
      </c>
      <c r="B445" s="1" t="s">
        <v>42</v>
      </c>
      <c r="C445" s="1" t="s">
        <v>185</v>
      </c>
      <c r="D445" s="1" t="s">
        <v>1704</v>
      </c>
      <c r="E445" s="1" t="s">
        <v>1704</v>
      </c>
      <c r="F445" s="1" t="s">
        <v>1705</v>
      </c>
      <c r="G445" s="1" t="s">
        <v>1706</v>
      </c>
      <c r="H445" s="1" t="s">
        <v>4993</v>
      </c>
      <c r="I445" s="18">
        <v>45925</v>
      </c>
      <c r="J445" s="18">
        <v>46023</v>
      </c>
      <c r="K445" s="18" t="s">
        <v>4980</v>
      </c>
      <c r="L445" s="18" t="s">
        <v>4734</v>
      </c>
      <c r="M445" s="2">
        <v>600000</v>
      </c>
      <c r="N445" s="2">
        <v>600000</v>
      </c>
      <c r="O445" s="2"/>
      <c r="P445" s="2" t="str">
        <f t="shared" si="24"/>
        <v/>
      </c>
      <c r="Q445" s="2"/>
      <c r="R445" s="2"/>
      <c r="S445" s="48"/>
      <c r="T445" s="2">
        <v>0</v>
      </c>
      <c r="U445" s="2">
        <v>0</v>
      </c>
      <c r="V445" s="1"/>
      <c r="W445" s="6"/>
      <c r="X445" s="1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>
        <f t="shared" si="25"/>
        <v>0</v>
      </c>
      <c r="AX445" s="3">
        <f t="shared" si="26"/>
        <v>0</v>
      </c>
      <c r="AY445" s="4">
        <f t="shared" si="27"/>
        <v>0</v>
      </c>
      <c r="AZ445" s="8" t="s">
        <v>5547</v>
      </c>
      <c r="BA445" s="4" t="s">
        <v>5726</v>
      </c>
      <c r="BB445" s="2"/>
      <c r="BC445" s="3"/>
      <c r="BD445" s="4"/>
    </row>
    <row r="446" spans="1:56" ht="16.8" customHeight="1">
      <c r="A446" s="1">
        <v>445</v>
      </c>
      <c r="B446" s="1" t="s">
        <v>42</v>
      </c>
      <c r="C446" s="1" t="s">
        <v>185</v>
      </c>
      <c r="D446" s="1" t="s">
        <v>1707</v>
      </c>
      <c r="E446" s="1" t="s">
        <v>1707</v>
      </c>
      <c r="F446" s="1" t="s">
        <v>1708</v>
      </c>
      <c r="G446" s="1" t="s">
        <v>1709</v>
      </c>
      <c r="H446" s="1" t="s">
        <v>4994</v>
      </c>
      <c r="I446" s="18">
        <v>45925</v>
      </c>
      <c r="J446" s="18">
        <v>46023</v>
      </c>
      <c r="K446" s="18" t="s">
        <v>4980</v>
      </c>
      <c r="L446" s="18" t="s">
        <v>4734</v>
      </c>
      <c r="M446" s="2">
        <v>600000</v>
      </c>
      <c r="N446" s="2">
        <v>600000</v>
      </c>
      <c r="O446" s="2"/>
      <c r="P446" s="2" t="str">
        <f t="shared" si="24"/>
        <v/>
      </c>
      <c r="Q446" s="2"/>
      <c r="R446" s="2"/>
      <c r="S446" s="48"/>
      <c r="T446" s="2">
        <v>0</v>
      </c>
      <c r="U446" s="2">
        <v>0</v>
      </c>
      <c r="V446" s="1"/>
      <c r="W446" s="6"/>
      <c r="X446" s="1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>
        <f t="shared" si="25"/>
        <v>0</v>
      </c>
      <c r="AX446" s="3">
        <f t="shared" si="26"/>
        <v>0</v>
      </c>
      <c r="AY446" s="4">
        <f t="shared" si="27"/>
        <v>0</v>
      </c>
      <c r="AZ446" s="8" t="s">
        <v>5550</v>
      </c>
      <c r="BA446" s="4" t="s">
        <v>5726</v>
      </c>
      <c r="BB446" s="2"/>
      <c r="BC446" s="3"/>
      <c r="BD446" s="4"/>
    </row>
    <row r="447" spans="1:56" ht="16.8" customHeight="1">
      <c r="A447" s="1">
        <v>446</v>
      </c>
      <c r="B447" s="1" t="s">
        <v>42</v>
      </c>
      <c r="C447" s="1" t="s">
        <v>185</v>
      </c>
      <c r="D447" s="1" t="s">
        <v>1710</v>
      </c>
      <c r="E447" s="1" t="s">
        <v>1710</v>
      </c>
      <c r="F447" s="1" t="s">
        <v>1711</v>
      </c>
      <c r="G447" s="1" t="s">
        <v>1712</v>
      </c>
      <c r="H447" s="1" t="s">
        <v>4995</v>
      </c>
      <c r="I447" s="18">
        <v>45992</v>
      </c>
      <c r="J447" s="18">
        <v>46023</v>
      </c>
      <c r="K447" s="18" t="s">
        <v>4996</v>
      </c>
      <c r="L447" s="18" t="s">
        <v>4734</v>
      </c>
      <c r="M447" s="2">
        <v>700000</v>
      </c>
      <c r="N447" s="2">
        <v>700000</v>
      </c>
      <c r="O447" s="2"/>
      <c r="P447" s="2" t="str">
        <f t="shared" si="24"/>
        <v/>
      </c>
      <c r="Q447" s="2"/>
      <c r="R447" s="2"/>
      <c r="S447" s="48"/>
      <c r="T447" s="2">
        <v>0</v>
      </c>
      <c r="U447" s="2">
        <v>0</v>
      </c>
      <c r="V447" s="1"/>
      <c r="W447" s="6"/>
      <c r="X447" s="1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>
        <f t="shared" si="25"/>
        <v>0</v>
      </c>
      <c r="AX447" s="3">
        <f t="shared" si="26"/>
        <v>0</v>
      </c>
      <c r="AY447" s="4">
        <f t="shared" si="27"/>
        <v>0</v>
      </c>
      <c r="AZ447" s="8" t="s">
        <v>5539</v>
      </c>
      <c r="BA447" s="4" t="s">
        <v>5726</v>
      </c>
      <c r="BB447" s="2"/>
      <c r="BC447" s="3"/>
      <c r="BD447" s="4"/>
    </row>
    <row r="448" spans="1:56" ht="16.8" customHeight="1">
      <c r="A448" s="1">
        <v>447</v>
      </c>
      <c r="B448" s="1" t="s">
        <v>42</v>
      </c>
      <c r="C448" s="1" t="s">
        <v>43</v>
      </c>
      <c r="D448" s="1" t="s">
        <v>1713</v>
      </c>
      <c r="E448" s="1" t="s">
        <v>1713</v>
      </c>
      <c r="F448" s="1" t="s">
        <v>1714</v>
      </c>
      <c r="G448" s="1" t="s">
        <v>1715</v>
      </c>
      <c r="H448" s="1" t="s">
        <v>4997</v>
      </c>
      <c r="I448" s="18">
        <v>45931</v>
      </c>
      <c r="J448" s="18">
        <v>46023</v>
      </c>
      <c r="K448" s="18" t="s">
        <v>4742</v>
      </c>
      <c r="L448" s="18" t="s">
        <v>4734</v>
      </c>
      <c r="M448" s="2">
        <v>800000</v>
      </c>
      <c r="N448" s="2">
        <v>800000</v>
      </c>
      <c r="O448" s="2"/>
      <c r="P448" s="2" t="str">
        <f t="shared" si="24"/>
        <v/>
      </c>
      <c r="Q448" s="2"/>
      <c r="R448" s="2"/>
      <c r="S448" s="48"/>
      <c r="T448" s="2">
        <v>0</v>
      </c>
      <c r="U448" s="2">
        <v>0</v>
      </c>
      <c r="V448" s="1"/>
      <c r="W448" s="6"/>
      <c r="X448" s="1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>
        <f t="shared" si="25"/>
        <v>0</v>
      </c>
      <c r="AX448" s="3">
        <f t="shared" si="26"/>
        <v>0</v>
      </c>
      <c r="AY448" s="4">
        <f t="shared" si="27"/>
        <v>0</v>
      </c>
      <c r="AZ448" s="8" t="s">
        <v>5552</v>
      </c>
      <c r="BA448" s="4" t="s">
        <v>5726</v>
      </c>
      <c r="BB448" s="2"/>
      <c r="BC448" s="3"/>
      <c r="BD448" s="4"/>
    </row>
    <row r="449" spans="1:56" ht="16.8" customHeight="1">
      <c r="A449" s="1">
        <v>448</v>
      </c>
      <c r="B449" s="1" t="s">
        <v>42</v>
      </c>
      <c r="C449" s="1" t="s">
        <v>43</v>
      </c>
      <c r="D449" s="1" t="s">
        <v>1716</v>
      </c>
      <c r="E449" s="1" t="s">
        <v>1716</v>
      </c>
      <c r="F449" s="1" t="s">
        <v>1717</v>
      </c>
      <c r="G449" s="1" t="s">
        <v>1718</v>
      </c>
      <c r="H449" s="1" t="s">
        <v>4998</v>
      </c>
      <c r="I449" s="18">
        <v>45931</v>
      </c>
      <c r="J449" s="18">
        <v>46023</v>
      </c>
      <c r="K449" s="18" t="s">
        <v>4742</v>
      </c>
      <c r="L449" s="18" t="s">
        <v>4734</v>
      </c>
      <c r="M449" s="2">
        <v>700000</v>
      </c>
      <c r="N449" s="2">
        <v>700000</v>
      </c>
      <c r="O449" s="2"/>
      <c r="P449" s="2" t="str">
        <f t="shared" si="24"/>
        <v/>
      </c>
      <c r="Q449" s="2"/>
      <c r="R449" s="2"/>
      <c r="S449" s="48"/>
      <c r="T449" s="2">
        <v>0</v>
      </c>
      <c r="U449" s="2">
        <v>0</v>
      </c>
      <c r="V449" s="1"/>
      <c r="W449" s="6"/>
      <c r="X449" s="1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>
        <f t="shared" si="25"/>
        <v>0</v>
      </c>
      <c r="AX449" s="3">
        <f t="shared" si="26"/>
        <v>0</v>
      </c>
      <c r="AY449" s="4">
        <f t="shared" si="27"/>
        <v>0</v>
      </c>
      <c r="AZ449" s="8" t="s">
        <v>5547</v>
      </c>
      <c r="BA449" s="4" t="s">
        <v>5726</v>
      </c>
      <c r="BB449" s="2"/>
      <c r="BC449" s="3"/>
      <c r="BD449" s="4"/>
    </row>
    <row r="450" spans="1:56" ht="16.8" customHeight="1">
      <c r="A450" s="1">
        <v>449</v>
      </c>
      <c r="B450" s="1" t="s">
        <v>42</v>
      </c>
      <c r="C450" s="1" t="s">
        <v>43</v>
      </c>
      <c r="D450" s="1" t="s">
        <v>1719</v>
      </c>
      <c r="E450" s="1" t="s">
        <v>1719</v>
      </c>
      <c r="F450" s="1" t="s">
        <v>1720</v>
      </c>
      <c r="G450" s="1" t="s">
        <v>1721</v>
      </c>
      <c r="H450" s="1" t="s">
        <v>4999</v>
      </c>
      <c r="I450" s="18">
        <v>45931</v>
      </c>
      <c r="J450" s="18">
        <v>46023</v>
      </c>
      <c r="K450" s="18" t="s">
        <v>4742</v>
      </c>
      <c r="L450" s="18" t="s">
        <v>4734</v>
      </c>
      <c r="M450" s="2">
        <v>700000</v>
      </c>
      <c r="N450" s="2">
        <v>700000</v>
      </c>
      <c r="O450" s="2"/>
      <c r="P450" s="2" t="str">
        <f t="shared" ref="P450:P513" si="28">IF(OR(M450="",N450="",M450=N450),"",N450-M450)</f>
        <v/>
      </c>
      <c r="Q450" s="2"/>
      <c r="R450" s="2"/>
      <c r="S450" s="48"/>
      <c r="T450" s="2">
        <v>0</v>
      </c>
      <c r="U450" s="2">
        <v>0</v>
      </c>
      <c r="V450" s="1"/>
      <c r="W450" s="6"/>
      <c r="X450" s="1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>
        <f t="shared" ref="AW450:AW513" si="29">SUM(Y450:AJ450)</f>
        <v>0</v>
      </c>
      <c r="AX450" s="3">
        <f t="shared" ref="AX450:AX513" si="30">SUM(AK450:AV450)</f>
        <v>0</v>
      </c>
      <c r="AY450" s="4">
        <f t="shared" ref="AY450:AY513" si="31">COUNT(Y450:AV450)</f>
        <v>0</v>
      </c>
      <c r="AZ450" s="8" t="s">
        <v>5553</v>
      </c>
      <c r="BA450" s="4" t="s">
        <v>5726</v>
      </c>
      <c r="BB450" s="2"/>
      <c r="BC450" s="3"/>
      <c r="BD450" s="4"/>
    </row>
    <row r="451" spans="1:56" ht="16.8" customHeight="1">
      <c r="A451" s="1">
        <v>450</v>
      </c>
      <c r="B451" s="1" t="s">
        <v>42</v>
      </c>
      <c r="C451" s="1" t="s">
        <v>43</v>
      </c>
      <c r="D451" s="1" t="s">
        <v>1722</v>
      </c>
      <c r="E451" s="1" t="s">
        <v>1722</v>
      </c>
      <c r="F451" s="1" t="s">
        <v>1723</v>
      </c>
      <c r="G451" s="1" t="s">
        <v>1724</v>
      </c>
      <c r="H451" s="1" t="s">
        <v>5000</v>
      </c>
      <c r="I451" s="18">
        <v>45931</v>
      </c>
      <c r="J451" s="18">
        <v>46023</v>
      </c>
      <c r="K451" s="18" t="s">
        <v>4742</v>
      </c>
      <c r="L451" s="18" t="s">
        <v>4734</v>
      </c>
      <c r="M451" s="2">
        <v>500000</v>
      </c>
      <c r="N451" s="2">
        <v>500000</v>
      </c>
      <c r="O451" s="2"/>
      <c r="P451" s="2" t="str">
        <f t="shared" si="28"/>
        <v/>
      </c>
      <c r="Q451" s="2"/>
      <c r="R451" s="2"/>
      <c r="S451" s="48"/>
      <c r="T451" s="2">
        <v>0</v>
      </c>
      <c r="U451" s="2">
        <v>0</v>
      </c>
      <c r="V451" s="1"/>
      <c r="W451" s="6"/>
      <c r="X451" s="1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>
        <f t="shared" si="29"/>
        <v>0</v>
      </c>
      <c r="AX451" s="3">
        <f t="shared" si="30"/>
        <v>0</v>
      </c>
      <c r="AY451" s="4">
        <f t="shared" si="31"/>
        <v>0</v>
      </c>
      <c r="AZ451" s="8" t="s">
        <v>5553</v>
      </c>
      <c r="BA451" s="4" t="s">
        <v>5726</v>
      </c>
      <c r="BB451" s="2"/>
      <c r="BC451" s="3"/>
      <c r="BD451" s="4"/>
    </row>
    <row r="452" spans="1:56" ht="16.8" customHeight="1">
      <c r="A452" s="1">
        <v>451</v>
      </c>
      <c r="B452" s="1" t="s">
        <v>42</v>
      </c>
      <c r="C452" s="1" t="s">
        <v>47</v>
      </c>
      <c r="D452" s="1" t="s">
        <v>1725</v>
      </c>
      <c r="E452" s="1" t="s">
        <v>1725</v>
      </c>
      <c r="F452" s="1" t="s">
        <v>1726</v>
      </c>
      <c r="G452" s="1" t="s">
        <v>1727</v>
      </c>
      <c r="H452" s="1" t="s">
        <v>5001</v>
      </c>
      <c r="I452" s="18">
        <v>45931</v>
      </c>
      <c r="J452" s="18">
        <v>46023</v>
      </c>
      <c r="K452" s="18" t="s">
        <v>4742</v>
      </c>
      <c r="L452" s="18" t="s">
        <v>4734</v>
      </c>
      <c r="M452" s="2">
        <v>1200000</v>
      </c>
      <c r="N452" s="2">
        <v>1200000</v>
      </c>
      <c r="O452" s="2"/>
      <c r="P452" s="2" t="str">
        <f t="shared" si="28"/>
        <v/>
      </c>
      <c r="Q452" s="2"/>
      <c r="R452" s="2"/>
      <c r="S452" s="48"/>
      <c r="T452" s="2">
        <v>0</v>
      </c>
      <c r="U452" s="2">
        <v>0</v>
      </c>
      <c r="V452" s="1"/>
      <c r="W452" s="6"/>
      <c r="X452" s="1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>
        <f t="shared" si="29"/>
        <v>0</v>
      </c>
      <c r="AX452" s="3">
        <f t="shared" si="30"/>
        <v>0</v>
      </c>
      <c r="AY452" s="4">
        <f t="shared" si="31"/>
        <v>0</v>
      </c>
      <c r="AZ452" s="8">
        <v>0</v>
      </c>
      <c r="BA452" s="4" t="s">
        <v>5726</v>
      </c>
      <c r="BB452" s="2"/>
      <c r="BC452" s="3"/>
      <c r="BD452" s="4"/>
    </row>
    <row r="453" spans="1:56" ht="16.8" customHeight="1">
      <c r="A453" s="1">
        <v>452</v>
      </c>
      <c r="B453" s="1" t="s">
        <v>42</v>
      </c>
      <c r="C453" s="1" t="s">
        <v>47</v>
      </c>
      <c r="D453" s="1" t="s">
        <v>1728</v>
      </c>
      <c r="E453" s="1" t="s">
        <v>1728</v>
      </c>
      <c r="F453" s="1" t="s">
        <v>1729</v>
      </c>
      <c r="G453" s="1" t="s">
        <v>1730</v>
      </c>
      <c r="H453" s="1" t="s">
        <v>5002</v>
      </c>
      <c r="I453" s="18">
        <v>46023</v>
      </c>
      <c r="J453" s="18">
        <v>46023</v>
      </c>
      <c r="K453" s="18" t="s">
        <v>5003</v>
      </c>
      <c r="L453" s="18" t="s">
        <v>4734</v>
      </c>
      <c r="M453" s="2">
        <v>700000</v>
      </c>
      <c r="N453" s="2">
        <v>700000</v>
      </c>
      <c r="O453" s="2"/>
      <c r="P453" s="2" t="str">
        <f t="shared" si="28"/>
        <v/>
      </c>
      <c r="Q453" s="2"/>
      <c r="R453" s="2"/>
      <c r="S453" s="48"/>
      <c r="T453" s="2">
        <v>0</v>
      </c>
      <c r="U453" s="2">
        <v>0</v>
      </c>
      <c r="V453" s="1"/>
      <c r="W453" s="6"/>
      <c r="X453" s="1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>
        <f t="shared" si="29"/>
        <v>0</v>
      </c>
      <c r="AX453" s="3">
        <f t="shared" si="30"/>
        <v>0</v>
      </c>
      <c r="AY453" s="4">
        <f t="shared" si="31"/>
        <v>0</v>
      </c>
      <c r="AZ453" s="8">
        <v>0</v>
      </c>
      <c r="BA453" s="4" t="s">
        <v>5726</v>
      </c>
      <c r="BB453" s="2"/>
      <c r="BC453" s="3"/>
      <c r="BD453" s="4"/>
    </row>
    <row r="454" spans="1:56" ht="16.8" customHeight="1">
      <c r="A454" s="1">
        <v>453</v>
      </c>
      <c r="B454" s="1" t="s">
        <v>42</v>
      </c>
      <c r="C454" s="1" t="s">
        <v>47</v>
      </c>
      <c r="D454" s="1" t="s">
        <v>1731</v>
      </c>
      <c r="E454" s="1" t="s">
        <v>1731</v>
      </c>
      <c r="F454" s="1" t="s">
        <v>1732</v>
      </c>
      <c r="G454" s="1" t="s">
        <v>1733</v>
      </c>
      <c r="H454" s="1" t="s">
        <v>5004</v>
      </c>
      <c r="I454" s="18">
        <v>45992</v>
      </c>
      <c r="J454" s="18">
        <v>46023</v>
      </c>
      <c r="K454" s="18" t="s">
        <v>4996</v>
      </c>
      <c r="L454" s="18" t="s">
        <v>4734</v>
      </c>
      <c r="M454" s="2">
        <v>500000</v>
      </c>
      <c r="N454" s="2">
        <v>500000</v>
      </c>
      <c r="O454" s="2"/>
      <c r="P454" s="2" t="str">
        <f t="shared" si="28"/>
        <v/>
      </c>
      <c r="Q454" s="2"/>
      <c r="R454" s="2"/>
      <c r="S454" s="48"/>
      <c r="T454" s="2">
        <v>0</v>
      </c>
      <c r="U454" s="2">
        <v>0</v>
      </c>
      <c r="V454" s="1"/>
      <c r="W454" s="6"/>
      <c r="X454" s="1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>
        <f t="shared" si="29"/>
        <v>0</v>
      </c>
      <c r="AX454" s="3">
        <f t="shared" si="30"/>
        <v>0</v>
      </c>
      <c r="AY454" s="4">
        <f t="shared" si="31"/>
        <v>0</v>
      </c>
      <c r="AZ454" s="8" t="s">
        <v>5539</v>
      </c>
      <c r="BA454" s="4" t="s">
        <v>5726</v>
      </c>
      <c r="BB454" s="2"/>
      <c r="BC454" s="3"/>
      <c r="BD454" s="4"/>
    </row>
    <row r="455" spans="1:56" ht="16.8" customHeight="1">
      <c r="A455" s="1">
        <v>454</v>
      </c>
      <c r="B455" s="1" t="s">
        <v>42</v>
      </c>
      <c r="C455" s="1" t="s">
        <v>47</v>
      </c>
      <c r="D455" s="1" t="s">
        <v>1734</v>
      </c>
      <c r="E455" s="1" t="s">
        <v>1734</v>
      </c>
      <c r="F455" s="1" t="s">
        <v>1735</v>
      </c>
      <c r="G455" s="1" t="s">
        <v>1736</v>
      </c>
      <c r="H455" s="1" t="s">
        <v>5005</v>
      </c>
      <c r="I455" s="18">
        <v>45931</v>
      </c>
      <c r="J455" s="18">
        <v>46023</v>
      </c>
      <c r="K455" s="18" t="s">
        <v>4742</v>
      </c>
      <c r="L455" s="18" t="s">
        <v>4734</v>
      </c>
      <c r="M455" s="2">
        <v>500000</v>
      </c>
      <c r="N455" s="2">
        <v>500000</v>
      </c>
      <c r="O455" s="2"/>
      <c r="P455" s="2" t="str">
        <f t="shared" si="28"/>
        <v/>
      </c>
      <c r="Q455" s="2"/>
      <c r="R455" s="2"/>
      <c r="S455" s="48"/>
      <c r="T455" s="2">
        <v>0</v>
      </c>
      <c r="U455" s="2">
        <v>0</v>
      </c>
      <c r="V455" s="1"/>
      <c r="W455" s="6"/>
      <c r="X455" s="1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>
        <f t="shared" si="29"/>
        <v>0</v>
      </c>
      <c r="AX455" s="3">
        <f t="shared" si="30"/>
        <v>0</v>
      </c>
      <c r="AY455" s="4">
        <f t="shared" si="31"/>
        <v>0</v>
      </c>
      <c r="AZ455" s="8">
        <v>0</v>
      </c>
      <c r="BA455" s="4" t="s">
        <v>5726</v>
      </c>
      <c r="BB455" s="2"/>
      <c r="BC455" s="3"/>
      <c r="BD455" s="4"/>
    </row>
    <row r="456" spans="1:56" ht="16.8" customHeight="1">
      <c r="A456" s="1">
        <v>455</v>
      </c>
      <c r="B456" s="1" t="s">
        <v>42</v>
      </c>
      <c r="C456" s="1" t="s">
        <v>47</v>
      </c>
      <c r="D456" s="1" t="s">
        <v>1737</v>
      </c>
      <c r="E456" s="1" t="s">
        <v>1737</v>
      </c>
      <c r="F456" s="1" t="s">
        <v>1738</v>
      </c>
      <c r="G456" s="1" t="s">
        <v>1739</v>
      </c>
      <c r="H456" s="1" t="s">
        <v>5006</v>
      </c>
      <c r="I456" s="18">
        <v>46023</v>
      </c>
      <c r="J456" s="18">
        <v>46023</v>
      </c>
      <c r="K456" s="18" t="s">
        <v>5003</v>
      </c>
      <c r="L456" s="18" t="s">
        <v>4734</v>
      </c>
      <c r="M456" s="2">
        <v>500000</v>
      </c>
      <c r="N456" s="2">
        <v>500000</v>
      </c>
      <c r="O456" s="2"/>
      <c r="P456" s="2" t="str">
        <f t="shared" si="28"/>
        <v/>
      </c>
      <c r="Q456" s="2"/>
      <c r="R456" s="2"/>
      <c r="S456" s="48"/>
      <c r="T456" s="2">
        <v>0</v>
      </c>
      <c r="U456" s="2">
        <v>0</v>
      </c>
      <c r="V456" s="1"/>
      <c r="W456" s="6"/>
      <c r="X456" s="1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>
        <f t="shared" si="29"/>
        <v>0</v>
      </c>
      <c r="AX456" s="3">
        <f t="shared" si="30"/>
        <v>0</v>
      </c>
      <c r="AY456" s="4">
        <f t="shared" si="31"/>
        <v>0</v>
      </c>
      <c r="AZ456" s="8" t="s">
        <v>5539</v>
      </c>
      <c r="BA456" s="4" t="s">
        <v>5726</v>
      </c>
      <c r="BB456" s="2"/>
      <c r="BC456" s="3"/>
      <c r="BD456" s="4"/>
    </row>
    <row r="457" spans="1:56" ht="16.8" customHeight="1">
      <c r="A457" s="1">
        <v>456</v>
      </c>
      <c r="B457" s="1" t="s">
        <v>42</v>
      </c>
      <c r="C457" s="1" t="s">
        <v>47</v>
      </c>
      <c r="D457" s="1" t="s">
        <v>1740</v>
      </c>
      <c r="E457" s="1" t="s">
        <v>1740</v>
      </c>
      <c r="F457" s="1" t="s">
        <v>1741</v>
      </c>
      <c r="G457" s="1" t="s">
        <v>1742</v>
      </c>
      <c r="H457" s="1" t="s">
        <v>5007</v>
      </c>
      <c r="I457" s="18">
        <v>45931</v>
      </c>
      <c r="J457" s="18">
        <v>46023</v>
      </c>
      <c r="K457" s="18" t="s">
        <v>4742</v>
      </c>
      <c r="L457" s="18" t="s">
        <v>4734</v>
      </c>
      <c r="M457" s="2">
        <v>500000</v>
      </c>
      <c r="N457" s="2">
        <v>500000</v>
      </c>
      <c r="O457" s="2"/>
      <c r="P457" s="2" t="str">
        <f t="shared" si="28"/>
        <v/>
      </c>
      <c r="Q457" s="2"/>
      <c r="R457" s="2"/>
      <c r="S457" s="48"/>
      <c r="T457" s="2">
        <v>0</v>
      </c>
      <c r="U457" s="2">
        <v>0</v>
      </c>
      <c r="V457" s="1"/>
      <c r="W457" s="6"/>
      <c r="X457" s="1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>
        <f t="shared" si="29"/>
        <v>0</v>
      </c>
      <c r="AX457" s="3">
        <f t="shared" si="30"/>
        <v>0</v>
      </c>
      <c r="AY457" s="4">
        <f t="shared" si="31"/>
        <v>0</v>
      </c>
      <c r="AZ457" s="8" t="s">
        <v>5489</v>
      </c>
      <c r="BA457" s="4" t="s">
        <v>5726</v>
      </c>
      <c r="BB457" s="2"/>
      <c r="BC457" s="3"/>
      <c r="BD457" s="4"/>
    </row>
    <row r="458" spans="1:56" ht="16.8" customHeight="1">
      <c r="A458" s="1">
        <v>457</v>
      </c>
      <c r="B458" s="1" t="s">
        <v>42</v>
      </c>
      <c r="C458" s="1" t="s">
        <v>47</v>
      </c>
      <c r="D458" s="1" t="s">
        <v>1743</v>
      </c>
      <c r="E458" s="1" t="s">
        <v>1743</v>
      </c>
      <c r="F458" s="1" t="s">
        <v>1744</v>
      </c>
      <c r="G458" s="1" t="s">
        <v>1745</v>
      </c>
      <c r="H458" s="1" t="s">
        <v>5008</v>
      </c>
      <c r="I458" s="18">
        <v>46023</v>
      </c>
      <c r="J458" s="18">
        <v>46023</v>
      </c>
      <c r="K458" s="18" t="s">
        <v>5003</v>
      </c>
      <c r="L458" s="18" t="s">
        <v>4734</v>
      </c>
      <c r="M458" s="2">
        <v>1000000</v>
      </c>
      <c r="N458" s="2">
        <v>1000000</v>
      </c>
      <c r="O458" s="2"/>
      <c r="P458" s="2" t="str">
        <f t="shared" si="28"/>
        <v/>
      </c>
      <c r="Q458" s="2"/>
      <c r="R458" s="2"/>
      <c r="S458" s="48"/>
      <c r="T458" s="2">
        <v>0</v>
      </c>
      <c r="U458" s="2">
        <v>0</v>
      </c>
      <c r="V458" s="1"/>
      <c r="W458" s="6"/>
      <c r="X458" s="1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>
        <f t="shared" si="29"/>
        <v>0</v>
      </c>
      <c r="AX458" s="3">
        <f t="shared" si="30"/>
        <v>0</v>
      </c>
      <c r="AY458" s="4">
        <f t="shared" si="31"/>
        <v>0</v>
      </c>
      <c r="AZ458" s="8" t="s">
        <v>5539</v>
      </c>
      <c r="BA458" s="4" t="s">
        <v>5726</v>
      </c>
      <c r="BB458" s="2"/>
      <c r="BC458" s="3"/>
      <c r="BD458" s="4"/>
    </row>
    <row r="459" spans="1:56" ht="16.8" customHeight="1">
      <c r="A459" s="1">
        <v>458</v>
      </c>
      <c r="B459" s="1" t="s">
        <v>42</v>
      </c>
      <c r="C459" s="1" t="s">
        <v>47</v>
      </c>
      <c r="D459" s="1" t="s">
        <v>1746</v>
      </c>
      <c r="E459" s="1" t="s">
        <v>1746</v>
      </c>
      <c r="F459" s="1" t="s">
        <v>1747</v>
      </c>
      <c r="G459" s="1" t="s">
        <v>1748</v>
      </c>
      <c r="H459" s="1" t="s">
        <v>5009</v>
      </c>
      <c r="I459" s="18">
        <v>46023</v>
      </c>
      <c r="J459" s="18">
        <v>46023</v>
      </c>
      <c r="K459" s="18" t="s">
        <v>5003</v>
      </c>
      <c r="L459" s="18" t="s">
        <v>4734</v>
      </c>
      <c r="M459" s="2">
        <v>700000</v>
      </c>
      <c r="N459" s="2">
        <v>700000</v>
      </c>
      <c r="O459" s="2"/>
      <c r="P459" s="2" t="str">
        <f t="shared" si="28"/>
        <v/>
      </c>
      <c r="Q459" s="2"/>
      <c r="R459" s="2"/>
      <c r="S459" s="48"/>
      <c r="T459" s="2">
        <v>0</v>
      </c>
      <c r="U459" s="2">
        <v>0</v>
      </c>
      <c r="V459" s="1"/>
      <c r="W459" s="6"/>
      <c r="X459" s="1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>
        <f t="shared" si="29"/>
        <v>0</v>
      </c>
      <c r="AX459" s="3">
        <f t="shared" si="30"/>
        <v>0</v>
      </c>
      <c r="AY459" s="4">
        <f t="shared" si="31"/>
        <v>0</v>
      </c>
      <c r="AZ459" s="8">
        <v>0</v>
      </c>
      <c r="BA459" s="4" t="s">
        <v>5726</v>
      </c>
      <c r="BB459" s="2"/>
      <c r="BC459" s="3"/>
      <c r="BD459" s="4"/>
    </row>
    <row r="460" spans="1:56" ht="16.8" customHeight="1">
      <c r="A460" s="1">
        <v>459</v>
      </c>
      <c r="B460" s="1" t="s">
        <v>42</v>
      </c>
      <c r="C460" s="1" t="s">
        <v>47</v>
      </c>
      <c r="D460" s="1" t="s">
        <v>1749</v>
      </c>
      <c r="E460" s="1" t="s">
        <v>1749</v>
      </c>
      <c r="F460" s="1" t="s">
        <v>1750</v>
      </c>
      <c r="G460" s="1" t="s">
        <v>1751</v>
      </c>
      <c r="H460" s="1" t="s">
        <v>5010</v>
      </c>
      <c r="I460" s="18">
        <v>46023</v>
      </c>
      <c r="J460" s="18">
        <v>46023</v>
      </c>
      <c r="K460" s="18" t="s">
        <v>5003</v>
      </c>
      <c r="L460" s="18" t="s">
        <v>4734</v>
      </c>
      <c r="M460" s="2">
        <v>800000</v>
      </c>
      <c r="N460" s="2">
        <v>800000</v>
      </c>
      <c r="O460" s="2"/>
      <c r="P460" s="2" t="str">
        <f t="shared" si="28"/>
        <v/>
      </c>
      <c r="Q460" s="2"/>
      <c r="R460" s="2"/>
      <c r="S460" s="48"/>
      <c r="T460" s="2">
        <v>0</v>
      </c>
      <c r="U460" s="2">
        <v>0</v>
      </c>
      <c r="V460" s="1"/>
      <c r="W460" s="6"/>
      <c r="X460" s="1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>
        <f t="shared" si="29"/>
        <v>0</v>
      </c>
      <c r="AX460" s="3">
        <f t="shared" si="30"/>
        <v>0</v>
      </c>
      <c r="AY460" s="4">
        <f t="shared" si="31"/>
        <v>0</v>
      </c>
      <c r="AZ460" s="8" t="s">
        <v>5528</v>
      </c>
      <c r="BA460" s="4" t="s">
        <v>5726</v>
      </c>
      <c r="BB460" s="2"/>
      <c r="BC460" s="3"/>
      <c r="BD460" s="4"/>
    </row>
    <row r="461" spans="1:56" ht="16.8" customHeight="1">
      <c r="A461" s="1">
        <v>460</v>
      </c>
      <c r="B461" s="1" t="s">
        <v>42</v>
      </c>
      <c r="C461" s="1" t="s">
        <v>47</v>
      </c>
      <c r="D461" s="1" t="s">
        <v>1752</v>
      </c>
      <c r="E461" s="1" t="s">
        <v>1752</v>
      </c>
      <c r="F461" s="1" t="s">
        <v>1753</v>
      </c>
      <c r="G461" s="1" t="s">
        <v>1754</v>
      </c>
      <c r="H461" s="1" t="s">
        <v>5011</v>
      </c>
      <c r="I461" s="18">
        <v>46006</v>
      </c>
      <c r="J461" s="18">
        <v>46023</v>
      </c>
      <c r="K461" s="18" t="s">
        <v>5012</v>
      </c>
      <c r="L461" s="18" t="s">
        <v>4734</v>
      </c>
      <c r="M461" s="2">
        <v>1900000</v>
      </c>
      <c r="N461" s="2">
        <v>1900000</v>
      </c>
      <c r="O461" s="2"/>
      <c r="P461" s="2" t="str">
        <f t="shared" si="28"/>
        <v/>
      </c>
      <c r="Q461" s="2"/>
      <c r="R461" s="2"/>
      <c r="S461" s="48"/>
      <c r="T461" s="2">
        <v>0</v>
      </c>
      <c r="U461" s="2">
        <v>0</v>
      </c>
      <c r="V461" s="1"/>
      <c r="W461" s="6"/>
      <c r="X461" s="1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>
        <f t="shared" si="29"/>
        <v>0</v>
      </c>
      <c r="AX461" s="3">
        <f t="shared" si="30"/>
        <v>0</v>
      </c>
      <c r="AY461" s="4">
        <f t="shared" si="31"/>
        <v>0</v>
      </c>
      <c r="AZ461" s="8">
        <v>0</v>
      </c>
      <c r="BA461" s="4" t="s">
        <v>5726</v>
      </c>
      <c r="BB461" s="2"/>
      <c r="BC461" s="3"/>
      <c r="BD461" s="4"/>
    </row>
    <row r="462" spans="1:56" ht="16.8" customHeight="1">
      <c r="A462" s="1">
        <v>461</v>
      </c>
      <c r="B462" s="1" t="s">
        <v>42</v>
      </c>
      <c r="C462" s="1" t="s">
        <v>47</v>
      </c>
      <c r="D462" s="1" t="s">
        <v>1755</v>
      </c>
      <c r="E462" s="1" t="s">
        <v>1755</v>
      </c>
      <c r="F462" s="1" t="s">
        <v>1756</v>
      </c>
      <c r="G462" s="1" t="s">
        <v>1757</v>
      </c>
      <c r="H462" s="1" t="s">
        <v>5013</v>
      </c>
      <c r="I462" s="18">
        <v>45980</v>
      </c>
      <c r="J462" s="18">
        <v>46023</v>
      </c>
      <c r="K462" s="18" t="s">
        <v>5014</v>
      </c>
      <c r="L462" s="18" t="s">
        <v>4734</v>
      </c>
      <c r="M462" s="2">
        <v>1200000</v>
      </c>
      <c r="N462" s="2">
        <v>1200000</v>
      </c>
      <c r="O462" s="2"/>
      <c r="P462" s="2" t="str">
        <f t="shared" si="28"/>
        <v/>
      </c>
      <c r="Q462" s="2"/>
      <c r="R462" s="2"/>
      <c r="S462" s="48"/>
      <c r="T462" s="2">
        <v>0</v>
      </c>
      <c r="U462" s="2">
        <v>0</v>
      </c>
      <c r="V462" s="1"/>
      <c r="W462" s="6"/>
      <c r="X462" s="1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>
        <f t="shared" si="29"/>
        <v>0</v>
      </c>
      <c r="AX462" s="3">
        <f t="shared" si="30"/>
        <v>0</v>
      </c>
      <c r="AY462" s="4">
        <f t="shared" si="31"/>
        <v>0</v>
      </c>
      <c r="AZ462" s="8">
        <v>0</v>
      </c>
      <c r="BA462" s="4" t="s">
        <v>5726</v>
      </c>
      <c r="BB462" s="2"/>
      <c r="BC462" s="3"/>
      <c r="BD462" s="4"/>
    </row>
    <row r="463" spans="1:56" ht="16.8" customHeight="1">
      <c r="A463" s="1">
        <v>462</v>
      </c>
      <c r="B463" s="1" t="s">
        <v>42</v>
      </c>
      <c r="C463" s="1" t="s">
        <v>47</v>
      </c>
      <c r="D463" s="1" t="s">
        <v>1758</v>
      </c>
      <c r="E463" s="1" t="s">
        <v>1758</v>
      </c>
      <c r="F463" s="1" t="s">
        <v>1759</v>
      </c>
      <c r="G463" s="1" t="s">
        <v>1760</v>
      </c>
      <c r="H463" s="1" t="s">
        <v>5015</v>
      </c>
      <c r="I463" s="18">
        <v>46023</v>
      </c>
      <c r="J463" s="18">
        <v>46023</v>
      </c>
      <c r="K463" s="18" t="s">
        <v>5003</v>
      </c>
      <c r="L463" s="18" t="s">
        <v>4734</v>
      </c>
      <c r="M463" s="2">
        <v>700000</v>
      </c>
      <c r="N463" s="2">
        <v>700000</v>
      </c>
      <c r="O463" s="2"/>
      <c r="P463" s="2" t="str">
        <f t="shared" si="28"/>
        <v/>
      </c>
      <c r="Q463" s="2"/>
      <c r="R463" s="2"/>
      <c r="S463" s="48"/>
      <c r="T463" s="2">
        <v>0</v>
      </c>
      <c r="U463" s="2">
        <v>0</v>
      </c>
      <c r="V463" s="1"/>
      <c r="W463" s="6"/>
      <c r="X463" s="1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>
        <f t="shared" si="29"/>
        <v>0</v>
      </c>
      <c r="AX463" s="3">
        <f t="shared" si="30"/>
        <v>0</v>
      </c>
      <c r="AY463" s="4">
        <f t="shared" si="31"/>
        <v>0</v>
      </c>
      <c r="AZ463" s="8">
        <v>0</v>
      </c>
      <c r="BA463" s="4" t="s">
        <v>5726</v>
      </c>
      <c r="BB463" s="2"/>
      <c r="BC463" s="3"/>
      <c r="BD463" s="4"/>
    </row>
    <row r="464" spans="1:56" ht="16.8" customHeight="1">
      <c r="A464" s="1">
        <v>463</v>
      </c>
      <c r="B464" s="1" t="s">
        <v>42</v>
      </c>
      <c r="C464" s="1" t="s">
        <v>185</v>
      </c>
      <c r="D464" s="1" t="s">
        <v>1761</v>
      </c>
      <c r="E464" s="1" t="s">
        <v>1761</v>
      </c>
      <c r="F464" s="1" t="s">
        <v>1762</v>
      </c>
      <c r="G464" s="1" t="s">
        <v>1763</v>
      </c>
      <c r="H464" s="1" t="s">
        <v>5016</v>
      </c>
      <c r="I464" s="18">
        <v>45992</v>
      </c>
      <c r="J464" s="18">
        <v>46023</v>
      </c>
      <c r="K464" s="18" t="s">
        <v>4992</v>
      </c>
      <c r="L464" s="18" t="s">
        <v>4734</v>
      </c>
      <c r="M464" s="2">
        <v>1000000</v>
      </c>
      <c r="N464" s="2">
        <v>1000000</v>
      </c>
      <c r="O464" s="2"/>
      <c r="P464" s="2" t="str">
        <f t="shared" si="28"/>
        <v/>
      </c>
      <c r="Q464" s="2"/>
      <c r="R464" s="2"/>
      <c r="S464" s="48"/>
      <c r="T464" s="2">
        <v>0</v>
      </c>
      <c r="U464" s="2">
        <v>0</v>
      </c>
      <c r="V464" s="1"/>
      <c r="W464" s="6"/>
      <c r="X464" s="1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>
        <f t="shared" si="29"/>
        <v>0</v>
      </c>
      <c r="AX464" s="3">
        <f t="shared" si="30"/>
        <v>0</v>
      </c>
      <c r="AY464" s="4">
        <f t="shared" si="31"/>
        <v>0</v>
      </c>
      <c r="AZ464" s="8" t="s">
        <v>5547</v>
      </c>
      <c r="BA464" s="4" t="s">
        <v>5726</v>
      </c>
      <c r="BB464" s="2"/>
      <c r="BC464" s="3"/>
      <c r="BD464" s="4"/>
    </row>
    <row r="465" spans="1:56" ht="16.8" customHeight="1">
      <c r="A465" s="1">
        <v>464</v>
      </c>
      <c r="B465" s="1" t="s">
        <v>42</v>
      </c>
      <c r="C465" s="1" t="s">
        <v>185</v>
      </c>
      <c r="D465" s="1" t="s">
        <v>1764</v>
      </c>
      <c r="E465" s="1" t="s">
        <v>1764</v>
      </c>
      <c r="F465" s="1" t="s">
        <v>1765</v>
      </c>
      <c r="G465" s="1" t="s">
        <v>1766</v>
      </c>
      <c r="H465" s="1" t="s">
        <v>5017</v>
      </c>
      <c r="I465" s="18">
        <v>45960</v>
      </c>
      <c r="J465" s="18" t="s">
        <v>5018</v>
      </c>
      <c r="K465" s="18" t="s">
        <v>5019</v>
      </c>
      <c r="L465" s="18" t="s">
        <v>4734</v>
      </c>
      <c r="M465" s="2">
        <v>1000000</v>
      </c>
      <c r="N465" s="2">
        <v>1000000</v>
      </c>
      <c r="O465" s="2"/>
      <c r="P465" s="2" t="str">
        <f t="shared" si="28"/>
        <v/>
      </c>
      <c r="Q465" s="2"/>
      <c r="R465" s="2"/>
      <c r="S465" s="48"/>
      <c r="T465" s="2">
        <v>0</v>
      </c>
      <c r="U465" s="2">
        <v>0</v>
      </c>
      <c r="V465" s="1"/>
      <c r="W465" s="6"/>
      <c r="X465" s="1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>
        <f t="shared" si="29"/>
        <v>0</v>
      </c>
      <c r="AX465" s="3">
        <f t="shared" si="30"/>
        <v>0</v>
      </c>
      <c r="AY465" s="4">
        <f t="shared" si="31"/>
        <v>0</v>
      </c>
      <c r="AZ465" s="8" t="s">
        <v>5547</v>
      </c>
      <c r="BA465" s="4" t="s">
        <v>5726</v>
      </c>
      <c r="BB465" s="2"/>
      <c r="BC465" s="3"/>
      <c r="BD465" s="4"/>
    </row>
    <row r="466" spans="1:56" ht="16.8" customHeight="1">
      <c r="A466" s="1">
        <v>465</v>
      </c>
      <c r="B466" s="1" t="s">
        <v>42</v>
      </c>
      <c r="C466" s="1" t="s">
        <v>185</v>
      </c>
      <c r="D466" s="1" t="s">
        <v>1767</v>
      </c>
      <c r="E466" s="1" t="s">
        <v>1767</v>
      </c>
      <c r="F466" s="1" t="s">
        <v>1768</v>
      </c>
      <c r="G466" s="1" t="s">
        <v>1769</v>
      </c>
      <c r="H466" s="1" t="s">
        <v>5020</v>
      </c>
      <c r="I466" s="18">
        <v>45961</v>
      </c>
      <c r="J466" s="18" t="s">
        <v>5018</v>
      </c>
      <c r="K466" s="18" t="s">
        <v>4935</v>
      </c>
      <c r="L466" s="18" t="s">
        <v>4734</v>
      </c>
      <c r="M466" s="2">
        <v>1000000</v>
      </c>
      <c r="N466" s="2">
        <v>1000000</v>
      </c>
      <c r="O466" s="2"/>
      <c r="P466" s="2" t="str">
        <f t="shared" si="28"/>
        <v/>
      </c>
      <c r="Q466" s="2"/>
      <c r="R466" s="2"/>
      <c r="S466" s="48"/>
      <c r="T466" s="2">
        <v>0</v>
      </c>
      <c r="U466" s="2">
        <v>0</v>
      </c>
      <c r="V466" s="1"/>
      <c r="W466" s="6"/>
      <c r="X466" s="1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>
        <f t="shared" si="29"/>
        <v>0</v>
      </c>
      <c r="AX466" s="3">
        <f t="shared" si="30"/>
        <v>0</v>
      </c>
      <c r="AY466" s="4">
        <f t="shared" si="31"/>
        <v>0</v>
      </c>
      <c r="AZ466" s="8" t="s">
        <v>5552</v>
      </c>
      <c r="BA466" s="4" t="s">
        <v>5726</v>
      </c>
      <c r="BB466" s="2"/>
      <c r="BC466" s="3"/>
      <c r="BD466" s="4"/>
    </row>
    <row r="467" spans="1:56" ht="16.8" customHeight="1">
      <c r="A467" s="1">
        <v>466</v>
      </c>
      <c r="B467" s="1" t="s">
        <v>42</v>
      </c>
      <c r="C467" s="1" t="s">
        <v>185</v>
      </c>
      <c r="D467" s="1" t="s">
        <v>1770</v>
      </c>
      <c r="E467" s="1" t="s">
        <v>1770</v>
      </c>
      <c r="F467" s="1" t="s">
        <v>1771</v>
      </c>
      <c r="G467" s="1" t="s">
        <v>1772</v>
      </c>
      <c r="H467" s="1" t="s">
        <v>5021</v>
      </c>
      <c r="I467" s="18">
        <v>45961</v>
      </c>
      <c r="J467" s="18" t="s">
        <v>5018</v>
      </c>
      <c r="K467" s="18" t="s">
        <v>4835</v>
      </c>
      <c r="L467" s="18" t="s">
        <v>4734</v>
      </c>
      <c r="M467" s="2">
        <v>1000000</v>
      </c>
      <c r="N467" s="2">
        <v>1000000</v>
      </c>
      <c r="O467" s="2"/>
      <c r="P467" s="2" t="str">
        <f t="shared" si="28"/>
        <v/>
      </c>
      <c r="Q467" s="2"/>
      <c r="R467" s="2"/>
      <c r="S467" s="48"/>
      <c r="T467" s="2">
        <v>0</v>
      </c>
      <c r="U467" s="2">
        <v>0</v>
      </c>
      <c r="V467" s="1"/>
      <c r="W467" s="6"/>
      <c r="X467" s="1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>
        <f t="shared" si="29"/>
        <v>0</v>
      </c>
      <c r="AX467" s="3">
        <f t="shared" si="30"/>
        <v>0</v>
      </c>
      <c r="AY467" s="4">
        <f t="shared" si="31"/>
        <v>0</v>
      </c>
      <c r="AZ467" s="8" t="s">
        <v>5550</v>
      </c>
      <c r="BA467" s="4" t="s">
        <v>5726</v>
      </c>
      <c r="BB467" s="2"/>
      <c r="BC467" s="3"/>
      <c r="BD467" s="4"/>
    </row>
    <row r="468" spans="1:56" ht="16.8" customHeight="1">
      <c r="A468" s="1">
        <v>467</v>
      </c>
      <c r="B468" s="1" t="s">
        <v>42</v>
      </c>
      <c r="C468" s="1" t="s">
        <v>185</v>
      </c>
      <c r="D468" s="1" t="s">
        <v>1773</v>
      </c>
      <c r="E468" s="1" t="s">
        <v>1773</v>
      </c>
      <c r="F468" s="1" t="s">
        <v>1774</v>
      </c>
      <c r="G468" s="1" t="s">
        <v>1775</v>
      </c>
      <c r="H468" s="1"/>
      <c r="I468" s="18"/>
      <c r="J468" s="18"/>
      <c r="K468" s="18"/>
      <c r="L468" s="18"/>
      <c r="M468" s="2">
        <v>1000000</v>
      </c>
      <c r="N468" s="2">
        <v>1000000</v>
      </c>
      <c r="O468" s="2"/>
      <c r="P468" s="2" t="str">
        <f t="shared" si="28"/>
        <v/>
      </c>
      <c r="Q468" s="2"/>
      <c r="R468" s="2"/>
      <c r="S468" s="48"/>
      <c r="T468" s="2">
        <v>0</v>
      </c>
      <c r="U468" s="2">
        <v>0</v>
      </c>
      <c r="V468" s="1"/>
      <c r="W468" s="6"/>
      <c r="X468" s="1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>
        <f t="shared" si="29"/>
        <v>0</v>
      </c>
      <c r="AX468" s="3">
        <f t="shared" si="30"/>
        <v>0</v>
      </c>
      <c r="AY468" s="4">
        <f t="shared" si="31"/>
        <v>0</v>
      </c>
      <c r="BA468" s="4" t="s">
        <v>5726</v>
      </c>
      <c r="BB468" s="2"/>
      <c r="BC468" s="3"/>
      <c r="BD468" s="4"/>
    </row>
    <row r="469" spans="1:56" ht="16.8" customHeight="1">
      <c r="A469" s="1">
        <v>468</v>
      </c>
      <c r="B469" s="1" t="s">
        <v>42</v>
      </c>
      <c r="C469" s="1" t="s">
        <v>43</v>
      </c>
      <c r="D469" s="1" t="s">
        <v>1776</v>
      </c>
      <c r="E469" s="1" t="s">
        <v>1776</v>
      </c>
      <c r="F469" s="1" t="s">
        <v>1777</v>
      </c>
      <c r="G469" s="1" t="s">
        <v>540</v>
      </c>
      <c r="H469" s="1" t="s">
        <v>5022</v>
      </c>
      <c r="I469" s="18">
        <v>45925</v>
      </c>
      <c r="J469" s="18" t="s">
        <v>5018</v>
      </c>
      <c r="K469" s="18" t="s">
        <v>4980</v>
      </c>
      <c r="L469" s="18" t="s">
        <v>4734</v>
      </c>
      <c r="M469" s="2">
        <v>1000000</v>
      </c>
      <c r="N469" s="2">
        <v>1000000</v>
      </c>
      <c r="O469" s="2"/>
      <c r="P469" s="2" t="str">
        <f t="shared" si="28"/>
        <v/>
      </c>
      <c r="Q469" s="2"/>
      <c r="R469" s="2"/>
      <c r="S469" s="48"/>
      <c r="T469" s="2">
        <v>0</v>
      </c>
      <c r="U469" s="2">
        <v>0</v>
      </c>
      <c r="V469" s="1"/>
      <c r="W469" s="6"/>
      <c r="X469" s="1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>
        <f t="shared" si="29"/>
        <v>0</v>
      </c>
      <c r="AX469" s="3">
        <f t="shared" si="30"/>
        <v>0</v>
      </c>
      <c r="AY469" s="4">
        <f t="shared" si="31"/>
        <v>0</v>
      </c>
      <c r="AZ469" s="8" t="s">
        <v>5547</v>
      </c>
      <c r="BA469" s="4" t="s">
        <v>5726</v>
      </c>
      <c r="BB469" s="2"/>
      <c r="BC469" s="3"/>
      <c r="BD469" s="4"/>
    </row>
    <row r="470" spans="1:56" ht="16.8" customHeight="1">
      <c r="A470" s="1">
        <v>469</v>
      </c>
      <c r="B470" s="1" t="s">
        <v>42</v>
      </c>
      <c r="C470" s="1" t="s">
        <v>43</v>
      </c>
      <c r="D470" s="1" t="s">
        <v>1778</v>
      </c>
      <c r="E470" s="1" t="s">
        <v>1778</v>
      </c>
      <c r="F470" s="1" t="s">
        <v>1779</v>
      </c>
      <c r="G470" s="1" t="s">
        <v>1780</v>
      </c>
      <c r="H470" s="1" t="s">
        <v>5023</v>
      </c>
      <c r="I470" s="18">
        <v>45925</v>
      </c>
      <c r="J470" s="18" t="s">
        <v>5018</v>
      </c>
      <c r="K470" s="18" t="s">
        <v>4980</v>
      </c>
      <c r="L470" s="18" t="s">
        <v>4734</v>
      </c>
      <c r="M470" s="2">
        <v>800000</v>
      </c>
      <c r="N470" s="2">
        <v>800000</v>
      </c>
      <c r="O470" s="2"/>
      <c r="P470" s="2" t="str">
        <f t="shared" si="28"/>
        <v/>
      </c>
      <c r="Q470" s="2"/>
      <c r="R470" s="2"/>
      <c r="S470" s="48"/>
      <c r="T470" s="2">
        <v>0</v>
      </c>
      <c r="U470" s="2">
        <v>0</v>
      </c>
      <c r="V470" s="1"/>
      <c r="W470" s="6"/>
      <c r="X470" s="1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>
        <f t="shared" si="29"/>
        <v>0</v>
      </c>
      <c r="AX470" s="3">
        <f t="shared" si="30"/>
        <v>0</v>
      </c>
      <c r="AY470" s="4">
        <f t="shared" si="31"/>
        <v>0</v>
      </c>
      <c r="AZ470" s="8" t="s">
        <v>5547</v>
      </c>
      <c r="BA470" s="4" t="s">
        <v>5726</v>
      </c>
      <c r="BB470" s="2"/>
      <c r="BC470" s="3"/>
      <c r="BD470" s="4"/>
    </row>
    <row r="471" spans="1:56" ht="16.8" customHeight="1">
      <c r="A471" s="1">
        <v>470</v>
      </c>
      <c r="B471" s="1" t="s">
        <v>42</v>
      </c>
      <c r="C471" s="1" t="s">
        <v>43</v>
      </c>
      <c r="D471" s="1" t="s">
        <v>1781</v>
      </c>
      <c r="E471" s="1" t="s">
        <v>1781</v>
      </c>
      <c r="F471" s="1" t="s">
        <v>1782</v>
      </c>
      <c r="G471" s="1" t="s">
        <v>1783</v>
      </c>
      <c r="H471" s="1" t="s">
        <v>5024</v>
      </c>
      <c r="I471" s="18">
        <v>45951</v>
      </c>
      <c r="J471" s="18">
        <v>46023</v>
      </c>
      <c r="K471" s="18" t="s">
        <v>5025</v>
      </c>
      <c r="L471" s="18" t="s">
        <v>4734</v>
      </c>
      <c r="M471" s="2">
        <v>3000000</v>
      </c>
      <c r="N471" s="2">
        <v>3000000</v>
      </c>
      <c r="O471" s="2"/>
      <c r="P471" s="2" t="str">
        <f t="shared" si="28"/>
        <v/>
      </c>
      <c r="Q471" s="2"/>
      <c r="R471" s="2"/>
      <c r="S471" s="48"/>
      <c r="T471" s="2">
        <v>0</v>
      </c>
      <c r="U471" s="2">
        <v>0</v>
      </c>
      <c r="V471" s="1"/>
      <c r="W471" s="6"/>
      <c r="X471" s="1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>
        <f t="shared" si="29"/>
        <v>0</v>
      </c>
      <c r="AX471" s="3">
        <f t="shared" si="30"/>
        <v>0</v>
      </c>
      <c r="AY471" s="4">
        <f t="shared" si="31"/>
        <v>0</v>
      </c>
      <c r="AZ471" s="8">
        <v>0</v>
      </c>
      <c r="BA471" s="4" t="s">
        <v>5726</v>
      </c>
      <c r="BB471" s="2"/>
      <c r="BC471" s="3"/>
      <c r="BD471" s="4"/>
    </row>
    <row r="472" spans="1:56" ht="16.8" customHeight="1">
      <c r="A472" s="1">
        <v>471</v>
      </c>
      <c r="B472" s="1" t="s">
        <v>42</v>
      </c>
      <c r="C472" s="1" t="s">
        <v>43</v>
      </c>
      <c r="D472" s="1" t="s">
        <v>1784</v>
      </c>
      <c r="E472" s="1" t="s">
        <v>1784</v>
      </c>
      <c r="F472" s="1" t="s">
        <v>1785</v>
      </c>
      <c r="G472" s="1" t="s">
        <v>1786</v>
      </c>
      <c r="H472" s="1" t="s">
        <v>5026</v>
      </c>
      <c r="I472" s="18">
        <v>45965</v>
      </c>
      <c r="J472" s="18">
        <v>45992</v>
      </c>
      <c r="K472" s="18" t="s">
        <v>5027</v>
      </c>
      <c r="L472" s="18" t="s">
        <v>4734</v>
      </c>
      <c r="M472" s="2">
        <v>3000000</v>
      </c>
      <c r="N472" s="2">
        <v>3000000</v>
      </c>
      <c r="O472" s="2"/>
      <c r="P472" s="2" t="str">
        <f t="shared" si="28"/>
        <v/>
      </c>
      <c r="Q472" s="2"/>
      <c r="R472" s="2"/>
      <c r="S472" s="48"/>
      <c r="T472" s="2">
        <v>0</v>
      </c>
      <c r="U472" s="2">
        <v>0</v>
      </c>
      <c r="V472" s="1"/>
      <c r="W472" s="6"/>
      <c r="X472" s="1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>
        <f t="shared" si="29"/>
        <v>0</v>
      </c>
      <c r="AX472" s="3">
        <f t="shared" si="30"/>
        <v>0</v>
      </c>
      <c r="AY472" s="4">
        <f t="shared" si="31"/>
        <v>0</v>
      </c>
      <c r="AZ472" s="8" t="s">
        <v>5539</v>
      </c>
      <c r="BA472" s="4" t="s">
        <v>5726</v>
      </c>
      <c r="BB472" s="2"/>
      <c r="BC472" s="3"/>
      <c r="BD472" s="4"/>
    </row>
    <row r="473" spans="1:56" ht="16.8" customHeight="1">
      <c r="A473" s="1">
        <v>472</v>
      </c>
      <c r="B473" s="1" t="s">
        <v>42</v>
      </c>
      <c r="C473" s="1" t="s">
        <v>43</v>
      </c>
      <c r="D473" s="1" t="s">
        <v>1787</v>
      </c>
      <c r="E473" s="1" t="s">
        <v>1787</v>
      </c>
      <c r="F473" s="1" t="s">
        <v>1788</v>
      </c>
      <c r="G473" s="1" t="s">
        <v>1789</v>
      </c>
      <c r="H473" s="1" t="s">
        <v>5028</v>
      </c>
      <c r="I473" s="18">
        <v>45965</v>
      </c>
      <c r="J473" s="18">
        <v>45965</v>
      </c>
      <c r="K473" s="18" t="s">
        <v>5029</v>
      </c>
      <c r="L473" s="18" t="s">
        <v>4734</v>
      </c>
      <c r="M473" s="2">
        <v>3000000</v>
      </c>
      <c r="N473" s="2">
        <v>3000000</v>
      </c>
      <c r="O473" s="2"/>
      <c r="P473" s="2" t="str">
        <f t="shared" si="28"/>
        <v/>
      </c>
      <c r="Q473" s="2"/>
      <c r="R473" s="2"/>
      <c r="S473" s="48"/>
      <c r="T473" s="2">
        <v>0</v>
      </c>
      <c r="U473" s="2">
        <v>0</v>
      </c>
      <c r="V473" s="1"/>
      <c r="W473" s="6"/>
      <c r="X473" s="1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>
        <f t="shared" si="29"/>
        <v>0</v>
      </c>
      <c r="AX473" s="3">
        <f t="shared" si="30"/>
        <v>0</v>
      </c>
      <c r="AY473" s="4">
        <f t="shared" si="31"/>
        <v>0</v>
      </c>
      <c r="AZ473" s="8">
        <v>0</v>
      </c>
      <c r="BA473" s="4" t="s">
        <v>5726</v>
      </c>
      <c r="BB473" s="2"/>
      <c r="BC473" s="3"/>
      <c r="BD473" s="4"/>
    </row>
    <row r="474" spans="1:56" ht="16.8" customHeight="1">
      <c r="A474" s="1">
        <v>473</v>
      </c>
      <c r="B474" s="1" t="s">
        <v>42</v>
      </c>
      <c r="C474" s="1" t="s">
        <v>43</v>
      </c>
      <c r="D474" s="1" t="s">
        <v>1790</v>
      </c>
      <c r="E474" s="1" t="s">
        <v>1790</v>
      </c>
      <c r="F474" s="1" t="s">
        <v>1791</v>
      </c>
      <c r="G474" s="1" t="s">
        <v>1792</v>
      </c>
      <c r="H474" s="1" t="s">
        <v>5028</v>
      </c>
      <c r="I474" s="18">
        <v>45965</v>
      </c>
      <c r="J474" s="18">
        <v>45965</v>
      </c>
      <c r="K474" s="18" t="s">
        <v>5029</v>
      </c>
      <c r="L474" s="18" t="s">
        <v>4734</v>
      </c>
      <c r="M474" s="2">
        <v>3000000</v>
      </c>
      <c r="N474" s="2">
        <v>3000000</v>
      </c>
      <c r="O474" s="2"/>
      <c r="P474" s="2" t="str">
        <f t="shared" si="28"/>
        <v/>
      </c>
      <c r="Q474" s="2"/>
      <c r="R474" s="2"/>
      <c r="S474" s="48"/>
      <c r="T474" s="2">
        <v>0</v>
      </c>
      <c r="U474" s="2">
        <v>0</v>
      </c>
      <c r="V474" s="1"/>
      <c r="W474" s="6"/>
      <c r="X474" s="1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>
        <f t="shared" si="29"/>
        <v>0</v>
      </c>
      <c r="AX474" s="3">
        <f t="shared" si="30"/>
        <v>0</v>
      </c>
      <c r="AY474" s="4">
        <f t="shared" si="31"/>
        <v>0</v>
      </c>
      <c r="AZ474" s="8">
        <v>0</v>
      </c>
      <c r="BA474" s="4" t="s">
        <v>5726</v>
      </c>
      <c r="BB474" s="2"/>
      <c r="BC474" s="3"/>
      <c r="BD474" s="4"/>
    </row>
    <row r="475" spans="1:56" ht="16.8" customHeight="1">
      <c r="A475" s="1">
        <v>474</v>
      </c>
      <c r="B475" s="1" t="s">
        <v>42</v>
      </c>
      <c r="C475" s="1" t="s">
        <v>43</v>
      </c>
      <c r="D475" s="1" t="s">
        <v>1793</v>
      </c>
      <c r="E475" s="1" t="s">
        <v>1793</v>
      </c>
      <c r="F475" s="1" t="s">
        <v>1794</v>
      </c>
      <c r="G475" s="1" t="s">
        <v>1795</v>
      </c>
      <c r="H475" s="1" t="s">
        <v>5030</v>
      </c>
      <c r="I475" s="18">
        <v>45964</v>
      </c>
      <c r="J475" s="18">
        <v>46023</v>
      </c>
      <c r="K475" s="18" t="s">
        <v>5031</v>
      </c>
      <c r="L475" s="18" t="s">
        <v>4734</v>
      </c>
      <c r="M475" s="2">
        <v>1000000</v>
      </c>
      <c r="N475" s="2">
        <v>1000000</v>
      </c>
      <c r="O475" s="2"/>
      <c r="P475" s="2" t="str">
        <f t="shared" si="28"/>
        <v/>
      </c>
      <c r="Q475" s="2"/>
      <c r="R475" s="2"/>
      <c r="S475" s="48"/>
      <c r="T475" s="2">
        <v>0</v>
      </c>
      <c r="U475" s="2">
        <v>0</v>
      </c>
      <c r="V475" s="1"/>
      <c r="W475" s="6"/>
      <c r="X475" s="1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>
        <f t="shared" si="29"/>
        <v>0</v>
      </c>
      <c r="AX475" s="3">
        <f t="shared" si="30"/>
        <v>0</v>
      </c>
      <c r="AY475" s="4">
        <f t="shared" si="31"/>
        <v>0</v>
      </c>
      <c r="AZ475" s="8">
        <v>0</v>
      </c>
      <c r="BA475" s="4" t="s">
        <v>5726</v>
      </c>
      <c r="BB475" s="2"/>
      <c r="BC475" s="3"/>
      <c r="BD475" s="4"/>
    </row>
    <row r="476" spans="1:56" ht="16.8" customHeight="1">
      <c r="A476" s="1">
        <v>475</v>
      </c>
      <c r="B476" s="1" t="s">
        <v>42</v>
      </c>
      <c r="C476" s="1" t="s">
        <v>43</v>
      </c>
      <c r="D476" s="1" t="s">
        <v>1796</v>
      </c>
      <c r="E476" s="1" t="s">
        <v>1796</v>
      </c>
      <c r="F476" s="1" t="s">
        <v>1797</v>
      </c>
      <c r="G476" s="1"/>
      <c r="H476" s="1" t="s">
        <v>5032</v>
      </c>
      <c r="I476" s="18">
        <v>45965</v>
      </c>
      <c r="J476" s="18">
        <v>46023</v>
      </c>
      <c r="K476" s="18" t="s">
        <v>5027</v>
      </c>
      <c r="L476" s="18" t="s">
        <v>4734</v>
      </c>
      <c r="M476" s="2">
        <v>1000000</v>
      </c>
      <c r="N476" s="2">
        <v>1000000</v>
      </c>
      <c r="O476" s="2"/>
      <c r="P476" s="2" t="str">
        <f t="shared" si="28"/>
        <v/>
      </c>
      <c r="Q476" s="2"/>
      <c r="R476" s="2"/>
      <c r="S476" s="48"/>
      <c r="T476" s="2">
        <v>0</v>
      </c>
      <c r="U476" s="2">
        <v>0</v>
      </c>
      <c r="V476" s="1"/>
      <c r="W476" s="6"/>
      <c r="X476" s="1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>
        <f t="shared" si="29"/>
        <v>0</v>
      </c>
      <c r="AX476" s="3">
        <f t="shared" si="30"/>
        <v>0</v>
      </c>
      <c r="AY476" s="4">
        <f t="shared" si="31"/>
        <v>0</v>
      </c>
      <c r="AZ476" s="8" t="s">
        <v>5554</v>
      </c>
      <c r="BA476" s="4" t="s">
        <v>5726</v>
      </c>
      <c r="BB476" s="2"/>
      <c r="BC476" s="3"/>
      <c r="BD476" s="4"/>
    </row>
    <row r="477" spans="1:56" ht="16.8" customHeight="1">
      <c r="A477" s="1">
        <v>476</v>
      </c>
      <c r="B477" s="1" t="s">
        <v>42</v>
      </c>
      <c r="C477" s="1" t="s">
        <v>43</v>
      </c>
      <c r="D477" s="1" t="s">
        <v>1798</v>
      </c>
      <c r="E477" s="1" t="s">
        <v>1798</v>
      </c>
      <c r="F477" s="1" t="s">
        <v>1799</v>
      </c>
      <c r="G477" s="1" t="s">
        <v>1800</v>
      </c>
      <c r="H477" s="1" t="s">
        <v>5033</v>
      </c>
      <c r="I477" s="18">
        <v>45988</v>
      </c>
      <c r="J477" s="18">
        <v>46023</v>
      </c>
      <c r="K477" s="18" t="s">
        <v>5034</v>
      </c>
      <c r="L477" s="18" t="s">
        <v>4734</v>
      </c>
      <c r="M477" s="2">
        <v>1000000</v>
      </c>
      <c r="N477" s="2">
        <v>1000000</v>
      </c>
      <c r="O477" s="2"/>
      <c r="P477" s="2" t="str">
        <f t="shared" si="28"/>
        <v/>
      </c>
      <c r="Q477" s="2"/>
      <c r="R477" s="2"/>
      <c r="S477" s="48"/>
      <c r="T477" s="2">
        <v>0</v>
      </c>
      <c r="U477" s="2">
        <v>0</v>
      </c>
      <c r="V477" s="1"/>
      <c r="W477" s="6"/>
      <c r="X477" s="1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>
        <f t="shared" si="29"/>
        <v>0</v>
      </c>
      <c r="AX477" s="3">
        <f t="shared" si="30"/>
        <v>0</v>
      </c>
      <c r="AY477" s="4">
        <f t="shared" si="31"/>
        <v>0</v>
      </c>
      <c r="AZ477" s="8" t="s">
        <v>5539</v>
      </c>
      <c r="BA477" s="4" t="s">
        <v>5726</v>
      </c>
      <c r="BB477" s="2"/>
      <c r="BC477" s="3"/>
      <c r="BD477" s="4"/>
    </row>
    <row r="478" spans="1:56" ht="16.8" customHeight="1">
      <c r="A478" s="1">
        <v>477</v>
      </c>
      <c r="B478" s="1" t="s">
        <v>42</v>
      </c>
      <c r="C478" s="1" t="s">
        <v>43</v>
      </c>
      <c r="D478" s="1" t="s">
        <v>1801</v>
      </c>
      <c r="E478" s="1" t="s">
        <v>1801</v>
      </c>
      <c r="F478" s="1" t="s">
        <v>1802</v>
      </c>
      <c r="G478" s="1" t="s">
        <v>1803</v>
      </c>
      <c r="H478" s="1" t="s">
        <v>5035</v>
      </c>
      <c r="I478" s="18">
        <v>45909</v>
      </c>
      <c r="J478" s="18">
        <v>46022</v>
      </c>
      <c r="K478" s="18" t="s">
        <v>5036</v>
      </c>
      <c r="L478" s="18" t="s">
        <v>4734</v>
      </c>
      <c r="M478" s="2">
        <v>7600000</v>
      </c>
      <c r="N478" s="2">
        <v>7600000</v>
      </c>
      <c r="O478" s="2"/>
      <c r="P478" s="2" t="str">
        <f t="shared" si="28"/>
        <v/>
      </c>
      <c r="Q478" s="2"/>
      <c r="R478" s="2"/>
      <c r="S478" s="48"/>
      <c r="T478" s="2">
        <v>0</v>
      </c>
      <c r="U478" s="2">
        <v>0</v>
      </c>
      <c r="V478" s="1"/>
      <c r="W478" s="6"/>
      <c r="X478" s="1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>
        <f t="shared" si="29"/>
        <v>0</v>
      </c>
      <c r="AX478" s="3">
        <f t="shared" si="30"/>
        <v>0</v>
      </c>
      <c r="AY478" s="4">
        <f t="shared" si="31"/>
        <v>0</v>
      </c>
      <c r="AZ478" s="8" t="s">
        <v>5550</v>
      </c>
      <c r="BA478" s="4" t="s">
        <v>5726</v>
      </c>
      <c r="BB478" s="2"/>
      <c r="BC478" s="3"/>
      <c r="BD478" s="4"/>
    </row>
    <row r="479" spans="1:56" ht="16.8" customHeight="1">
      <c r="A479" s="1">
        <v>478</v>
      </c>
      <c r="B479" s="1" t="s">
        <v>42</v>
      </c>
      <c r="C479" s="1" t="s">
        <v>185</v>
      </c>
      <c r="D479" s="1" t="s">
        <v>1804</v>
      </c>
      <c r="E479" s="1" t="s">
        <v>1804</v>
      </c>
      <c r="F479" s="1" t="s">
        <v>1805</v>
      </c>
      <c r="G479" s="1" t="s">
        <v>1806</v>
      </c>
      <c r="H479" s="1" t="s">
        <v>5037</v>
      </c>
      <c r="I479" s="18">
        <v>45992</v>
      </c>
      <c r="J479" s="18">
        <v>46063</v>
      </c>
      <c r="K479" s="18" t="s">
        <v>4992</v>
      </c>
      <c r="L479" s="18" t="s">
        <v>4734</v>
      </c>
      <c r="M479" s="2">
        <v>5000000</v>
      </c>
      <c r="N479" s="2">
        <v>5000000</v>
      </c>
      <c r="O479" s="2"/>
      <c r="P479" s="2" t="str">
        <f t="shared" si="28"/>
        <v/>
      </c>
      <c r="Q479" s="2"/>
      <c r="R479" s="2"/>
      <c r="S479" s="48"/>
      <c r="T479" s="2">
        <v>0</v>
      </c>
      <c r="U479" s="2">
        <v>0</v>
      </c>
      <c r="V479" s="1"/>
      <c r="W479" s="6"/>
      <c r="X479" s="1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>
        <v>5000000</v>
      </c>
      <c r="AL479" s="3">
        <v>5000000</v>
      </c>
      <c r="AM479" s="3">
        <v>5000000</v>
      </c>
      <c r="AN479" s="3"/>
      <c r="AO479" s="3"/>
      <c r="AP479" s="3"/>
      <c r="AQ479" s="3"/>
      <c r="AR479" s="3"/>
      <c r="AS479" s="3"/>
      <c r="AT479" s="3"/>
      <c r="AU479" s="3"/>
      <c r="AV479" s="3"/>
      <c r="AW479" s="3">
        <f t="shared" si="29"/>
        <v>0</v>
      </c>
      <c r="AX479" s="3">
        <f t="shared" si="30"/>
        <v>15000000</v>
      </c>
      <c r="AY479" s="4">
        <f t="shared" si="31"/>
        <v>3</v>
      </c>
      <c r="AZ479" s="8" t="s">
        <v>5555</v>
      </c>
      <c r="BA479" s="4" t="s">
        <v>5717</v>
      </c>
      <c r="BB479" s="2"/>
      <c r="BC479" s="3"/>
      <c r="BD479" s="3"/>
    </row>
    <row r="480" spans="1:56" ht="16.8" customHeight="1">
      <c r="A480" s="1">
        <v>479</v>
      </c>
      <c r="B480" s="1" t="s">
        <v>42</v>
      </c>
      <c r="C480" s="1" t="s">
        <v>185</v>
      </c>
      <c r="D480" s="1" t="s">
        <v>1807</v>
      </c>
      <c r="E480" s="1" t="s">
        <v>1807</v>
      </c>
      <c r="F480" s="1" t="s">
        <v>1808</v>
      </c>
      <c r="G480" s="1" t="s">
        <v>1809</v>
      </c>
      <c r="H480" s="1" t="s">
        <v>5038</v>
      </c>
      <c r="I480" s="18">
        <v>46006</v>
      </c>
      <c r="J480" s="18">
        <v>46082</v>
      </c>
      <c r="K480" s="18" t="s">
        <v>5039</v>
      </c>
      <c r="L480" s="18" t="s">
        <v>4734</v>
      </c>
      <c r="M480" s="2">
        <v>2000000</v>
      </c>
      <c r="N480" s="2">
        <v>2000000</v>
      </c>
      <c r="O480" s="2"/>
      <c r="P480" s="2" t="str">
        <f t="shared" si="28"/>
        <v/>
      </c>
      <c r="Q480" s="2"/>
      <c r="R480" s="2"/>
      <c r="S480" s="48"/>
      <c r="T480" s="2">
        <v>0</v>
      </c>
      <c r="U480" s="2">
        <v>0</v>
      </c>
      <c r="V480" s="1"/>
      <c r="W480" s="6"/>
      <c r="X480" s="1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>
        <f t="shared" si="29"/>
        <v>0</v>
      </c>
      <c r="AX480" s="3">
        <f t="shared" si="30"/>
        <v>0</v>
      </c>
      <c r="AY480" s="4">
        <f t="shared" si="31"/>
        <v>0</v>
      </c>
      <c r="AZ480" s="8">
        <v>0</v>
      </c>
      <c r="BA480" s="4" t="s">
        <v>5726</v>
      </c>
      <c r="BB480" s="2"/>
      <c r="BC480" s="3"/>
      <c r="BD480" s="4"/>
    </row>
    <row r="481" spans="1:56" ht="16.8" customHeight="1">
      <c r="A481" s="1">
        <v>480</v>
      </c>
      <c r="B481" s="1" t="s">
        <v>42</v>
      </c>
      <c r="C481" s="1" t="s">
        <v>185</v>
      </c>
      <c r="D481" s="1" t="s">
        <v>1810</v>
      </c>
      <c r="E481" s="1" t="s">
        <v>1810</v>
      </c>
      <c r="F481" s="1" t="s">
        <v>1811</v>
      </c>
      <c r="G481" s="1" t="s">
        <v>1812</v>
      </c>
      <c r="H481" s="1" t="s">
        <v>5040</v>
      </c>
      <c r="I481" s="18">
        <v>46006</v>
      </c>
      <c r="J481" s="18">
        <v>46097</v>
      </c>
      <c r="K481" s="18" t="s">
        <v>5039</v>
      </c>
      <c r="L481" s="18" t="s">
        <v>4734</v>
      </c>
      <c r="M481" s="2">
        <v>1000000</v>
      </c>
      <c r="N481" s="2">
        <v>1000000</v>
      </c>
      <c r="O481" s="2"/>
      <c r="P481" s="2" t="str">
        <f t="shared" si="28"/>
        <v/>
      </c>
      <c r="Q481" s="2"/>
      <c r="R481" s="2"/>
      <c r="S481" s="48"/>
      <c r="T481" s="2">
        <v>0</v>
      </c>
      <c r="U481" s="2">
        <v>0</v>
      </c>
      <c r="V481" s="1"/>
      <c r="W481" s="6"/>
      <c r="X481" s="1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>
        <f t="shared" si="29"/>
        <v>0</v>
      </c>
      <c r="AX481" s="3">
        <f t="shared" si="30"/>
        <v>0</v>
      </c>
      <c r="AY481" s="4">
        <f t="shared" si="31"/>
        <v>0</v>
      </c>
      <c r="AZ481" s="8" t="s">
        <v>5532</v>
      </c>
      <c r="BA481" s="4" t="s">
        <v>5726</v>
      </c>
      <c r="BB481" s="2"/>
      <c r="BC481" s="3"/>
      <c r="BD481" s="4"/>
    </row>
    <row r="482" spans="1:56" ht="16.8" customHeight="1">
      <c r="A482" s="1">
        <v>481</v>
      </c>
      <c r="B482" s="1" t="s">
        <v>42</v>
      </c>
      <c r="C482" s="1" t="s">
        <v>185</v>
      </c>
      <c r="D482" s="1" t="s">
        <v>1813</v>
      </c>
      <c r="E482" s="1" t="s">
        <v>1813</v>
      </c>
      <c r="F482" s="1" t="s">
        <v>1814</v>
      </c>
      <c r="G482" s="1" t="s">
        <v>1815</v>
      </c>
      <c r="H482" s="1" t="s">
        <v>5041</v>
      </c>
      <c r="I482" s="18">
        <v>46082</v>
      </c>
      <c r="J482" s="18">
        <v>46082</v>
      </c>
      <c r="K482" s="18" t="s">
        <v>5042</v>
      </c>
      <c r="L482" s="18" t="s">
        <v>4734</v>
      </c>
      <c r="M482" s="2">
        <v>1000000</v>
      </c>
      <c r="N482" s="2">
        <v>1000000</v>
      </c>
      <c r="O482" s="2"/>
      <c r="P482" s="2" t="str">
        <f t="shared" si="28"/>
        <v/>
      </c>
      <c r="Q482" s="2"/>
      <c r="R482" s="2"/>
      <c r="S482" s="48"/>
      <c r="T482" s="2">
        <v>0</v>
      </c>
      <c r="U482" s="2">
        <v>0</v>
      </c>
      <c r="V482" s="1"/>
      <c r="W482" s="6"/>
      <c r="X482" s="1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>
        <f t="shared" si="29"/>
        <v>0</v>
      </c>
      <c r="AX482" s="3">
        <f t="shared" si="30"/>
        <v>0</v>
      </c>
      <c r="AY482" s="4">
        <f t="shared" si="31"/>
        <v>0</v>
      </c>
      <c r="AZ482" s="8">
        <v>0</v>
      </c>
      <c r="BA482" s="4" t="s">
        <v>5726</v>
      </c>
      <c r="BB482" s="2"/>
      <c r="BC482" s="3"/>
      <c r="BD482" s="4"/>
    </row>
    <row r="483" spans="1:56" ht="16.8" customHeight="1">
      <c r="A483" s="1">
        <v>482</v>
      </c>
      <c r="B483" s="1" t="s">
        <v>1816</v>
      </c>
      <c r="C483" s="1" t="s">
        <v>1817</v>
      </c>
      <c r="D483" s="1" t="s">
        <v>1818</v>
      </c>
      <c r="E483" s="1" t="s">
        <v>1818</v>
      </c>
      <c r="F483" s="1" t="s">
        <v>1819</v>
      </c>
      <c r="G483" s="1" t="s">
        <v>1820</v>
      </c>
      <c r="H483" s="1" t="s">
        <v>5043</v>
      </c>
      <c r="I483" s="18"/>
      <c r="J483" s="18"/>
      <c r="K483" s="18"/>
      <c r="L483" s="18"/>
      <c r="M483" s="2">
        <v>1666667</v>
      </c>
      <c r="N483" s="2">
        <v>1666667</v>
      </c>
      <c r="O483" s="2"/>
      <c r="P483" s="2" t="str">
        <f t="shared" si="28"/>
        <v/>
      </c>
      <c r="Q483" s="2"/>
      <c r="R483" s="2"/>
      <c r="S483" s="48"/>
      <c r="T483" s="2">
        <v>0</v>
      </c>
      <c r="U483" s="2">
        <v>0</v>
      </c>
      <c r="V483" s="1"/>
      <c r="W483" s="6"/>
      <c r="X483" s="1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>
        <f t="shared" si="29"/>
        <v>0</v>
      </c>
      <c r="AX483" s="3">
        <f t="shared" si="30"/>
        <v>0</v>
      </c>
      <c r="AY483" s="4">
        <f t="shared" si="31"/>
        <v>0</v>
      </c>
      <c r="BA483" s="4" t="s">
        <v>5726</v>
      </c>
      <c r="BB483" s="2"/>
      <c r="BC483" s="3"/>
      <c r="BD483" s="4"/>
    </row>
    <row r="484" spans="1:56" ht="16.8" customHeight="1">
      <c r="A484" s="1">
        <v>483</v>
      </c>
      <c r="B484" s="1" t="s">
        <v>1816</v>
      </c>
      <c r="C484" s="1" t="s">
        <v>1817</v>
      </c>
      <c r="D484" s="1" t="s">
        <v>1821</v>
      </c>
      <c r="E484" s="1" t="s">
        <v>1821</v>
      </c>
      <c r="F484" s="1" t="s">
        <v>1822</v>
      </c>
      <c r="G484" s="1" t="s">
        <v>1823</v>
      </c>
      <c r="H484" s="1" t="s">
        <v>5044</v>
      </c>
      <c r="I484" s="18" t="s">
        <v>4783</v>
      </c>
      <c r="J484" s="18" t="s">
        <v>5018</v>
      </c>
      <c r="K484" s="18" t="s">
        <v>5045</v>
      </c>
      <c r="L484" s="18" t="s">
        <v>4734</v>
      </c>
      <c r="M484" s="2">
        <v>2400000</v>
      </c>
      <c r="N484" s="2">
        <v>2400000</v>
      </c>
      <c r="O484" s="2"/>
      <c r="P484" s="2" t="str">
        <f t="shared" si="28"/>
        <v/>
      </c>
      <c r="Q484" s="2"/>
      <c r="R484" s="2"/>
      <c r="S484" s="48"/>
      <c r="T484" s="2">
        <v>0</v>
      </c>
      <c r="U484" s="2">
        <v>0</v>
      </c>
      <c r="V484" s="1" t="s">
        <v>1823</v>
      </c>
      <c r="W484" s="6" t="s">
        <v>1824</v>
      </c>
      <c r="X484" s="1" t="s">
        <v>1825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>
        <v>2400000</v>
      </c>
      <c r="AL484" s="3">
        <v>2400000</v>
      </c>
      <c r="AM484" s="3">
        <v>2400000</v>
      </c>
      <c r="AN484" s="3">
        <v>2400000</v>
      </c>
      <c r="AO484" s="3">
        <v>2400000</v>
      </c>
      <c r="AP484" s="3">
        <v>2400000</v>
      </c>
      <c r="AQ484" s="3"/>
      <c r="AR484" s="3"/>
      <c r="AS484" s="3"/>
      <c r="AT484" s="3"/>
      <c r="AU484" s="3"/>
      <c r="AV484" s="3"/>
      <c r="AW484" s="3">
        <f t="shared" si="29"/>
        <v>0</v>
      </c>
      <c r="AX484" s="3">
        <f t="shared" si="30"/>
        <v>14400000</v>
      </c>
      <c r="AY484" s="4">
        <f t="shared" si="31"/>
        <v>6</v>
      </c>
      <c r="AZ484" s="8">
        <v>0</v>
      </c>
      <c r="BA484" s="4" t="s">
        <v>5726</v>
      </c>
      <c r="BB484" s="2"/>
      <c r="BC484" s="3"/>
      <c r="BD484" s="3"/>
    </row>
    <row r="485" spans="1:56" ht="16.8" customHeight="1">
      <c r="A485" s="1">
        <v>484</v>
      </c>
      <c r="B485" s="1" t="s">
        <v>1816</v>
      </c>
      <c r="C485" s="1" t="s">
        <v>1817</v>
      </c>
      <c r="D485" s="1" t="s">
        <v>1826</v>
      </c>
      <c r="E485" s="1" t="s">
        <v>1826</v>
      </c>
      <c r="F485" s="1" t="s">
        <v>1827</v>
      </c>
      <c r="G485" s="1" t="s">
        <v>1828</v>
      </c>
      <c r="H485" s="1" t="s">
        <v>5046</v>
      </c>
      <c r="I485" s="18" t="s">
        <v>4783</v>
      </c>
      <c r="J485" s="18" t="s">
        <v>4783</v>
      </c>
      <c r="K485" s="18" t="s">
        <v>4733</v>
      </c>
      <c r="L485" s="18" t="s">
        <v>4734</v>
      </c>
      <c r="M485" s="2">
        <v>2000000</v>
      </c>
      <c r="N485" s="2">
        <v>2000000</v>
      </c>
      <c r="O485" s="2"/>
      <c r="P485" s="2" t="str">
        <f t="shared" si="28"/>
        <v/>
      </c>
      <c r="Q485" s="2"/>
      <c r="R485" s="2"/>
      <c r="S485" s="48"/>
      <c r="T485" s="2">
        <v>6000000</v>
      </c>
      <c r="U485" s="2">
        <v>0</v>
      </c>
      <c r="V485" s="1" t="s">
        <v>1828</v>
      </c>
      <c r="W485" s="6" t="s">
        <v>1829</v>
      </c>
      <c r="X485" s="1" t="s">
        <v>1830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>
        <v>2000000</v>
      </c>
      <c r="AI485" s="3">
        <v>2000000</v>
      </c>
      <c r="AJ485" s="3">
        <v>2000000</v>
      </c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>
        <f t="shared" si="29"/>
        <v>6000000</v>
      </c>
      <c r="AX485" s="3">
        <f t="shared" si="30"/>
        <v>0</v>
      </c>
      <c r="AY485" s="4">
        <f t="shared" si="31"/>
        <v>3</v>
      </c>
      <c r="AZ485" s="8">
        <v>0</v>
      </c>
      <c r="BA485" s="4" t="s">
        <v>5726</v>
      </c>
      <c r="BB485" s="2"/>
      <c r="BC485" s="3"/>
      <c r="BD485" s="4"/>
    </row>
    <row r="486" spans="1:56" ht="16.8" customHeight="1">
      <c r="A486" s="1">
        <v>485</v>
      </c>
      <c r="B486" s="1" t="s">
        <v>1816</v>
      </c>
      <c r="C486" s="1" t="s">
        <v>1817</v>
      </c>
      <c r="D486" s="1" t="s">
        <v>1831</v>
      </c>
      <c r="E486" s="1" t="s">
        <v>1831</v>
      </c>
      <c r="F486" s="1" t="s">
        <v>1832</v>
      </c>
      <c r="G486" s="1" t="s">
        <v>1833</v>
      </c>
      <c r="H486" s="1" t="s">
        <v>5047</v>
      </c>
      <c r="I486" s="18" t="s">
        <v>4783</v>
      </c>
      <c r="J486" s="18" t="s">
        <v>5018</v>
      </c>
      <c r="K486" s="18" t="s">
        <v>4777</v>
      </c>
      <c r="L486" s="18" t="s">
        <v>4734</v>
      </c>
      <c r="M486" s="2">
        <v>2400000</v>
      </c>
      <c r="N486" s="2">
        <v>2400000</v>
      </c>
      <c r="O486" s="2"/>
      <c r="P486" s="2" t="str">
        <f t="shared" si="28"/>
        <v/>
      </c>
      <c r="Q486" s="2"/>
      <c r="R486" s="2"/>
      <c r="S486" s="48"/>
      <c r="T486" s="2">
        <v>0</v>
      </c>
      <c r="U486" s="2">
        <v>0</v>
      </c>
      <c r="V486" s="1" t="s">
        <v>1833</v>
      </c>
      <c r="W486" s="6" t="s">
        <v>1834</v>
      </c>
      <c r="X486" s="1" t="s">
        <v>1835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>
        <v>2400000</v>
      </c>
      <c r="AL486" s="3">
        <v>2400000</v>
      </c>
      <c r="AM486" s="3">
        <v>2400000</v>
      </c>
      <c r="AN486" s="3">
        <v>2400000</v>
      </c>
      <c r="AO486" s="3">
        <v>2400000</v>
      </c>
      <c r="AP486" s="3">
        <v>2400000</v>
      </c>
      <c r="AQ486" s="3"/>
      <c r="AR486" s="3"/>
      <c r="AS486" s="3"/>
      <c r="AT486" s="3"/>
      <c r="AU486" s="3"/>
      <c r="AV486" s="3"/>
      <c r="AW486" s="3">
        <f t="shared" si="29"/>
        <v>0</v>
      </c>
      <c r="AX486" s="3">
        <f t="shared" si="30"/>
        <v>14400000</v>
      </c>
      <c r="AY486" s="4">
        <f t="shared" si="31"/>
        <v>6</v>
      </c>
      <c r="AZ486" s="8">
        <v>0</v>
      </c>
      <c r="BA486" s="4" t="s">
        <v>5726</v>
      </c>
      <c r="BB486" s="2"/>
      <c r="BC486" s="3"/>
      <c r="BD486" s="3"/>
    </row>
    <row r="487" spans="1:56" ht="16.8" customHeight="1">
      <c r="A487" s="1">
        <v>486</v>
      </c>
      <c r="B487" s="1" t="s">
        <v>1816</v>
      </c>
      <c r="C487" s="1" t="s">
        <v>1817</v>
      </c>
      <c r="D487" s="1" t="s">
        <v>1836</v>
      </c>
      <c r="E487" s="1" t="s">
        <v>1836</v>
      </c>
      <c r="F487" s="1" t="s">
        <v>1837</v>
      </c>
      <c r="G487" s="1" t="s">
        <v>1838</v>
      </c>
      <c r="H487" s="1" t="s">
        <v>5048</v>
      </c>
      <c r="I487" s="18" t="s">
        <v>4783</v>
      </c>
      <c r="J487" s="18" t="s">
        <v>4783</v>
      </c>
      <c r="K487" s="18" t="s">
        <v>4733</v>
      </c>
      <c r="L487" s="18" t="s">
        <v>4734</v>
      </c>
      <c r="M487" s="2">
        <v>2500000</v>
      </c>
      <c r="N487" s="2">
        <v>2500000</v>
      </c>
      <c r="O487" s="2"/>
      <c r="P487" s="2" t="str">
        <f t="shared" si="28"/>
        <v/>
      </c>
      <c r="Q487" s="2"/>
      <c r="R487" s="2"/>
      <c r="S487" s="48"/>
      <c r="T487" s="2">
        <v>6000000</v>
      </c>
      <c r="U487" s="2">
        <v>0</v>
      </c>
      <c r="V487" s="1" t="s">
        <v>1839</v>
      </c>
      <c r="W487" s="6" t="s">
        <v>1840</v>
      </c>
      <c r="X487" s="1" t="s">
        <v>1830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>
        <f t="shared" si="29"/>
        <v>0</v>
      </c>
      <c r="AX487" s="3">
        <f t="shared" si="30"/>
        <v>0</v>
      </c>
      <c r="AY487" s="4">
        <f t="shared" si="31"/>
        <v>0</v>
      </c>
      <c r="AZ487" s="8">
        <v>0</v>
      </c>
      <c r="BA487" s="4" t="s">
        <v>5726</v>
      </c>
      <c r="BB487" s="2"/>
      <c r="BC487" s="3"/>
      <c r="BD487" s="4"/>
    </row>
    <row r="488" spans="1:56" ht="16.8" customHeight="1">
      <c r="A488" s="1">
        <v>487</v>
      </c>
      <c r="B488" s="1" t="s">
        <v>1816</v>
      </c>
      <c r="C488" s="1" t="s">
        <v>1817</v>
      </c>
      <c r="D488" s="1" t="s">
        <v>1841</v>
      </c>
      <c r="E488" s="1" t="s">
        <v>1841</v>
      </c>
      <c r="F488" s="1" t="s">
        <v>1842</v>
      </c>
      <c r="G488" s="1" t="s">
        <v>1843</v>
      </c>
      <c r="H488" s="1" t="s">
        <v>5049</v>
      </c>
      <c r="I488" s="18" t="s">
        <v>4783</v>
      </c>
      <c r="J488" s="18" t="s">
        <v>4783</v>
      </c>
      <c r="K488" s="18" t="s">
        <v>5050</v>
      </c>
      <c r="L488" s="18" t="s">
        <v>4734</v>
      </c>
      <c r="M488" s="2">
        <v>3000000</v>
      </c>
      <c r="N488" s="2">
        <v>3000000</v>
      </c>
      <c r="O488" s="2"/>
      <c r="P488" s="2" t="str">
        <f t="shared" si="28"/>
        <v/>
      </c>
      <c r="Q488" s="2"/>
      <c r="R488" s="2"/>
      <c r="S488" s="48"/>
      <c r="T488" s="2">
        <v>7500000</v>
      </c>
      <c r="U488" s="2">
        <v>0</v>
      </c>
      <c r="V488" s="1" t="s">
        <v>1843</v>
      </c>
      <c r="W488" s="6" t="s">
        <v>1844</v>
      </c>
      <c r="X488" s="1" t="s">
        <v>1845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>
        <f t="shared" si="29"/>
        <v>0</v>
      </c>
      <c r="AX488" s="3">
        <f t="shared" si="30"/>
        <v>0</v>
      </c>
      <c r="AY488" s="4">
        <f t="shared" si="31"/>
        <v>0</v>
      </c>
      <c r="AZ488" s="8">
        <v>0</v>
      </c>
      <c r="BA488" s="4" t="s">
        <v>5726</v>
      </c>
      <c r="BB488" s="2"/>
      <c r="BC488" s="3"/>
      <c r="BD488" s="4"/>
    </row>
    <row r="489" spans="1:56" ht="16.8" customHeight="1">
      <c r="A489" s="1">
        <v>488</v>
      </c>
      <c r="B489" s="1" t="s">
        <v>1816</v>
      </c>
      <c r="C489" s="1" t="s">
        <v>1817</v>
      </c>
      <c r="D489" s="1" t="s">
        <v>1846</v>
      </c>
      <c r="E489" s="1" t="s">
        <v>1846</v>
      </c>
      <c r="F489" s="1" t="s">
        <v>1847</v>
      </c>
      <c r="G489" s="1" t="s">
        <v>1848</v>
      </c>
      <c r="H489" s="1" t="s">
        <v>5051</v>
      </c>
      <c r="I489" s="18" t="s">
        <v>4783</v>
      </c>
      <c r="J489" s="18" t="s">
        <v>4783</v>
      </c>
      <c r="K489" s="18" t="s">
        <v>4733</v>
      </c>
      <c r="L489" s="18" t="s">
        <v>4734</v>
      </c>
      <c r="M489" s="2">
        <v>2000000</v>
      </c>
      <c r="N489" s="2">
        <v>2000000</v>
      </c>
      <c r="O489" s="2"/>
      <c r="P489" s="2" t="str">
        <f t="shared" si="28"/>
        <v/>
      </c>
      <c r="Q489" s="2"/>
      <c r="R489" s="2"/>
      <c r="S489" s="48"/>
      <c r="T489" s="2">
        <v>6000000</v>
      </c>
      <c r="U489" s="2">
        <v>0</v>
      </c>
      <c r="V489" s="1" t="s">
        <v>1849</v>
      </c>
      <c r="W489" s="6" t="s">
        <v>1850</v>
      </c>
      <c r="X489" s="1" t="s">
        <v>1851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>
        <v>2000000</v>
      </c>
      <c r="AI489" s="3">
        <v>2000000</v>
      </c>
      <c r="AJ489" s="3">
        <v>2000000</v>
      </c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>
        <f t="shared" si="29"/>
        <v>6000000</v>
      </c>
      <c r="AX489" s="3">
        <f t="shared" si="30"/>
        <v>0</v>
      </c>
      <c r="AY489" s="4">
        <f t="shared" si="31"/>
        <v>3</v>
      </c>
      <c r="AZ489" s="8" t="s">
        <v>5556</v>
      </c>
      <c r="BA489" s="4" t="s">
        <v>5726</v>
      </c>
      <c r="BB489" s="2"/>
      <c r="BC489" s="3"/>
      <c r="BD489" s="4"/>
    </row>
    <row r="490" spans="1:56" ht="16.8" customHeight="1">
      <c r="A490" s="1">
        <v>489</v>
      </c>
      <c r="B490" s="1" t="s">
        <v>1816</v>
      </c>
      <c r="C490" s="1" t="s">
        <v>1817</v>
      </c>
      <c r="D490" s="1" t="s">
        <v>1852</v>
      </c>
      <c r="E490" s="1" t="s">
        <v>1852</v>
      </c>
      <c r="F490" s="1" t="s">
        <v>1853</v>
      </c>
      <c r="G490" s="1" t="s">
        <v>1854</v>
      </c>
      <c r="H490" s="1" t="s">
        <v>5052</v>
      </c>
      <c r="I490" s="18" t="s">
        <v>4783</v>
      </c>
      <c r="J490" s="18" t="s">
        <v>5018</v>
      </c>
      <c r="K490" s="18" t="s">
        <v>4777</v>
      </c>
      <c r="L490" s="18" t="s">
        <v>4734</v>
      </c>
      <c r="M490" s="2">
        <v>2500000</v>
      </c>
      <c r="N490" s="2">
        <v>2500000</v>
      </c>
      <c r="O490" s="2"/>
      <c r="P490" s="2" t="str">
        <f t="shared" si="28"/>
        <v/>
      </c>
      <c r="Q490" s="2"/>
      <c r="R490" s="2"/>
      <c r="S490" s="48"/>
      <c r="T490" s="2">
        <v>0</v>
      </c>
      <c r="U490" s="2">
        <v>0</v>
      </c>
      <c r="V490" s="1" t="s">
        <v>1854</v>
      </c>
      <c r="W490" s="6" t="s">
        <v>1855</v>
      </c>
      <c r="X490" s="1" t="s">
        <v>154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>
        <v>2500000</v>
      </c>
      <c r="AL490" s="3">
        <v>2500000</v>
      </c>
      <c r="AM490" s="3">
        <v>2500000</v>
      </c>
      <c r="AN490" s="3">
        <v>2500000</v>
      </c>
      <c r="AO490" s="3">
        <v>2500000</v>
      </c>
      <c r="AP490" s="3">
        <v>2500000</v>
      </c>
      <c r="AQ490" s="3"/>
      <c r="AR490" s="3"/>
      <c r="AS490" s="3"/>
      <c r="AT490" s="3"/>
      <c r="AU490" s="3"/>
      <c r="AV490" s="3"/>
      <c r="AW490" s="3">
        <f t="shared" si="29"/>
        <v>0</v>
      </c>
      <c r="AX490" s="3">
        <f t="shared" si="30"/>
        <v>15000000</v>
      </c>
      <c r="AY490" s="4">
        <f t="shared" si="31"/>
        <v>6</v>
      </c>
      <c r="AZ490" s="8" t="s">
        <v>5557</v>
      </c>
      <c r="BA490" s="4" t="s">
        <v>5726</v>
      </c>
      <c r="BB490" s="2"/>
      <c r="BC490" s="3"/>
      <c r="BD490" s="3"/>
    </row>
    <row r="491" spans="1:56" ht="16.8" customHeight="1">
      <c r="A491" s="1">
        <v>490</v>
      </c>
      <c r="B491" s="1" t="s">
        <v>1816</v>
      </c>
      <c r="C491" s="1" t="s">
        <v>1817</v>
      </c>
      <c r="D491" s="1" t="s">
        <v>1856</v>
      </c>
      <c r="E491" s="1" t="s">
        <v>1856</v>
      </c>
      <c r="F491" s="1" t="s">
        <v>1857</v>
      </c>
      <c r="G491" s="1" t="s">
        <v>1858</v>
      </c>
      <c r="H491" s="1" t="s">
        <v>5053</v>
      </c>
      <c r="I491" s="18" t="s">
        <v>4783</v>
      </c>
      <c r="J491" s="18" t="s">
        <v>4783</v>
      </c>
      <c r="K491" s="18" t="s">
        <v>4733</v>
      </c>
      <c r="L491" s="18" t="s">
        <v>4734</v>
      </c>
      <c r="M491" s="2">
        <v>2000000</v>
      </c>
      <c r="N491" s="2">
        <v>2000000</v>
      </c>
      <c r="O491" s="2"/>
      <c r="P491" s="2" t="str">
        <f t="shared" si="28"/>
        <v/>
      </c>
      <c r="Q491" s="2"/>
      <c r="R491" s="2"/>
      <c r="S491" s="48"/>
      <c r="T491" s="2">
        <v>6000000</v>
      </c>
      <c r="U491" s="2">
        <v>0</v>
      </c>
      <c r="V491" s="1" t="s">
        <v>1858</v>
      </c>
      <c r="W491" s="6" t="s">
        <v>1859</v>
      </c>
      <c r="X491" s="1" t="s">
        <v>1860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>
        <v>2000000</v>
      </c>
      <c r="AI491" s="3">
        <v>2000000</v>
      </c>
      <c r="AJ491" s="3">
        <v>2000000</v>
      </c>
      <c r="AK491" s="3">
        <v>2000000</v>
      </c>
      <c r="AL491" s="3">
        <v>2000000</v>
      </c>
      <c r="AM491" s="3">
        <v>2000000</v>
      </c>
      <c r="AN491" s="3">
        <v>2000000</v>
      </c>
      <c r="AO491" s="3">
        <v>2000000</v>
      </c>
      <c r="AP491" s="3">
        <v>2000000</v>
      </c>
      <c r="AQ491" s="3"/>
      <c r="AR491" s="3"/>
      <c r="AS491" s="3"/>
      <c r="AT491" s="3"/>
      <c r="AU491" s="3"/>
      <c r="AV491" s="3"/>
      <c r="AW491" s="3">
        <f t="shared" si="29"/>
        <v>6000000</v>
      </c>
      <c r="AX491" s="3">
        <f t="shared" si="30"/>
        <v>12000000</v>
      </c>
      <c r="AY491" s="4">
        <f t="shared" si="31"/>
        <v>9</v>
      </c>
      <c r="AZ491" s="8">
        <v>0</v>
      </c>
      <c r="BA491" s="4" t="s">
        <v>5715</v>
      </c>
      <c r="BB491" s="2"/>
      <c r="BC491" s="3"/>
      <c r="BD491" s="3"/>
    </row>
    <row r="492" spans="1:56" ht="16.8" customHeight="1">
      <c r="A492" s="1">
        <v>491</v>
      </c>
      <c r="B492" s="1" t="s">
        <v>1816</v>
      </c>
      <c r="C492" s="1" t="s">
        <v>1817</v>
      </c>
      <c r="D492" s="1" t="s">
        <v>1861</v>
      </c>
      <c r="E492" s="1" t="s">
        <v>1861</v>
      </c>
      <c r="F492" s="1" t="s">
        <v>1862</v>
      </c>
      <c r="G492" s="1" t="s">
        <v>1863</v>
      </c>
      <c r="H492" s="1" t="s">
        <v>5054</v>
      </c>
      <c r="I492" s="18" t="s">
        <v>4783</v>
      </c>
      <c r="J492" s="18" t="s">
        <v>5018</v>
      </c>
      <c r="K492" s="18" t="s">
        <v>5045</v>
      </c>
      <c r="L492" s="18" t="s">
        <v>4734</v>
      </c>
      <c r="M492" s="2">
        <v>2500000</v>
      </c>
      <c r="N492" s="2">
        <v>2500000</v>
      </c>
      <c r="O492" s="2"/>
      <c r="P492" s="2" t="str">
        <f t="shared" si="28"/>
        <v/>
      </c>
      <c r="Q492" s="2"/>
      <c r="R492" s="2"/>
      <c r="S492" s="48"/>
      <c r="T492" s="2">
        <v>0</v>
      </c>
      <c r="U492" s="2">
        <v>0</v>
      </c>
      <c r="V492" s="1" t="s">
        <v>1863</v>
      </c>
      <c r="W492" s="6" t="s">
        <v>1864</v>
      </c>
      <c r="X492" s="1" t="s">
        <v>154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>
        <v>2500000</v>
      </c>
      <c r="AL492" s="3">
        <v>2500000</v>
      </c>
      <c r="AM492" s="3">
        <v>2500000</v>
      </c>
      <c r="AN492" s="3">
        <v>2500000</v>
      </c>
      <c r="AO492" s="3">
        <v>2500000</v>
      </c>
      <c r="AP492" s="3">
        <v>2500000</v>
      </c>
      <c r="AQ492" s="3"/>
      <c r="AR492" s="3"/>
      <c r="AS492" s="3"/>
      <c r="AT492" s="3"/>
      <c r="AU492" s="3"/>
      <c r="AV492" s="3"/>
      <c r="AW492" s="3">
        <f t="shared" si="29"/>
        <v>0</v>
      </c>
      <c r="AX492" s="3">
        <f t="shared" si="30"/>
        <v>15000000</v>
      </c>
      <c r="AY492" s="4">
        <f t="shared" si="31"/>
        <v>6</v>
      </c>
      <c r="AZ492" s="8">
        <v>0</v>
      </c>
      <c r="BA492" s="4" t="s">
        <v>5726</v>
      </c>
      <c r="BB492" s="2"/>
      <c r="BC492" s="3"/>
      <c r="BD492" s="3"/>
    </row>
    <row r="493" spans="1:56" ht="16.8" customHeight="1">
      <c r="A493" s="1">
        <v>492</v>
      </c>
      <c r="B493" s="1" t="s">
        <v>1816</v>
      </c>
      <c r="C493" s="1" t="s">
        <v>1817</v>
      </c>
      <c r="D493" s="1" t="s">
        <v>1865</v>
      </c>
      <c r="E493" s="1" t="s">
        <v>1865</v>
      </c>
      <c r="F493" s="1" t="s">
        <v>1866</v>
      </c>
      <c r="G493" s="1" t="s">
        <v>1867</v>
      </c>
      <c r="H493" s="1" t="s">
        <v>5055</v>
      </c>
      <c r="I493" s="18" t="s">
        <v>4783</v>
      </c>
      <c r="J493" s="18" t="s">
        <v>4783</v>
      </c>
      <c r="K493" s="18" t="s">
        <v>4733</v>
      </c>
      <c r="L493" s="18" t="s">
        <v>4734</v>
      </c>
      <c r="M493" s="2">
        <v>2000000</v>
      </c>
      <c r="N493" s="2">
        <v>2000000</v>
      </c>
      <c r="O493" s="2"/>
      <c r="P493" s="2" t="str">
        <f t="shared" si="28"/>
        <v/>
      </c>
      <c r="Q493" s="2"/>
      <c r="R493" s="2"/>
      <c r="S493" s="48"/>
      <c r="T493" s="2">
        <v>6000000</v>
      </c>
      <c r="U493" s="2">
        <v>0</v>
      </c>
      <c r="V493" s="1" t="s">
        <v>1867</v>
      </c>
      <c r="W493" s="6" t="s">
        <v>1868</v>
      </c>
      <c r="X493" s="1" t="s">
        <v>1830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>
        <v>2000000</v>
      </c>
      <c r="AI493" s="3">
        <v>2000000</v>
      </c>
      <c r="AJ493" s="3">
        <v>2000000</v>
      </c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>
        <f t="shared" si="29"/>
        <v>6000000</v>
      </c>
      <c r="AX493" s="3">
        <f t="shared" si="30"/>
        <v>0</v>
      </c>
      <c r="AY493" s="4">
        <f t="shared" si="31"/>
        <v>3</v>
      </c>
      <c r="AZ493" s="8">
        <v>0</v>
      </c>
      <c r="BA493" s="4" t="s">
        <v>5726</v>
      </c>
      <c r="BB493" s="2"/>
      <c r="BC493" s="3"/>
      <c r="BD493" s="4"/>
    </row>
    <row r="494" spans="1:56" ht="16.8" customHeight="1">
      <c r="A494" s="1">
        <v>493</v>
      </c>
      <c r="B494" s="1" t="s">
        <v>1816</v>
      </c>
      <c r="C494" s="1" t="s">
        <v>1817</v>
      </c>
      <c r="D494" s="1" t="s">
        <v>1869</v>
      </c>
      <c r="E494" s="1" t="s">
        <v>1869</v>
      </c>
      <c r="F494" s="1" t="s">
        <v>1870</v>
      </c>
      <c r="G494" s="1" t="s">
        <v>1871</v>
      </c>
      <c r="H494" s="1" t="s">
        <v>5056</v>
      </c>
      <c r="I494" s="18" t="s">
        <v>4783</v>
      </c>
      <c r="J494" s="18" t="s">
        <v>5018</v>
      </c>
      <c r="K494" s="18" t="s">
        <v>4742</v>
      </c>
      <c r="L494" s="18" t="s">
        <v>4734</v>
      </c>
      <c r="M494" s="2">
        <v>2000000</v>
      </c>
      <c r="N494" s="2">
        <v>2000000</v>
      </c>
      <c r="O494" s="2"/>
      <c r="P494" s="2" t="str">
        <f t="shared" si="28"/>
        <v/>
      </c>
      <c r="Q494" s="2"/>
      <c r="R494" s="2"/>
      <c r="S494" s="48"/>
      <c r="T494" s="2">
        <v>0</v>
      </c>
      <c r="U494" s="2">
        <v>0</v>
      </c>
      <c r="V494" s="1" t="s">
        <v>1871</v>
      </c>
      <c r="W494" s="6" t="s">
        <v>1872</v>
      </c>
      <c r="X494" s="1" t="s">
        <v>1873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>
        <v>2000000</v>
      </c>
      <c r="AL494" s="3">
        <v>2000000</v>
      </c>
      <c r="AM494" s="3">
        <v>2000000</v>
      </c>
      <c r="AN494" s="3">
        <v>2000000</v>
      </c>
      <c r="AO494" s="3">
        <v>2000000</v>
      </c>
      <c r="AP494" s="3">
        <v>2000000</v>
      </c>
      <c r="AQ494" s="3"/>
      <c r="AR494" s="3"/>
      <c r="AS494" s="3"/>
      <c r="AT494" s="3"/>
      <c r="AU494" s="3"/>
      <c r="AV494" s="3"/>
      <c r="AW494" s="3">
        <f t="shared" si="29"/>
        <v>0</v>
      </c>
      <c r="AX494" s="3">
        <f t="shared" si="30"/>
        <v>12000000</v>
      </c>
      <c r="AY494" s="4">
        <f t="shared" si="31"/>
        <v>6</v>
      </c>
      <c r="AZ494" s="8" t="s">
        <v>5557</v>
      </c>
      <c r="BA494" s="4" t="s">
        <v>5726</v>
      </c>
      <c r="BB494" s="2"/>
      <c r="BC494" s="3"/>
      <c r="BD494" s="3"/>
    </row>
    <row r="495" spans="1:56" ht="16.8" customHeight="1">
      <c r="A495" s="1">
        <v>494</v>
      </c>
      <c r="B495" s="1" t="s">
        <v>1816</v>
      </c>
      <c r="C495" s="1" t="s">
        <v>1817</v>
      </c>
      <c r="D495" s="1" t="s">
        <v>1874</v>
      </c>
      <c r="E495" s="1" t="s">
        <v>1874</v>
      </c>
      <c r="F495" s="1" t="s">
        <v>1875</v>
      </c>
      <c r="G495" s="1" t="s">
        <v>1876</v>
      </c>
      <c r="H495" s="1" t="s">
        <v>5057</v>
      </c>
      <c r="I495" s="18" t="s">
        <v>4783</v>
      </c>
      <c r="J495" s="18" t="s">
        <v>5018</v>
      </c>
      <c r="K495" s="18" t="s">
        <v>5045</v>
      </c>
      <c r="L495" s="18" t="s">
        <v>4734</v>
      </c>
      <c r="M495" s="2">
        <v>2000000</v>
      </c>
      <c r="N495" s="2">
        <v>2000000</v>
      </c>
      <c r="O495" s="2"/>
      <c r="P495" s="2" t="str">
        <f t="shared" si="28"/>
        <v/>
      </c>
      <c r="Q495" s="2"/>
      <c r="R495" s="2"/>
      <c r="S495" s="48"/>
      <c r="T495" s="2">
        <v>0</v>
      </c>
      <c r="U495" s="2">
        <v>0</v>
      </c>
      <c r="V495" s="1" t="s">
        <v>1877</v>
      </c>
      <c r="W495" s="6" t="s">
        <v>1878</v>
      </c>
      <c r="X495" s="1" t="s">
        <v>1879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>
        <v>2000000</v>
      </c>
      <c r="AL495" s="3">
        <v>2000000</v>
      </c>
      <c r="AM495" s="3">
        <v>2000000</v>
      </c>
      <c r="AN495" s="3">
        <v>2000000</v>
      </c>
      <c r="AO495" s="3">
        <v>2000000</v>
      </c>
      <c r="AP495" s="3">
        <v>2000000</v>
      </c>
      <c r="AQ495" s="3"/>
      <c r="AR495" s="3"/>
      <c r="AS495" s="3"/>
      <c r="AT495" s="3"/>
      <c r="AU495" s="3"/>
      <c r="AV495" s="3"/>
      <c r="AW495" s="3">
        <f t="shared" si="29"/>
        <v>0</v>
      </c>
      <c r="AX495" s="3">
        <f t="shared" si="30"/>
        <v>12000000</v>
      </c>
      <c r="AY495" s="4">
        <f t="shared" si="31"/>
        <v>6</v>
      </c>
      <c r="AZ495" s="8">
        <v>0</v>
      </c>
      <c r="BA495" s="4" t="s">
        <v>5726</v>
      </c>
      <c r="BB495" s="2"/>
      <c r="BC495" s="3"/>
      <c r="BD495" s="3"/>
    </row>
    <row r="496" spans="1:56" ht="16.8" customHeight="1">
      <c r="A496" s="1">
        <v>495</v>
      </c>
      <c r="B496" s="1" t="s">
        <v>1816</v>
      </c>
      <c r="C496" s="1" t="s">
        <v>1817</v>
      </c>
      <c r="D496" s="1" t="s">
        <v>1880</v>
      </c>
      <c r="E496" s="1" t="s">
        <v>1880</v>
      </c>
      <c r="F496" s="1" t="s">
        <v>1881</v>
      </c>
      <c r="G496" s="1" t="s">
        <v>1882</v>
      </c>
      <c r="H496" s="1" t="s">
        <v>5058</v>
      </c>
      <c r="I496" s="18" t="s">
        <v>4783</v>
      </c>
      <c r="J496" s="18" t="s">
        <v>5018</v>
      </c>
      <c r="K496" s="18" t="s">
        <v>5045</v>
      </c>
      <c r="L496" s="18" t="s">
        <v>4734</v>
      </c>
      <c r="M496" s="2">
        <v>2000000</v>
      </c>
      <c r="N496" s="2">
        <v>2000000</v>
      </c>
      <c r="O496" s="2"/>
      <c r="P496" s="2" t="str">
        <f t="shared" si="28"/>
        <v/>
      </c>
      <c r="Q496" s="2"/>
      <c r="R496" s="2"/>
      <c r="S496" s="48"/>
      <c r="T496" s="2">
        <v>0</v>
      </c>
      <c r="U496" s="2">
        <v>0</v>
      </c>
      <c r="V496" s="1" t="s">
        <v>1882</v>
      </c>
      <c r="W496" s="6" t="s">
        <v>1883</v>
      </c>
      <c r="X496" s="1" t="s">
        <v>154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>
        <v>2000000</v>
      </c>
      <c r="AL496" s="3">
        <v>2000000</v>
      </c>
      <c r="AM496" s="3">
        <v>2000000</v>
      </c>
      <c r="AN496" s="3">
        <v>2000000</v>
      </c>
      <c r="AO496" s="3">
        <v>2000000</v>
      </c>
      <c r="AP496" s="3">
        <v>2000000</v>
      </c>
      <c r="AQ496" s="3"/>
      <c r="AR496" s="3"/>
      <c r="AS496" s="3"/>
      <c r="AT496" s="3"/>
      <c r="AU496" s="3"/>
      <c r="AV496" s="3"/>
      <c r="AW496" s="3">
        <f t="shared" si="29"/>
        <v>0</v>
      </c>
      <c r="AX496" s="3">
        <f t="shared" si="30"/>
        <v>12000000</v>
      </c>
      <c r="AY496" s="4">
        <f t="shared" si="31"/>
        <v>6</v>
      </c>
      <c r="AZ496" s="8">
        <v>0</v>
      </c>
      <c r="BA496" s="4" t="s">
        <v>5726</v>
      </c>
      <c r="BB496" s="2"/>
      <c r="BC496" s="3"/>
      <c r="BD496" s="3"/>
    </row>
    <row r="497" spans="1:56" ht="16.8" customHeight="1">
      <c r="A497" s="1">
        <v>496</v>
      </c>
      <c r="B497" s="1" t="s">
        <v>1816</v>
      </c>
      <c r="C497" s="1" t="s">
        <v>1817</v>
      </c>
      <c r="D497" s="1" t="s">
        <v>1884</v>
      </c>
      <c r="E497" s="1" t="s">
        <v>1884</v>
      </c>
      <c r="F497" s="1" t="s">
        <v>1885</v>
      </c>
      <c r="G497" s="1" t="s">
        <v>1886</v>
      </c>
      <c r="H497" s="1" t="s">
        <v>5059</v>
      </c>
      <c r="I497" s="18" t="s">
        <v>4783</v>
      </c>
      <c r="J497" s="18" t="s">
        <v>5018</v>
      </c>
      <c r="K497" s="18" t="s">
        <v>5045</v>
      </c>
      <c r="L497" s="18" t="s">
        <v>4734</v>
      </c>
      <c r="M497" s="2">
        <v>2200000</v>
      </c>
      <c r="N497" s="2">
        <v>2200000</v>
      </c>
      <c r="O497" s="2"/>
      <c r="P497" s="2" t="str">
        <f t="shared" si="28"/>
        <v/>
      </c>
      <c r="Q497" s="2"/>
      <c r="R497" s="2"/>
      <c r="S497" s="48"/>
      <c r="T497" s="2">
        <v>0</v>
      </c>
      <c r="U497" s="2">
        <v>0</v>
      </c>
      <c r="V497" s="1" t="s">
        <v>1886</v>
      </c>
      <c r="W497" s="6" t="s">
        <v>1887</v>
      </c>
      <c r="X497" s="1" t="s">
        <v>1873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>
        <v>2200000</v>
      </c>
      <c r="AL497" s="3">
        <v>2200000</v>
      </c>
      <c r="AM497" s="3">
        <v>2200000</v>
      </c>
      <c r="AN497" s="3">
        <v>2200000</v>
      </c>
      <c r="AO497" s="3">
        <v>2200000</v>
      </c>
      <c r="AP497" s="3">
        <v>2200000</v>
      </c>
      <c r="AQ497" s="3"/>
      <c r="AR497" s="3"/>
      <c r="AS497" s="3"/>
      <c r="AT497" s="3"/>
      <c r="AU497" s="3"/>
      <c r="AV497" s="3"/>
      <c r="AW497" s="3">
        <f t="shared" si="29"/>
        <v>0</v>
      </c>
      <c r="AX497" s="3">
        <f t="shared" si="30"/>
        <v>13200000</v>
      </c>
      <c r="AY497" s="4">
        <f t="shared" si="31"/>
        <v>6</v>
      </c>
      <c r="AZ497" s="8" t="s">
        <v>5557</v>
      </c>
      <c r="BA497" s="4" t="s">
        <v>5726</v>
      </c>
      <c r="BB497" s="2"/>
      <c r="BC497" s="3"/>
      <c r="BD497" s="3"/>
    </row>
    <row r="498" spans="1:56" ht="16.8" customHeight="1">
      <c r="A498" s="1">
        <v>497</v>
      </c>
      <c r="B498" s="1" t="s">
        <v>1816</v>
      </c>
      <c r="C498" s="1" t="s">
        <v>1817</v>
      </c>
      <c r="D498" s="1" t="s">
        <v>1888</v>
      </c>
      <c r="E498" s="1" t="s">
        <v>1888</v>
      </c>
      <c r="F498" s="1" t="s">
        <v>1889</v>
      </c>
      <c r="G498" s="1" t="s">
        <v>1890</v>
      </c>
      <c r="H498" s="1" t="s">
        <v>5060</v>
      </c>
      <c r="I498" s="18" t="s">
        <v>4783</v>
      </c>
      <c r="J498" s="18" t="s">
        <v>5018</v>
      </c>
      <c r="K498" s="18" t="s">
        <v>5045</v>
      </c>
      <c r="L498" s="18" t="s">
        <v>4734</v>
      </c>
      <c r="M498" s="2">
        <v>2000000</v>
      </c>
      <c r="N498" s="2">
        <v>2000000</v>
      </c>
      <c r="O498" s="2"/>
      <c r="P498" s="2" t="str">
        <f t="shared" si="28"/>
        <v/>
      </c>
      <c r="Q498" s="2"/>
      <c r="R498" s="2"/>
      <c r="S498" s="48"/>
      <c r="T498" s="2">
        <v>0</v>
      </c>
      <c r="U498" s="2">
        <v>0</v>
      </c>
      <c r="V498" s="1" t="s">
        <v>1890</v>
      </c>
      <c r="W498" s="6" t="s">
        <v>1891</v>
      </c>
      <c r="X498" s="1" t="s">
        <v>324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>
        <v>2000000</v>
      </c>
      <c r="AL498" s="3">
        <v>2000000</v>
      </c>
      <c r="AM498" s="3">
        <v>2000000</v>
      </c>
      <c r="AN498" s="3">
        <v>2000000</v>
      </c>
      <c r="AO498" s="3">
        <v>2000000</v>
      </c>
      <c r="AP498" s="3">
        <v>2000000</v>
      </c>
      <c r="AQ498" s="3"/>
      <c r="AR498" s="3"/>
      <c r="AS498" s="3"/>
      <c r="AT498" s="3"/>
      <c r="AU498" s="3"/>
      <c r="AV498" s="3"/>
      <c r="AW498" s="3">
        <f t="shared" si="29"/>
        <v>0</v>
      </c>
      <c r="AX498" s="3">
        <f t="shared" si="30"/>
        <v>12000000</v>
      </c>
      <c r="AY498" s="4">
        <f t="shared" si="31"/>
        <v>6</v>
      </c>
      <c r="AZ498" s="8" t="s">
        <v>5532</v>
      </c>
      <c r="BA498" s="4" t="s">
        <v>5726</v>
      </c>
      <c r="BB498" s="2"/>
      <c r="BC498" s="3"/>
      <c r="BD498" s="3"/>
    </row>
    <row r="499" spans="1:56" ht="16.8" customHeight="1">
      <c r="A499" s="1">
        <v>498</v>
      </c>
      <c r="B499" s="1" t="s">
        <v>1816</v>
      </c>
      <c r="C499" s="1" t="s">
        <v>1817</v>
      </c>
      <c r="D499" s="1" t="s">
        <v>1892</v>
      </c>
      <c r="E499" s="1" t="s">
        <v>1892</v>
      </c>
      <c r="F499" s="1" t="s">
        <v>1893</v>
      </c>
      <c r="G499" s="1" t="s">
        <v>1894</v>
      </c>
      <c r="H499" s="1" t="s">
        <v>5061</v>
      </c>
      <c r="I499" s="18" t="s">
        <v>4783</v>
      </c>
      <c r="J499" s="18" t="s">
        <v>5018</v>
      </c>
      <c r="K499" s="18" t="s">
        <v>5045</v>
      </c>
      <c r="L499" s="18" t="s">
        <v>4734</v>
      </c>
      <c r="M499" s="2">
        <v>2500000</v>
      </c>
      <c r="N499" s="2">
        <v>2500000</v>
      </c>
      <c r="O499" s="2"/>
      <c r="P499" s="2" t="str">
        <f t="shared" si="28"/>
        <v/>
      </c>
      <c r="Q499" s="2"/>
      <c r="R499" s="2"/>
      <c r="S499" s="48"/>
      <c r="T499" s="2">
        <v>0</v>
      </c>
      <c r="U499" s="2">
        <v>0</v>
      </c>
      <c r="V499" s="1" t="s">
        <v>1894</v>
      </c>
      <c r="W499" s="6" t="s">
        <v>1895</v>
      </c>
      <c r="X499" s="1" t="s">
        <v>1222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>
        <v>2500000</v>
      </c>
      <c r="AI499" s="3">
        <v>2500000</v>
      </c>
      <c r="AJ499" s="3">
        <v>2500000</v>
      </c>
      <c r="AK499" s="3">
        <v>2500000</v>
      </c>
      <c r="AL499" s="3">
        <v>2500000</v>
      </c>
      <c r="AM499" s="3">
        <v>2500000</v>
      </c>
      <c r="AN499" s="3">
        <v>2500000</v>
      </c>
      <c r="AO499" s="3">
        <v>2500000</v>
      </c>
      <c r="AP499" s="3">
        <v>2500000</v>
      </c>
      <c r="AQ499" s="3"/>
      <c r="AR499" s="3"/>
      <c r="AS499" s="3"/>
      <c r="AT499" s="3"/>
      <c r="AU499" s="3"/>
      <c r="AV499" s="3"/>
      <c r="AW499" s="3">
        <f t="shared" si="29"/>
        <v>7500000</v>
      </c>
      <c r="AX499" s="3">
        <f t="shared" si="30"/>
        <v>15000000</v>
      </c>
      <c r="AY499" s="4">
        <f t="shared" si="31"/>
        <v>9</v>
      </c>
      <c r="AZ499" s="8" t="s">
        <v>5557</v>
      </c>
      <c r="BA499" s="4" t="s">
        <v>5726</v>
      </c>
      <c r="BB499" s="2"/>
      <c r="BC499" s="3"/>
      <c r="BD499" s="3"/>
    </row>
    <row r="500" spans="1:56" ht="16.8" customHeight="1">
      <c r="A500" s="1">
        <v>499</v>
      </c>
      <c r="B500" s="1" t="s">
        <v>1816</v>
      </c>
      <c r="C500" s="1" t="s">
        <v>1817</v>
      </c>
      <c r="D500" s="1" t="s">
        <v>1896</v>
      </c>
      <c r="E500" s="1" t="s">
        <v>1896</v>
      </c>
      <c r="F500" s="1" t="s">
        <v>1897</v>
      </c>
      <c r="G500" s="1" t="s">
        <v>1898</v>
      </c>
      <c r="H500" s="1" t="s">
        <v>5062</v>
      </c>
      <c r="I500" s="18" t="s">
        <v>4783</v>
      </c>
      <c r="J500" s="18" t="s">
        <v>5018</v>
      </c>
      <c r="K500" s="18" t="s">
        <v>5045</v>
      </c>
      <c r="L500" s="18" t="s">
        <v>4734</v>
      </c>
      <c r="M500" s="2">
        <v>2000000</v>
      </c>
      <c r="N500" s="2">
        <v>2000000</v>
      </c>
      <c r="O500" s="2"/>
      <c r="P500" s="2" t="str">
        <f t="shared" si="28"/>
        <v/>
      </c>
      <c r="Q500" s="2"/>
      <c r="R500" s="2"/>
      <c r="S500" s="48"/>
      <c r="T500" s="2">
        <v>0</v>
      </c>
      <c r="U500" s="2">
        <v>0</v>
      </c>
      <c r="V500" s="1" t="s">
        <v>1898</v>
      </c>
      <c r="W500" s="6" t="s">
        <v>1899</v>
      </c>
      <c r="X500" s="1" t="s">
        <v>1873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>
        <v>2000000</v>
      </c>
      <c r="AL500" s="3">
        <v>2000000</v>
      </c>
      <c r="AM500" s="3">
        <v>2000000</v>
      </c>
      <c r="AN500" s="3">
        <v>2000000</v>
      </c>
      <c r="AO500" s="3">
        <v>2000000</v>
      </c>
      <c r="AP500" s="3">
        <v>2000000</v>
      </c>
      <c r="AQ500" s="3"/>
      <c r="AR500" s="3"/>
      <c r="AS500" s="3"/>
      <c r="AT500" s="3"/>
      <c r="AU500" s="3"/>
      <c r="AV500" s="3"/>
      <c r="AW500" s="3">
        <f t="shared" si="29"/>
        <v>0</v>
      </c>
      <c r="AX500" s="3">
        <f t="shared" si="30"/>
        <v>12000000</v>
      </c>
      <c r="AY500" s="4">
        <f t="shared" si="31"/>
        <v>6</v>
      </c>
      <c r="AZ500" s="8" t="s">
        <v>5557</v>
      </c>
      <c r="BA500" s="4" t="s">
        <v>5726</v>
      </c>
      <c r="BB500" s="2"/>
      <c r="BC500" s="3"/>
      <c r="BD500" s="3"/>
    </row>
    <row r="501" spans="1:56" ht="16.8" customHeight="1">
      <c r="A501" s="1">
        <v>500</v>
      </c>
      <c r="B501" s="1" t="s">
        <v>1816</v>
      </c>
      <c r="C501" s="1" t="s">
        <v>1817</v>
      </c>
      <c r="D501" s="1" t="s">
        <v>1900</v>
      </c>
      <c r="E501" s="1" t="s">
        <v>1900</v>
      </c>
      <c r="F501" s="1" t="s">
        <v>1901</v>
      </c>
      <c r="G501" s="1" t="s">
        <v>1902</v>
      </c>
      <c r="H501" s="1" t="s">
        <v>5063</v>
      </c>
      <c r="I501" s="18" t="s">
        <v>4783</v>
      </c>
      <c r="J501" s="18" t="s">
        <v>4783</v>
      </c>
      <c r="K501" s="18" t="s">
        <v>4737</v>
      </c>
      <c r="L501" s="18" t="s">
        <v>4734</v>
      </c>
      <c r="M501" s="2">
        <v>2000000</v>
      </c>
      <c r="N501" s="2">
        <v>2000000</v>
      </c>
      <c r="O501" s="2"/>
      <c r="P501" s="2" t="str">
        <f t="shared" si="28"/>
        <v/>
      </c>
      <c r="Q501" s="2"/>
      <c r="R501" s="2"/>
      <c r="S501" s="48"/>
      <c r="T501" s="2">
        <v>6000000</v>
      </c>
      <c r="U501" s="2">
        <v>0</v>
      </c>
      <c r="V501" s="1" t="s">
        <v>1902</v>
      </c>
      <c r="W501" s="6" t="s">
        <v>1903</v>
      </c>
      <c r="X501" s="1" t="s">
        <v>1830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>
        <v>2000000</v>
      </c>
      <c r="AI501" s="3">
        <v>2000000</v>
      </c>
      <c r="AJ501" s="3">
        <v>2000000</v>
      </c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>
        <f t="shared" si="29"/>
        <v>6000000</v>
      </c>
      <c r="AX501" s="3">
        <f t="shared" si="30"/>
        <v>0</v>
      </c>
      <c r="AY501" s="4">
        <f t="shared" si="31"/>
        <v>3</v>
      </c>
      <c r="AZ501" s="8">
        <v>0</v>
      </c>
      <c r="BA501" s="4" t="s">
        <v>5726</v>
      </c>
      <c r="BB501" s="2"/>
      <c r="BC501" s="3"/>
      <c r="BD501" s="4"/>
    </row>
    <row r="502" spans="1:56" ht="16.8" customHeight="1">
      <c r="A502" s="1">
        <v>501</v>
      </c>
      <c r="B502" s="1" t="s">
        <v>1816</v>
      </c>
      <c r="C502" s="1" t="s">
        <v>1817</v>
      </c>
      <c r="D502" s="1" t="s">
        <v>1904</v>
      </c>
      <c r="E502" s="1" t="s">
        <v>1904</v>
      </c>
      <c r="F502" s="1" t="s">
        <v>1905</v>
      </c>
      <c r="G502" s="1" t="s">
        <v>1906</v>
      </c>
      <c r="H502" s="1" t="s">
        <v>5064</v>
      </c>
      <c r="I502" s="18" t="s">
        <v>4783</v>
      </c>
      <c r="J502" s="18" t="s">
        <v>5018</v>
      </c>
      <c r="K502" s="18" t="s">
        <v>5045</v>
      </c>
      <c r="L502" s="18" t="s">
        <v>4734</v>
      </c>
      <c r="M502" s="2">
        <v>2000000</v>
      </c>
      <c r="N502" s="2">
        <v>2000000</v>
      </c>
      <c r="O502" s="2"/>
      <c r="P502" s="2" t="str">
        <f t="shared" si="28"/>
        <v/>
      </c>
      <c r="Q502" s="2"/>
      <c r="R502" s="2"/>
      <c r="S502" s="48"/>
      <c r="T502" s="2">
        <v>0</v>
      </c>
      <c r="U502" s="2">
        <v>0</v>
      </c>
      <c r="V502" s="1" t="s">
        <v>1906</v>
      </c>
      <c r="W502" s="6" t="s">
        <v>1907</v>
      </c>
      <c r="X502" s="1" t="s">
        <v>1873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>
        <v>2000000</v>
      </c>
      <c r="AL502" s="3">
        <v>2000000</v>
      </c>
      <c r="AM502" s="3">
        <v>2000000</v>
      </c>
      <c r="AN502" s="3">
        <v>2000000</v>
      </c>
      <c r="AO502" s="3">
        <v>2000000</v>
      </c>
      <c r="AP502" s="3">
        <v>2000000</v>
      </c>
      <c r="AQ502" s="3"/>
      <c r="AR502" s="3"/>
      <c r="AS502" s="3"/>
      <c r="AT502" s="3"/>
      <c r="AU502" s="3"/>
      <c r="AV502" s="3"/>
      <c r="AW502" s="3">
        <f t="shared" si="29"/>
        <v>0</v>
      </c>
      <c r="AX502" s="3">
        <f t="shared" si="30"/>
        <v>12000000</v>
      </c>
      <c r="AY502" s="4">
        <f t="shared" si="31"/>
        <v>6</v>
      </c>
      <c r="AZ502" s="8" t="s">
        <v>5557</v>
      </c>
      <c r="BA502" s="4" t="s">
        <v>5726</v>
      </c>
      <c r="BB502" s="2"/>
      <c r="BC502" s="3"/>
      <c r="BD502" s="3"/>
    </row>
    <row r="503" spans="1:56" ht="16.8" customHeight="1">
      <c r="A503" s="1">
        <v>502</v>
      </c>
      <c r="B503" s="1" t="s">
        <v>1816</v>
      </c>
      <c r="C503" s="1" t="s">
        <v>1817</v>
      </c>
      <c r="D503" s="1" t="s">
        <v>1908</v>
      </c>
      <c r="E503" s="1" t="s">
        <v>1908</v>
      </c>
      <c r="F503" s="1" t="s">
        <v>1909</v>
      </c>
      <c r="G503" s="1" t="s">
        <v>1910</v>
      </c>
      <c r="H503" s="1" t="s">
        <v>5065</v>
      </c>
      <c r="I503" s="18" t="s">
        <v>4783</v>
      </c>
      <c r="J503" s="18" t="s">
        <v>5018</v>
      </c>
      <c r="K503" s="18" t="s">
        <v>5045</v>
      </c>
      <c r="L503" s="18" t="s">
        <v>4734</v>
      </c>
      <c r="M503" s="2">
        <v>2000000</v>
      </c>
      <c r="N503" s="2">
        <v>2000000</v>
      </c>
      <c r="O503" s="2"/>
      <c r="P503" s="2" t="str">
        <f t="shared" si="28"/>
        <v/>
      </c>
      <c r="Q503" s="2"/>
      <c r="R503" s="2"/>
      <c r="S503" s="48"/>
      <c r="T503" s="2">
        <v>0</v>
      </c>
      <c r="U503" s="2">
        <v>0</v>
      </c>
      <c r="V503" s="1" t="s">
        <v>1910</v>
      </c>
      <c r="W503" s="6" t="s">
        <v>1911</v>
      </c>
      <c r="X503" s="1" t="s">
        <v>154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>
        <v>2000000</v>
      </c>
      <c r="AL503" s="3">
        <v>2000000</v>
      </c>
      <c r="AM503" s="3">
        <v>2000000</v>
      </c>
      <c r="AN503" s="3">
        <v>2000000</v>
      </c>
      <c r="AO503" s="3">
        <v>2000000</v>
      </c>
      <c r="AP503" s="3">
        <v>2000000</v>
      </c>
      <c r="AQ503" s="3"/>
      <c r="AR503" s="3"/>
      <c r="AS503" s="3"/>
      <c r="AT503" s="3"/>
      <c r="AU503" s="3"/>
      <c r="AV503" s="3"/>
      <c r="AW503" s="3">
        <f t="shared" si="29"/>
        <v>0</v>
      </c>
      <c r="AX503" s="3">
        <f t="shared" si="30"/>
        <v>12000000</v>
      </c>
      <c r="AY503" s="4">
        <f t="shared" si="31"/>
        <v>6</v>
      </c>
      <c r="AZ503" s="8" t="s">
        <v>5557</v>
      </c>
      <c r="BA503" s="4" t="s">
        <v>5726</v>
      </c>
      <c r="BB503" s="2"/>
      <c r="BC503" s="3"/>
      <c r="BD503" s="3"/>
    </row>
    <row r="504" spans="1:56" ht="16.8" customHeight="1">
      <c r="A504" s="1">
        <v>503</v>
      </c>
      <c r="B504" s="1" t="s">
        <v>1816</v>
      </c>
      <c r="C504" s="1" t="s">
        <v>1817</v>
      </c>
      <c r="D504" s="1" t="s">
        <v>1912</v>
      </c>
      <c r="E504" s="1" t="s">
        <v>1912</v>
      </c>
      <c r="F504" s="1" t="s">
        <v>1913</v>
      </c>
      <c r="G504" s="1" t="s">
        <v>1914</v>
      </c>
      <c r="H504" s="1" t="s">
        <v>5066</v>
      </c>
      <c r="I504" s="18" t="s">
        <v>4783</v>
      </c>
      <c r="J504" s="18" t="s">
        <v>5018</v>
      </c>
      <c r="K504" s="18" t="s">
        <v>5045</v>
      </c>
      <c r="L504" s="18" t="s">
        <v>4734</v>
      </c>
      <c r="M504" s="2">
        <v>2000000</v>
      </c>
      <c r="N504" s="2">
        <v>2000000</v>
      </c>
      <c r="O504" s="2"/>
      <c r="P504" s="2" t="str">
        <f t="shared" si="28"/>
        <v/>
      </c>
      <c r="Q504" s="2"/>
      <c r="R504" s="2"/>
      <c r="S504" s="48"/>
      <c r="T504" s="2">
        <v>0</v>
      </c>
      <c r="U504" s="2">
        <v>0</v>
      </c>
      <c r="V504" s="1" t="s">
        <v>1914</v>
      </c>
      <c r="W504" s="6" t="s">
        <v>1915</v>
      </c>
      <c r="X504" s="1" t="s">
        <v>1825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>
        <v>2000000</v>
      </c>
      <c r="AL504" s="3">
        <v>2000000</v>
      </c>
      <c r="AM504" s="3">
        <v>2000000</v>
      </c>
      <c r="AN504" s="3">
        <v>2000000</v>
      </c>
      <c r="AO504" s="3">
        <v>2000000</v>
      </c>
      <c r="AP504" s="3">
        <v>2000000</v>
      </c>
      <c r="AQ504" s="3"/>
      <c r="AR504" s="3"/>
      <c r="AS504" s="3"/>
      <c r="AT504" s="3"/>
      <c r="AU504" s="3"/>
      <c r="AV504" s="3"/>
      <c r="AW504" s="3">
        <f t="shared" si="29"/>
        <v>0</v>
      </c>
      <c r="AX504" s="3">
        <f t="shared" si="30"/>
        <v>12000000</v>
      </c>
      <c r="AY504" s="4">
        <f t="shared" si="31"/>
        <v>6</v>
      </c>
      <c r="AZ504" s="8">
        <v>0</v>
      </c>
      <c r="BA504" s="4" t="s">
        <v>5726</v>
      </c>
      <c r="BB504" s="2"/>
      <c r="BC504" s="3"/>
      <c r="BD504" s="3"/>
    </row>
    <row r="505" spans="1:56" ht="16.8" customHeight="1">
      <c r="A505" s="1">
        <v>504</v>
      </c>
      <c r="B505" s="1" t="s">
        <v>1816</v>
      </c>
      <c r="C505" s="1" t="s">
        <v>1817</v>
      </c>
      <c r="D505" s="1" t="s">
        <v>1916</v>
      </c>
      <c r="E505" s="1" t="s">
        <v>1916</v>
      </c>
      <c r="F505" s="1" t="s">
        <v>1917</v>
      </c>
      <c r="G505" s="1" t="s">
        <v>1918</v>
      </c>
      <c r="H505" s="1" t="s">
        <v>5067</v>
      </c>
      <c r="I505" s="18" t="s">
        <v>4783</v>
      </c>
      <c r="J505" s="18" t="s">
        <v>5018</v>
      </c>
      <c r="K505" s="18" t="s">
        <v>5045</v>
      </c>
      <c r="L505" s="18" t="s">
        <v>4734</v>
      </c>
      <c r="M505" s="2">
        <v>2000000</v>
      </c>
      <c r="N505" s="2">
        <v>2000000</v>
      </c>
      <c r="O505" s="2"/>
      <c r="P505" s="2" t="str">
        <f t="shared" si="28"/>
        <v/>
      </c>
      <c r="Q505" s="2"/>
      <c r="R505" s="2"/>
      <c r="S505" s="48"/>
      <c r="T505" s="2">
        <v>0</v>
      </c>
      <c r="U505" s="2">
        <v>0</v>
      </c>
      <c r="V505" s="1" t="s">
        <v>1918</v>
      </c>
      <c r="W505" s="6" t="s">
        <v>1919</v>
      </c>
      <c r="X505" s="1" t="s">
        <v>154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>
        <v>2000000</v>
      </c>
      <c r="AL505" s="3">
        <v>2000000</v>
      </c>
      <c r="AM505" s="3">
        <v>2000000</v>
      </c>
      <c r="AN505" s="3">
        <v>2000000</v>
      </c>
      <c r="AO505" s="3">
        <v>2000000</v>
      </c>
      <c r="AP505" s="3">
        <v>2000000</v>
      </c>
      <c r="AQ505" s="3"/>
      <c r="AR505" s="3"/>
      <c r="AS505" s="3"/>
      <c r="AT505" s="3"/>
      <c r="AU505" s="3"/>
      <c r="AV505" s="3"/>
      <c r="AW505" s="3">
        <f t="shared" si="29"/>
        <v>0</v>
      </c>
      <c r="AX505" s="3">
        <f t="shared" si="30"/>
        <v>12000000</v>
      </c>
      <c r="AY505" s="4">
        <f t="shared" si="31"/>
        <v>6</v>
      </c>
      <c r="AZ505" s="8" t="s">
        <v>5557</v>
      </c>
      <c r="BA505" s="4" t="s">
        <v>5726</v>
      </c>
      <c r="BB505" s="2"/>
      <c r="BC505" s="3"/>
      <c r="BD505" s="3"/>
    </row>
    <row r="506" spans="1:56" ht="16.8" customHeight="1">
      <c r="A506" s="1">
        <v>505</v>
      </c>
      <c r="B506" s="1" t="s">
        <v>1816</v>
      </c>
      <c r="C506" s="1" t="s">
        <v>1920</v>
      </c>
      <c r="D506" s="1" t="s">
        <v>1921</v>
      </c>
      <c r="E506" s="1" t="s">
        <v>1921</v>
      </c>
      <c r="F506" s="1" t="s">
        <v>1922</v>
      </c>
      <c r="G506" s="1" t="s">
        <v>1923</v>
      </c>
      <c r="H506" s="1" t="s">
        <v>5068</v>
      </c>
      <c r="I506" s="18" t="s">
        <v>4783</v>
      </c>
      <c r="J506" s="18" t="s">
        <v>5018</v>
      </c>
      <c r="K506" s="18" t="s">
        <v>4742</v>
      </c>
      <c r="L506" s="18" t="s">
        <v>4734</v>
      </c>
      <c r="M506" s="2">
        <v>1200000</v>
      </c>
      <c r="N506" s="2">
        <v>1200000</v>
      </c>
      <c r="O506" s="2"/>
      <c r="P506" s="2" t="str">
        <f t="shared" si="28"/>
        <v/>
      </c>
      <c r="Q506" s="2"/>
      <c r="R506" s="2"/>
      <c r="S506" s="48"/>
      <c r="T506" s="2">
        <v>0</v>
      </c>
      <c r="U506" s="2">
        <v>0</v>
      </c>
      <c r="V506" s="1"/>
      <c r="W506" s="6"/>
      <c r="X506" s="1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>
        <f t="shared" si="29"/>
        <v>0</v>
      </c>
      <c r="AX506" s="3">
        <f t="shared" si="30"/>
        <v>0</v>
      </c>
      <c r="AY506" s="4">
        <f t="shared" si="31"/>
        <v>0</v>
      </c>
      <c r="AZ506" s="8" t="s">
        <v>5558</v>
      </c>
      <c r="BA506" s="4" t="s">
        <v>5726</v>
      </c>
      <c r="BB506" s="2"/>
      <c r="BC506" s="3"/>
      <c r="BD506" s="4"/>
    </row>
    <row r="507" spans="1:56" ht="16.8" customHeight="1">
      <c r="A507" s="1">
        <v>506</v>
      </c>
      <c r="B507" s="1" t="s">
        <v>1816</v>
      </c>
      <c r="C507" s="1" t="s">
        <v>1920</v>
      </c>
      <c r="D507" s="1" t="s">
        <v>1924</v>
      </c>
      <c r="E507" s="1" t="s">
        <v>1924</v>
      </c>
      <c r="F507" s="1" t="s">
        <v>1925</v>
      </c>
      <c r="G507" s="1" t="s">
        <v>1926</v>
      </c>
      <c r="H507" s="1" t="s">
        <v>5069</v>
      </c>
      <c r="I507" s="18" t="s">
        <v>4783</v>
      </c>
      <c r="J507" s="18" t="s">
        <v>4783</v>
      </c>
      <c r="K507" s="18" t="s">
        <v>5070</v>
      </c>
      <c r="L507" s="18" t="s">
        <v>4734</v>
      </c>
      <c r="M507" s="2">
        <v>1200000</v>
      </c>
      <c r="N507" s="2">
        <v>1200000</v>
      </c>
      <c r="O507" s="2"/>
      <c r="P507" s="2" t="str">
        <f t="shared" si="28"/>
        <v/>
      </c>
      <c r="Q507" s="2"/>
      <c r="R507" s="2"/>
      <c r="S507" s="48"/>
      <c r="T507" s="2">
        <v>0</v>
      </c>
      <c r="U507" s="2">
        <v>0</v>
      </c>
      <c r="V507" s="1" t="s">
        <v>1927</v>
      </c>
      <c r="W507" s="6" t="s">
        <v>1928</v>
      </c>
      <c r="X507" s="1" t="s">
        <v>1929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>
        <v>1200000</v>
      </c>
      <c r="AL507" s="3">
        <v>1200000</v>
      </c>
      <c r="AM507" s="3">
        <v>1200000</v>
      </c>
      <c r="AN507" s="3">
        <v>1200000</v>
      </c>
      <c r="AO507" s="3">
        <v>1200000</v>
      </c>
      <c r="AP507" s="3">
        <v>1200000</v>
      </c>
      <c r="AQ507" s="3">
        <v>1200000</v>
      </c>
      <c r="AR507" s="3">
        <v>1200000</v>
      </c>
      <c r="AS507" s="3">
        <v>1200000</v>
      </c>
      <c r="AT507" s="3">
        <v>1200000</v>
      </c>
      <c r="AU507" s="3">
        <v>1200000</v>
      </c>
      <c r="AV507" s="3">
        <v>1200000</v>
      </c>
      <c r="AW507" s="3">
        <f t="shared" si="29"/>
        <v>0</v>
      </c>
      <c r="AX507" s="3">
        <f t="shared" si="30"/>
        <v>14400000</v>
      </c>
      <c r="AY507" s="4">
        <f t="shared" si="31"/>
        <v>12</v>
      </c>
      <c r="AZ507" s="8" t="s">
        <v>5559</v>
      </c>
      <c r="BA507" s="4" t="s">
        <v>5726</v>
      </c>
      <c r="BB507" s="2"/>
      <c r="BC507" s="3"/>
      <c r="BD507" s="3"/>
    </row>
    <row r="508" spans="1:56" ht="16.8" customHeight="1">
      <c r="A508" s="1">
        <v>507</v>
      </c>
      <c r="B508" s="1" t="s">
        <v>1816</v>
      </c>
      <c r="C508" s="1" t="s">
        <v>1920</v>
      </c>
      <c r="D508" s="1" t="s">
        <v>1930</v>
      </c>
      <c r="E508" s="1" t="s">
        <v>1930</v>
      </c>
      <c r="F508" s="1" t="s">
        <v>1931</v>
      </c>
      <c r="G508" s="1" t="s">
        <v>1932</v>
      </c>
      <c r="H508" s="1" t="s">
        <v>5071</v>
      </c>
      <c r="I508" s="18" t="s">
        <v>4783</v>
      </c>
      <c r="J508" s="18" t="s">
        <v>5018</v>
      </c>
      <c r="K508" s="18" t="s">
        <v>5045</v>
      </c>
      <c r="L508" s="18" t="s">
        <v>4734</v>
      </c>
      <c r="M508" s="2">
        <v>1200000</v>
      </c>
      <c r="N508" s="2">
        <v>1200000</v>
      </c>
      <c r="O508" s="2"/>
      <c r="P508" s="2" t="str">
        <f t="shared" si="28"/>
        <v/>
      </c>
      <c r="Q508" s="2"/>
      <c r="R508" s="2"/>
      <c r="S508" s="48"/>
      <c r="T508" s="2">
        <v>0</v>
      </c>
      <c r="U508" s="2">
        <v>0</v>
      </c>
      <c r="V508" s="1"/>
      <c r="W508" s="6"/>
      <c r="X508" s="1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>
        <f t="shared" si="29"/>
        <v>0</v>
      </c>
      <c r="AX508" s="3">
        <f t="shared" si="30"/>
        <v>0</v>
      </c>
      <c r="AY508" s="4">
        <f t="shared" si="31"/>
        <v>0</v>
      </c>
      <c r="AZ508" s="8">
        <v>0</v>
      </c>
      <c r="BA508" s="4" t="s">
        <v>5726</v>
      </c>
      <c r="BB508" s="2"/>
      <c r="BC508" s="3"/>
      <c r="BD508" s="4"/>
    </row>
    <row r="509" spans="1:56" ht="16.8" customHeight="1">
      <c r="A509" s="1">
        <v>508</v>
      </c>
      <c r="B509" s="1" t="s">
        <v>1816</v>
      </c>
      <c r="C509" s="1" t="s">
        <v>1920</v>
      </c>
      <c r="D509" s="1" t="s">
        <v>1933</v>
      </c>
      <c r="E509" s="1" t="s">
        <v>1933</v>
      </c>
      <c r="F509" s="1" t="s">
        <v>1934</v>
      </c>
      <c r="G509" s="1" t="s">
        <v>1935</v>
      </c>
      <c r="H509" s="1" t="s">
        <v>5072</v>
      </c>
      <c r="I509" s="18" t="s">
        <v>4783</v>
      </c>
      <c r="J509" s="18" t="s">
        <v>5018</v>
      </c>
      <c r="K509" s="18" t="s">
        <v>4742</v>
      </c>
      <c r="L509" s="18" t="s">
        <v>4734</v>
      </c>
      <c r="M509" s="2">
        <v>2000000</v>
      </c>
      <c r="N509" s="2">
        <v>2000000</v>
      </c>
      <c r="O509" s="2"/>
      <c r="P509" s="2" t="str">
        <f t="shared" si="28"/>
        <v/>
      </c>
      <c r="Q509" s="2"/>
      <c r="R509" s="2"/>
      <c r="S509" s="48"/>
      <c r="T509" s="2">
        <v>0</v>
      </c>
      <c r="U509" s="2">
        <v>0</v>
      </c>
      <c r="V509" s="1" t="s">
        <v>1935</v>
      </c>
      <c r="W509" s="6" t="s">
        <v>1936</v>
      </c>
      <c r="X509" s="1" t="s">
        <v>324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>
        <v>2000000</v>
      </c>
      <c r="AL509" s="3">
        <v>2000000</v>
      </c>
      <c r="AM509" s="3">
        <v>2000000</v>
      </c>
      <c r="AN509" s="3">
        <v>2000000</v>
      </c>
      <c r="AO509" s="3">
        <v>2000000</v>
      </c>
      <c r="AP509" s="3">
        <v>2000000</v>
      </c>
      <c r="AQ509" s="3">
        <v>2000000</v>
      </c>
      <c r="AR509" s="3">
        <v>2000000</v>
      </c>
      <c r="AS509" s="3">
        <v>2000000</v>
      </c>
      <c r="AT509" s="3">
        <v>2000000</v>
      </c>
      <c r="AU509" s="3">
        <v>2000000</v>
      </c>
      <c r="AV509" s="3">
        <v>2000000</v>
      </c>
      <c r="AW509" s="3">
        <f t="shared" si="29"/>
        <v>0</v>
      </c>
      <c r="AX509" s="3">
        <f t="shared" si="30"/>
        <v>24000000</v>
      </c>
      <c r="AY509" s="4">
        <f t="shared" si="31"/>
        <v>12</v>
      </c>
      <c r="AZ509" s="8">
        <v>0</v>
      </c>
      <c r="BA509" s="4" t="s">
        <v>5726</v>
      </c>
      <c r="BB509" s="2"/>
      <c r="BC509" s="3"/>
      <c r="BD509" s="3"/>
    </row>
    <row r="510" spans="1:56" ht="16.8" customHeight="1">
      <c r="A510" s="1">
        <v>509</v>
      </c>
      <c r="B510" s="1" t="s">
        <v>1816</v>
      </c>
      <c r="C510" s="1" t="s">
        <v>1920</v>
      </c>
      <c r="D510" s="1" t="s">
        <v>1937</v>
      </c>
      <c r="E510" s="1" t="s">
        <v>1937</v>
      </c>
      <c r="F510" s="1" t="s">
        <v>1938</v>
      </c>
      <c r="G510" s="1" t="s">
        <v>1939</v>
      </c>
      <c r="H510" s="1" t="s">
        <v>5073</v>
      </c>
      <c r="I510" s="18" t="s">
        <v>4783</v>
      </c>
      <c r="J510" s="18" t="s">
        <v>5074</v>
      </c>
      <c r="K510" s="18" t="s">
        <v>4733</v>
      </c>
      <c r="L510" s="18" t="s">
        <v>4734</v>
      </c>
      <c r="M510" s="2">
        <v>3181818</v>
      </c>
      <c r="N510" s="2">
        <v>3181818</v>
      </c>
      <c r="O510" s="2"/>
      <c r="P510" s="2" t="str">
        <f t="shared" si="28"/>
        <v/>
      </c>
      <c r="Q510" s="2"/>
      <c r="R510" s="2"/>
      <c r="S510" s="48"/>
      <c r="T510" s="2">
        <v>42000000</v>
      </c>
      <c r="U510" s="2">
        <v>0</v>
      </c>
      <c r="V510" s="1" t="s">
        <v>1940</v>
      </c>
      <c r="W510" s="6" t="s">
        <v>1941</v>
      </c>
      <c r="X510" s="1" t="s">
        <v>1942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>
        <f t="shared" si="29"/>
        <v>0</v>
      </c>
      <c r="AX510" s="3">
        <f t="shared" si="30"/>
        <v>0</v>
      </c>
      <c r="AY510" s="4">
        <f t="shared" si="31"/>
        <v>0</v>
      </c>
      <c r="AZ510" s="8" t="s">
        <v>5560</v>
      </c>
      <c r="BA510" s="4" t="s">
        <v>5726</v>
      </c>
      <c r="BB510" s="2"/>
      <c r="BC510" s="3"/>
      <c r="BD510" s="4"/>
    </row>
    <row r="511" spans="1:56" s="33" customFormat="1" ht="16.8" customHeight="1">
      <c r="A511" s="29">
        <v>510</v>
      </c>
      <c r="B511" s="29" t="s">
        <v>1816</v>
      </c>
      <c r="C511" s="29" t="s">
        <v>1920</v>
      </c>
      <c r="D511" s="29" t="s">
        <v>1943</v>
      </c>
      <c r="E511" s="29" t="s">
        <v>1943</v>
      </c>
      <c r="F511" s="1" t="s">
        <v>1944</v>
      </c>
      <c r="G511" s="1" t="s">
        <v>1945</v>
      </c>
      <c r="H511" s="1" t="s">
        <v>5075</v>
      </c>
      <c r="I511" s="18" t="s">
        <v>4783</v>
      </c>
      <c r="J511" s="18" t="s">
        <v>5018</v>
      </c>
      <c r="K511" s="18" t="s">
        <v>4737</v>
      </c>
      <c r="L511" s="18" t="s">
        <v>4734</v>
      </c>
      <c r="M511" s="30">
        <v>1300000</v>
      </c>
      <c r="N511" s="30">
        <v>1600000</v>
      </c>
      <c r="O511" s="30">
        <v>1600000</v>
      </c>
      <c r="P511" s="2">
        <f t="shared" si="28"/>
        <v>300000</v>
      </c>
      <c r="Q511" s="2"/>
      <c r="R511" s="2"/>
      <c r="S511" s="48"/>
      <c r="T511" s="2">
        <v>0</v>
      </c>
      <c r="U511" s="2">
        <v>0</v>
      </c>
      <c r="V511" s="1"/>
      <c r="W511" s="6"/>
      <c r="X511" s="1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>
        <f t="shared" si="29"/>
        <v>0</v>
      </c>
      <c r="AX511" s="31">
        <f t="shared" si="30"/>
        <v>0</v>
      </c>
      <c r="AY511" s="32">
        <f t="shared" si="31"/>
        <v>0</v>
      </c>
      <c r="AZ511" s="33">
        <v>0</v>
      </c>
      <c r="BA511" s="4" t="s">
        <v>5726</v>
      </c>
      <c r="BB511" s="30"/>
      <c r="BC511" s="3"/>
      <c r="BD511" s="32"/>
    </row>
    <row r="512" spans="1:56" s="33" customFormat="1" ht="16.8" customHeight="1">
      <c r="A512" s="29">
        <v>511</v>
      </c>
      <c r="B512" s="29" t="s">
        <v>1816</v>
      </c>
      <c r="C512" s="29" t="s">
        <v>1920</v>
      </c>
      <c r="D512" s="29" t="s">
        <v>1946</v>
      </c>
      <c r="E512" s="29" t="s">
        <v>1946</v>
      </c>
      <c r="F512" s="1" t="s">
        <v>1947</v>
      </c>
      <c r="G512" s="1" t="s">
        <v>1948</v>
      </c>
      <c r="H512" s="1" t="s">
        <v>5076</v>
      </c>
      <c r="I512" s="18" t="s">
        <v>4783</v>
      </c>
      <c r="J512" s="18" t="s">
        <v>5074</v>
      </c>
      <c r="K512" s="18" t="s">
        <v>4733</v>
      </c>
      <c r="L512" s="18" t="s">
        <v>4734</v>
      </c>
      <c r="M512" s="30">
        <v>1000000</v>
      </c>
      <c r="N512" s="30">
        <v>1300000</v>
      </c>
      <c r="O512" s="30">
        <v>1300000</v>
      </c>
      <c r="P512" s="2">
        <f t="shared" si="28"/>
        <v>300000</v>
      </c>
      <c r="Q512" s="2"/>
      <c r="R512" s="2"/>
      <c r="S512" s="48"/>
      <c r="T512" s="2">
        <v>12000000</v>
      </c>
      <c r="U512" s="2">
        <v>0</v>
      </c>
      <c r="V512" s="1" t="s">
        <v>1948</v>
      </c>
      <c r="W512" s="6" t="s">
        <v>1949</v>
      </c>
      <c r="X512" s="1" t="s">
        <v>1830</v>
      </c>
      <c r="Y512" s="3">
        <v>1000000</v>
      </c>
      <c r="Z512" s="3">
        <v>1000000</v>
      </c>
      <c r="AA512" s="3">
        <v>1000000</v>
      </c>
      <c r="AB512" s="3">
        <v>1000000</v>
      </c>
      <c r="AC512" s="3">
        <v>1000000</v>
      </c>
      <c r="AD512" s="3">
        <v>1000000</v>
      </c>
      <c r="AE512" s="3">
        <v>1000000</v>
      </c>
      <c r="AF512" s="3">
        <v>1000000</v>
      </c>
      <c r="AG512" s="3">
        <v>1000000</v>
      </c>
      <c r="AH512" s="3">
        <v>1000000</v>
      </c>
      <c r="AI512" s="3">
        <v>1000000</v>
      </c>
      <c r="AJ512" s="3">
        <v>1000000</v>
      </c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>
        <f t="shared" si="29"/>
        <v>12000000</v>
      </c>
      <c r="AX512" s="31">
        <f t="shared" si="30"/>
        <v>0</v>
      </c>
      <c r="AY512" s="32">
        <f t="shared" si="31"/>
        <v>12</v>
      </c>
      <c r="AZ512" s="33">
        <v>0</v>
      </c>
      <c r="BA512" s="4" t="s">
        <v>5726</v>
      </c>
      <c r="BB512" s="30"/>
      <c r="BC512" s="3"/>
      <c r="BD512" s="32"/>
    </row>
    <row r="513" spans="1:56" s="33" customFormat="1" ht="16.8" customHeight="1">
      <c r="A513" s="29">
        <v>512</v>
      </c>
      <c r="B513" s="29" t="s">
        <v>1816</v>
      </c>
      <c r="C513" s="29" t="s">
        <v>1920</v>
      </c>
      <c r="D513" s="29" t="s">
        <v>1950</v>
      </c>
      <c r="E513" s="29" t="s">
        <v>1950</v>
      </c>
      <c r="F513" s="1" t="s">
        <v>1951</v>
      </c>
      <c r="G513" s="1" t="s">
        <v>1952</v>
      </c>
      <c r="H513" s="1" t="s">
        <v>5077</v>
      </c>
      <c r="I513" s="18" t="s">
        <v>4783</v>
      </c>
      <c r="J513" s="18" t="s">
        <v>5074</v>
      </c>
      <c r="K513" s="18" t="s">
        <v>4752</v>
      </c>
      <c r="L513" s="18" t="s">
        <v>4734</v>
      </c>
      <c r="M513" s="30">
        <v>1400000</v>
      </c>
      <c r="N513" s="30">
        <v>1300000</v>
      </c>
      <c r="O513" s="30">
        <v>1300000</v>
      </c>
      <c r="P513" s="2">
        <f t="shared" si="28"/>
        <v>-100000</v>
      </c>
      <c r="Q513" s="2"/>
      <c r="R513" s="2"/>
      <c r="S513" s="48"/>
      <c r="T513" s="2">
        <v>12000000</v>
      </c>
      <c r="U513" s="2">
        <v>0</v>
      </c>
      <c r="V513" s="1" t="s">
        <v>1952</v>
      </c>
      <c r="W513" s="6" t="s">
        <v>1953</v>
      </c>
      <c r="X513" s="1" t="s">
        <v>324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>
        <f t="shared" si="29"/>
        <v>0</v>
      </c>
      <c r="AX513" s="31">
        <f t="shared" si="30"/>
        <v>0</v>
      </c>
      <c r="AY513" s="32">
        <f t="shared" si="31"/>
        <v>0</v>
      </c>
      <c r="AZ513" s="33">
        <v>0</v>
      </c>
      <c r="BA513" s="4" t="s">
        <v>5726</v>
      </c>
      <c r="BB513" s="30"/>
      <c r="BC513" s="3"/>
      <c r="BD513" s="32"/>
    </row>
    <row r="514" spans="1:56" s="33" customFormat="1" ht="16.8" customHeight="1">
      <c r="A514" s="29">
        <v>513</v>
      </c>
      <c r="B514" s="29" t="s">
        <v>1816</v>
      </c>
      <c r="C514" s="29" t="s">
        <v>1920</v>
      </c>
      <c r="D514" s="29" t="s">
        <v>1954</v>
      </c>
      <c r="E514" s="29" t="s">
        <v>1954</v>
      </c>
      <c r="F514" s="1" t="s">
        <v>1955</v>
      </c>
      <c r="G514" s="1" t="s">
        <v>1956</v>
      </c>
      <c r="H514" s="1" t="s">
        <v>5078</v>
      </c>
      <c r="I514" s="18" t="s">
        <v>4783</v>
      </c>
      <c r="J514" s="18" t="s">
        <v>5074</v>
      </c>
      <c r="K514" s="18" t="s">
        <v>4752</v>
      </c>
      <c r="L514" s="18" t="s">
        <v>4734</v>
      </c>
      <c r="M514" s="30">
        <v>1400000</v>
      </c>
      <c r="N514" s="30">
        <v>1600000</v>
      </c>
      <c r="O514" s="30">
        <v>1600000</v>
      </c>
      <c r="P514" s="2">
        <f t="shared" ref="P514:P577" si="32">IF(OR(M514="",N514="",M514=N514),"",N514-M514)</f>
        <v>200000</v>
      </c>
      <c r="Q514" s="2"/>
      <c r="R514" s="2"/>
      <c r="S514" s="48"/>
      <c r="T514" s="2">
        <v>14400000</v>
      </c>
      <c r="U514" s="2">
        <v>0</v>
      </c>
      <c r="V514" s="1" t="s">
        <v>1957</v>
      </c>
      <c r="W514" s="6" t="s">
        <v>1958</v>
      </c>
      <c r="X514" s="1" t="s">
        <v>397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>
        <f t="shared" ref="AW514:AW577" si="33">SUM(Y514:AJ514)</f>
        <v>0</v>
      </c>
      <c r="AX514" s="31">
        <f t="shared" ref="AX514:AX577" si="34">SUM(AK514:AV514)</f>
        <v>0</v>
      </c>
      <c r="AY514" s="32">
        <f t="shared" ref="AY514:AY577" si="35">COUNT(Y514:AV514)</f>
        <v>0</v>
      </c>
      <c r="AZ514" s="33">
        <v>0</v>
      </c>
      <c r="BA514" s="4" t="s">
        <v>5726</v>
      </c>
      <c r="BB514" s="30"/>
      <c r="BC514" s="3"/>
      <c r="BD514" s="32"/>
    </row>
    <row r="515" spans="1:56" s="33" customFormat="1" ht="16.8" customHeight="1">
      <c r="A515" s="29">
        <v>514</v>
      </c>
      <c r="B515" s="29" t="s">
        <v>1816</v>
      </c>
      <c r="C515" s="29" t="s">
        <v>1920</v>
      </c>
      <c r="D515" s="29" t="s">
        <v>1959</v>
      </c>
      <c r="E515" s="29" t="s">
        <v>1959</v>
      </c>
      <c r="F515" s="1" t="s">
        <v>1960</v>
      </c>
      <c r="G515" s="1" t="s">
        <v>1961</v>
      </c>
      <c r="H515" s="1" t="s">
        <v>5079</v>
      </c>
      <c r="I515" s="18" t="s">
        <v>4783</v>
      </c>
      <c r="J515" s="18" t="s">
        <v>5074</v>
      </c>
      <c r="K515" s="18" t="s">
        <v>4733</v>
      </c>
      <c r="L515" s="18" t="s">
        <v>4734</v>
      </c>
      <c r="M515" s="30">
        <v>1000000</v>
      </c>
      <c r="N515" s="30">
        <v>1300000</v>
      </c>
      <c r="O515" s="30">
        <v>1300000</v>
      </c>
      <c r="P515" s="2">
        <f t="shared" si="32"/>
        <v>300000</v>
      </c>
      <c r="Q515" s="2"/>
      <c r="R515" s="2"/>
      <c r="S515" s="48"/>
      <c r="T515" s="2">
        <v>12000000</v>
      </c>
      <c r="U515" s="2">
        <v>0</v>
      </c>
      <c r="V515" s="1" t="s">
        <v>1962</v>
      </c>
      <c r="W515" s="6" t="s">
        <v>1963</v>
      </c>
      <c r="X515" s="1" t="s">
        <v>1964</v>
      </c>
      <c r="Y515" s="3">
        <v>1000000</v>
      </c>
      <c r="Z515" s="3">
        <v>1000000</v>
      </c>
      <c r="AA515" s="3">
        <v>1000000</v>
      </c>
      <c r="AB515" s="3">
        <v>1000000</v>
      </c>
      <c r="AC515" s="3">
        <v>1000000</v>
      </c>
      <c r="AD515" s="3">
        <v>1000000</v>
      </c>
      <c r="AE515" s="3">
        <v>1000000</v>
      </c>
      <c r="AF515" s="3">
        <v>1000000</v>
      </c>
      <c r="AG515" s="3">
        <v>1000000</v>
      </c>
      <c r="AH515" s="3">
        <v>1000000</v>
      </c>
      <c r="AI515" s="3">
        <v>1000000</v>
      </c>
      <c r="AJ515" s="3">
        <v>1000000</v>
      </c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>
        <f t="shared" si="33"/>
        <v>12000000</v>
      </c>
      <c r="AX515" s="31">
        <f t="shared" si="34"/>
        <v>0</v>
      </c>
      <c r="AY515" s="32">
        <f t="shared" si="35"/>
        <v>12</v>
      </c>
      <c r="AZ515" s="33">
        <v>0</v>
      </c>
      <c r="BA515" s="4" t="s">
        <v>5726</v>
      </c>
      <c r="BB515" s="30"/>
      <c r="BC515" s="3"/>
      <c r="BD515" s="32"/>
    </row>
    <row r="516" spans="1:56" ht="16.8" customHeight="1">
      <c r="A516" s="1">
        <v>515</v>
      </c>
      <c r="B516" s="1" t="s">
        <v>1816</v>
      </c>
      <c r="C516" s="1" t="s">
        <v>1920</v>
      </c>
      <c r="D516" s="1" t="s">
        <v>1965</v>
      </c>
      <c r="E516" s="1" t="s">
        <v>1965</v>
      </c>
      <c r="F516" s="1" t="s">
        <v>1966</v>
      </c>
      <c r="G516" s="1" t="s">
        <v>1967</v>
      </c>
      <c r="H516" s="1" t="s">
        <v>5080</v>
      </c>
      <c r="I516" s="18" t="s">
        <v>4783</v>
      </c>
      <c r="J516" s="18" t="s">
        <v>5018</v>
      </c>
      <c r="K516" s="18" t="s">
        <v>4737</v>
      </c>
      <c r="L516" s="18" t="s">
        <v>4734</v>
      </c>
      <c r="M516" s="2">
        <v>1200000</v>
      </c>
      <c r="N516" s="2">
        <v>1200000</v>
      </c>
      <c r="O516" s="2"/>
      <c r="P516" s="2" t="str">
        <f t="shared" si="32"/>
        <v/>
      </c>
      <c r="Q516" s="2"/>
      <c r="R516" s="2"/>
      <c r="S516" s="48"/>
      <c r="T516" s="2">
        <v>0</v>
      </c>
      <c r="U516" s="2">
        <v>0</v>
      </c>
      <c r="V516" s="1"/>
      <c r="W516" s="6"/>
      <c r="X516" s="1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>
        <f t="shared" si="33"/>
        <v>0</v>
      </c>
      <c r="AX516" s="3">
        <f t="shared" si="34"/>
        <v>0</v>
      </c>
      <c r="AY516" s="4">
        <f t="shared" si="35"/>
        <v>0</v>
      </c>
      <c r="AZ516" s="8" t="s">
        <v>5561</v>
      </c>
      <c r="BA516" s="4" t="s">
        <v>5726</v>
      </c>
      <c r="BB516" s="2"/>
      <c r="BC516" s="3"/>
      <c r="BD516" s="4"/>
    </row>
    <row r="517" spans="1:56" ht="16.8" customHeight="1">
      <c r="A517" s="1">
        <v>516</v>
      </c>
      <c r="B517" s="1" t="s">
        <v>1816</v>
      </c>
      <c r="C517" s="1" t="s">
        <v>1920</v>
      </c>
      <c r="D517" s="1" t="s">
        <v>1968</v>
      </c>
      <c r="E517" s="1" t="s">
        <v>1968</v>
      </c>
      <c r="F517" s="1" t="s">
        <v>1969</v>
      </c>
      <c r="G517" s="1" t="s">
        <v>1970</v>
      </c>
      <c r="H517" s="1" t="s">
        <v>5043</v>
      </c>
      <c r="I517" s="18">
        <v>0</v>
      </c>
      <c r="J517" s="18">
        <v>0</v>
      </c>
      <c r="K517" s="18">
        <v>0</v>
      </c>
      <c r="L517" s="18" t="s">
        <v>4734</v>
      </c>
      <c r="M517" s="2">
        <v>1600000</v>
      </c>
      <c r="N517" s="2">
        <v>1600000</v>
      </c>
      <c r="O517" s="2"/>
      <c r="P517" s="2" t="str">
        <f t="shared" si="32"/>
        <v/>
      </c>
      <c r="Q517" s="2"/>
      <c r="R517" s="2"/>
      <c r="S517" s="48"/>
      <c r="T517" s="2">
        <v>0</v>
      </c>
      <c r="U517" s="2">
        <v>0</v>
      </c>
      <c r="V517" s="1" t="s">
        <v>1970</v>
      </c>
      <c r="W517" s="6" t="s">
        <v>1971</v>
      </c>
      <c r="X517" s="1" t="s">
        <v>1972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>
        <v>1600000</v>
      </c>
      <c r="AL517" s="3">
        <v>1600000</v>
      </c>
      <c r="AM517" s="3">
        <v>1600000</v>
      </c>
      <c r="AN517" s="3"/>
      <c r="AO517" s="3"/>
      <c r="AP517" s="3"/>
      <c r="AQ517" s="3"/>
      <c r="AR517" s="3"/>
      <c r="AS517" s="3"/>
      <c r="AT517" s="3"/>
      <c r="AU517" s="3"/>
      <c r="AV517" s="3"/>
      <c r="AW517" s="3">
        <f t="shared" si="33"/>
        <v>0</v>
      </c>
      <c r="AX517" s="3">
        <f t="shared" si="34"/>
        <v>4800000</v>
      </c>
      <c r="AY517" s="4">
        <f t="shared" si="35"/>
        <v>3</v>
      </c>
      <c r="AZ517" s="8">
        <v>0</v>
      </c>
      <c r="BA517" s="4" t="s">
        <v>5726</v>
      </c>
      <c r="BB517" s="2"/>
      <c r="BC517" s="3"/>
      <c r="BD517" s="3"/>
    </row>
    <row r="518" spans="1:56" ht="16.8" customHeight="1">
      <c r="A518" s="1">
        <v>517</v>
      </c>
      <c r="B518" s="1" t="s">
        <v>1816</v>
      </c>
      <c r="C518" s="1" t="s">
        <v>1920</v>
      </c>
      <c r="D518" s="1" t="s">
        <v>1973</v>
      </c>
      <c r="E518" s="1" t="s">
        <v>1973</v>
      </c>
      <c r="F518" s="1" t="s">
        <v>1974</v>
      </c>
      <c r="G518" s="1" t="s">
        <v>1975</v>
      </c>
      <c r="H518" s="1" t="s">
        <v>5081</v>
      </c>
      <c r="I518" s="18" t="s">
        <v>4783</v>
      </c>
      <c r="J518" s="18" t="s">
        <v>5018</v>
      </c>
      <c r="K518" s="18" t="s">
        <v>4742</v>
      </c>
      <c r="L518" s="18" t="s">
        <v>4734</v>
      </c>
      <c r="M518" s="2">
        <v>1700000</v>
      </c>
      <c r="N518" s="2">
        <v>1700000</v>
      </c>
      <c r="O518" s="2"/>
      <c r="P518" s="2" t="str">
        <f t="shared" si="32"/>
        <v/>
      </c>
      <c r="Q518" s="2"/>
      <c r="R518" s="2"/>
      <c r="S518" s="48"/>
      <c r="T518" s="2">
        <v>0</v>
      </c>
      <c r="U518" s="2">
        <v>0</v>
      </c>
      <c r="V518" s="1" t="s">
        <v>1975</v>
      </c>
      <c r="W518" s="6" t="s">
        <v>1976</v>
      </c>
      <c r="X518" s="1" t="s">
        <v>1977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>
        <v>1700000</v>
      </c>
      <c r="AL518" s="3">
        <v>1700000</v>
      </c>
      <c r="AM518" s="3">
        <v>1700000</v>
      </c>
      <c r="AN518" s="3">
        <v>1700000</v>
      </c>
      <c r="AO518" s="3">
        <v>1700000</v>
      </c>
      <c r="AP518" s="3">
        <v>1700000</v>
      </c>
      <c r="AQ518" s="3">
        <v>1700000</v>
      </c>
      <c r="AR518" s="3">
        <v>1700000</v>
      </c>
      <c r="AS518" s="3">
        <v>1700000</v>
      </c>
      <c r="AT518" s="3">
        <v>1700000</v>
      </c>
      <c r="AU518" s="3">
        <v>1700000</v>
      </c>
      <c r="AV518" s="3">
        <v>1700000</v>
      </c>
      <c r="AW518" s="3">
        <f t="shared" si="33"/>
        <v>0</v>
      </c>
      <c r="AX518" s="3">
        <f t="shared" si="34"/>
        <v>20400000</v>
      </c>
      <c r="AY518" s="4">
        <f t="shared" si="35"/>
        <v>12</v>
      </c>
      <c r="AZ518" s="8">
        <v>0</v>
      </c>
      <c r="BA518" s="4" t="s">
        <v>5726</v>
      </c>
      <c r="BB518" s="2"/>
      <c r="BC518" s="3"/>
      <c r="BD518" s="3"/>
    </row>
    <row r="519" spans="1:56" ht="16.8" customHeight="1">
      <c r="A519" s="1">
        <v>518</v>
      </c>
      <c r="B519" s="1" t="s">
        <v>1816</v>
      </c>
      <c r="C519" s="1" t="s">
        <v>1920</v>
      </c>
      <c r="D519" s="1" t="s">
        <v>1978</v>
      </c>
      <c r="E519" s="1" t="s">
        <v>1978</v>
      </c>
      <c r="F519" s="1" t="s">
        <v>1979</v>
      </c>
      <c r="G519" s="1" t="s">
        <v>1980</v>
      </c>
      <c r="H519" s="1" t="s">
        <v>5082</v>
      </c>
      <c r="I519" s="18" t="s">
        <v>4783</v>
      </c>
      <c r="J519" s="18" t="s">
        <v>5018</v>
      </c>
      <c r="K519" s="18" t="s">
        <v>4742</v>
      </c>
      <c r="L519" s="18"/>
      <c r="M519" s="2">
        <v>2000000</v>
      </c>
      <c r="N519" s="2">
        <v>2000000</v>
      </c>
      <c r="O519" s="2"/>
      <c r="P519" s="2" t="str">
        <f t="shared" si="32"/>
        <v/>
      </c>
      <c r="Q519" s="2"/>
      <c r="R519" s="2"/>
      <c r="S519" s="48"/>
      <c r="T519" s="2">
        <v>0</v>
      </c>
      <c r="U519" s="2">
        <v>0</v>
      </c>
      <c r="V519" s="1" t="s">
        <v>1980</v>
      </c>
      <c r="W519" s="6" t="s">
        <v>1981</v>
      </c>
      <c r="X519" s="1" t="s">
        <v>324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>
        <v>2000000</v>
      </c>
      <c r="AL519" s="3">
        <v>2000000</v>
      </c>
      <c r="AM519" s="3">
        <v>2000000</v>
      </c>
      <c r="AN519" s="3">
        <v>2000000</v>
      </c>
      <c r="AO519" s="3">
        <v>2000000</v>
      </c>
      <c r="AP519" s="3">
        <v>2000000</v>
      </c>
      <c r="AQ519" s="3"/>
      <c r="AR519" s="3"/>
      <c r="AS519" s="3"/>
      <c r="AT519" s="3"/>
      <c r="AU519" s="3"/>
      <c r="AV519" s="3"/>
      <c r="AW519" s="3">
        <f t="shared" si="33"/>
        <v>0</v>
      </c>
      <c r="AX519" s="3">
        <f t="shared" si="34"/>
        <v>12000000</v>
      </c>
      <c r="AY519" s="4">
        <f t="shared" si="35"/>
        <v>6</v>
      </c>
      <c r="BA519" s="4" t="s">
        <v>5726</v>
      </c>
      <c r="BB519" s="2"/>
      <c r="BC519" s="3"/>
      <c r="BD519" s="3"/>
    </row>
    <row r="520" spans="1:56" ht="16.8" customHeight="1">
      <c r="A520" s="1">
        <v>519</v>
      </c>
      <c r="B520" s="1" t="s">
        <v>1816</v>
      </c>
      <c r="C520" s="1" t="s">
        <v>1920</v>
      </c>
      <c r="D520" s="1" t="s">
        <v>1982</v>
      </c>
      <c r="E520" s="1" t="s">
        <v>1982</v>
      </c>
      <c r="F520" s="1" t="s">
        <v>1983</v>
      </c>
      <c r="G520" s="1" t="s">
        <v>1984</v>
      </c>
      <c r="H520" s="1" t="s">
        <v>5083</v>
      </c>
      <c r="I520" s="18" t="s">
        <v>4783</v>
      </c>
      <c r="J520" s="18" t="s">
        <v>5018</v>
      </c>
      <c r="K520" s="18" t="s">
        <v>4737</v>
      </c>
      <c r="L520" s="18" t="s">
        <v>4734</v>
      </c>
      <c r="M520" s="2">
        <v>1200000</v>
      </c>
      <c r="N520" s="2">
        <v>1200000</v>
      </c>
      <c r="O520" s="2"/>
      <c r="P520" s="2" t="str">
        <f t="shared" si="32"/>
        <v/>
      </c>
      <c r="Q520" s="2"/>
      <c r="R520" s="2"/>
      <c r="S520" s="48"/>
      <c r="T520" s="2">
        <v>0</v>
      </c>
      <c r="U520" s="2">
        <v>0</v>
      </c>
      <c r="V520" s="1"/>
      <c r="W520" s="6"/>
      <c r="X520" s="1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>
        <f t="shared" si="33"/>
        <v>0</v>
      </c>
      <c r="AX520" s="3">
        <f t="shared" si="34"/>
        <v>0</v>
      </c>
      <c r="AY520" s="4">
        <f t="shared" si="35"/>
        <v>0</v>
      </c>
      <c r="AZ520" s="8" t="s">
        <v>5562</v>
      </c>
      <c r="BA520" s="4" t="s">
        <v>5726</v>
      </c>
      <c r="BB520" s="2"/>
      <c r="BC520" s="3"/>
      <c r="BD520" s="4"/>
    </row>
    <row r="521" spans="1:56" ht="16.8" customHeight="1">
      <c r="A521" s="1">
        <v>520</v>
      </c>
      <c r="B521" s="1" t="s">
        <v>1816</v>
      </c>
      <c r="C521" s="1" t="s">
        <v>1920</v>
      </c>
      <c r="D521" s="1" t="s">
        <v>1985</v>
      </c>
      <c r="E521" s="1" t="s">
        <v>1985</v>
      </c>
      <c r="F521" s="1" t="s">
        <v>1986</v>
      </c>
      <c r="G521" s="1" t="s">
        <v>1987</v>
      </c>
      <c r="H521" s="1" t="s">
        <v>5084</v>
      </c>
      <c r="I521" s="18" t="s">
        <v>4783</v>
      </c>
      <c r="J521" s="18" t="s">
        <v>5018</v>
      </c>
      <c r="K521" s="18" t="s">
        <v>4768</v>
      </c>
      <c r="L521" s="18" t="s">
        <v>4734</v>
      </c>
      <c r="M521" s="2">
        <v>1200000</v>
      </c>
      <c r="N521" s="2">
        <v>1200000</v>
      </c>
      <c r="O521" s="2"/>
      <c r="P521" s="2" t="str">
        <f t="shared" si="32"/>
        <v/>
      </c>
      <c r="Q521" s="2"/>
      <c r="R521" s="2"/>
      <c r="S521" s="48"/>
      <c r="T521" s="2">
        <v>0</v>
      </c>
      <c r="U521" s="2">
        <v>0</v>
      </c>
      <c r="V521" s="1"/>
      <c r="W521" s="6"/>
      <c r="X521" s="1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>
        <f t="shared" si="33"/>
        <v>0</v>
      </c>
      <c r="AX521" s="3">
        <f t="shared" si="34"/>
        <v>0</v>
      </c>
      <c r="AY521" s="4">
        <f t="shared" si="35"/>
        <v>0</v>
      </c>
      <c r="AZ521" s="8" t="s">
        <v>5563</v>
      </c>
      <c r="BA521" s="4" t="s">
        <v>5726</v>
      </c>
      <c r="BB521" s="2"/>
      <c r="BC521" s="3"/>
      <c r="BD521" s="4"/>
    </row>
    <row r="522" spans="1:56" ht="16.8" customHeight="1">
      <c r="A522" s="1">
        <v>521</v>
      </c>
      <c r="B522" s="1" t="s">
        <v>1816</v>
      </c>
      <c r="C522" s="1" t="s">
        <v>1920</v>
      </c>
      <c r="D522" s="1" t="s">
        <v>1988</v>
      </c>
      <c r="E522" s="1" t="s">
        <v>1988</v>
      </c>
      <c r="F522" s="1" t="s">
        <v>1989</v>
      </c>
      <c r="G522" s="1" t="s">
        <v>1990</v>
      </c>
      <c r="H522" s="1" t="s">
        <v>5085</v>
      </c>
      <c r="I522" s="18" t="s">
        <v>4783</v>
      </c>
      <c r="J522" s="18" t="s">
        <v>5018</v>
      </c>
      <c r="K522" s="18" t="s">
        <v>4884</v>
      </c>
      <c r="L522" s="18" t="s">
        <v>4734</v>
      </c>
      <c r="M522" s="2">
        <v>1500000</v>
      </c>
      <c r="N522" s="2">
        <v>1500000</v>
      </c>
      <c r="O522" s="2"/>
      <c r="P522" s="2" t="str">
        <f t="shared" si="32"/>
        <v/>
      </c>
      <c r="Q522" s="2"/>
      <c r="R522" s="2"/>
      <c r="S522" s="48"/>
      <c r="T522" s="2">
        <v>0</v>
      </c>
      <c r="U522" s="2">
        <v>0</v>
      </c>
      <c r="V522" s="1"/>
      <c r="W522" s="6"/>
      <c r="X522" s="1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>
        <f t="shared" si="33"/>
        <v>0</v>
      </c>
      <c r="AX522" s="3">
        <f t="shared" si="34"/>
        <v>0</v>
      </c>
      <c r="AY522" s="4">
        <f t="shared" si="35"/>
        <v>0</v>
      </c>
      <c r="AZ522" s="8">
        <v>0</v>
      </c>
      <c r="BA522" s="4" t="s">
        <v>5726</v>
      </c>
      <c r="BB522" s="2"/>
      <c r="BC522" s="3"/>
      <c r="BD522" s="4"/>
    </row>
    <row r="523" spans="1:56" ht="16.8" customHeight="1">
      <c r="A523" s="1">
        <v>522</v>
      </c>
      <c r="B523" s="1" t="s">
        <v>1816</v>
      </c>
      <c r="C523" s="1" t="s">
        <v>1920</v>
      </c>
      <c r="D523" s="1" t="s">
        <v>1991</v>
      </c>
      <c r="E523" s="1" t="s">
        <v>1991</v>
      </c>
      <c r="F523" s="1" t="s">
        <v>1992</v>
      </c>
      <c r="G523" s="1" t="s">
        <v>1180</v>
      </c>
      <c r="H523" s="1" t="s">
        <v>5086</v>
      </c>
      <c r="I523" s="18" t="s">
        <v>4783</v>
      </c>
      <c r="J523" s="18" t="s">
        <v>4783</v>
      </c>
      <c r="K523" s="18" t="s">
        <v>4752</v>
      </c>
      <c r="L523" s="18" t="s">
        <v>4734</v>
      </c>
      <c r="M523" s="2">
        <v>1600000</v>
      </c>
      <c r="N523" s="2">
        <v>1600000</v>
      </c>
      <c r="O523" s="2"/>
      <c r="P523" s="2" t="str">
        <f t="shared" si="32"/>
        <v/>
      </c>
      <c r="Q523" s="2"/>
      <c r="R523" s="2"/>
      <c r="S523" s="48"/>
      <c r="T523" s="2">
        <v>4800000</v>
      </c>
      <c r="U523" s="2">
        <v>0</v>
      </c>
      <c r="V523" s="1" t="s">
        <v>1180</v>
      </c>
      <c r="W523" s="6" t="s">
        <v>1993</v>
      </c>
      <c r="X523" s="1" t="s">
        <v>1830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>
        <v>1600000</v>
      </c>
      <c r="AI523" s="3">
        <v>1600000</v>
      </c>
      <c r="AJ523" s="3">
        <v>1600000</v>
      </c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>
        <f t="shared" si="33"/>
        <v>4800000</v>
      </c>
      <c r="AX523" s="3">
        <f t="shared" si="34"/>
        <v>0</v>
      </c>
      <c r="AY523" s="4">
        <f t="shared" si="35"/>
        <v>3</v>
      </c>
      <c r="AZ523" s="8" t="s">
        <v>5564</v>
      </c>
      <c r="BA523" s="4" t="s">
        <v>5726</v>
      </c>
      <c r="BB523" s="2"/>
      <c r="BC523" s="3"/>
      <c r="BD523" s="4"/>
    </row>
    <row r="524" spans="1:56" ht="16.8" customHeight="1">
      <c r="A524" s="1">
        <v>523</v>
      </c>
      <c r="B524" s="1" t="s">
        <v>1816</v>
      </c>
      <c r="C524" s="1" t="s">
        <v>1920</v>
      </c>
      <c r="D524" s="1" t="s">
        <v>1994</v>
      </c>
      <c r="E524" s="1" t="s">
        <v>1994</v>
      </c>
      <c r="F524" s="1" t="s">
        <v>1995</v>
      </c>
      <c r="G524" s="1" t="s">
        <v>688</v>
      </c>
      <c r="H524" s="1" t="s">
        <v>5087</v>
      </c>
      <c r="I524" s="18" t="s">
        <v>4783</v>
      </c>
      <c r="J524" s="18" t="s">
        <v>4783</v>
      </c>
      <c r="K524" s="18" t="s">
        <v>4752</v>
      </c>
      <c r="L524" s="18" t="s">
        <v>4734</v>
      </c>
      <c r="M524" s="2">
        <v>1800000</v>
      </c>
      <c r="N524" s="2">
        <v>1800000</v>
      </c>
      <c r="O524" s="2"/>
      <c r="P524" s="2" t="str">
        <f t="shared" si="32"/>
        <v/>
      </c>
      <c r="Q524" s="2"/>
      <c r="R524" s="2"/>
      <c r="S524" s="48"/>
      <c r="T524" s="2">
        <v>4500000</v>
      </c>
      <c r="U524" s="2">
        <v>0</v>
      </c>
      <c r="V524" s="1" t="s">
        <v>688</v>
      </c>
      <c r="W524" s="6" t="s">
        <v>1996</v>
      </c>
      <c r="X524" s="1" t="s">
        <v>1964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>
        <f t="shared" si="33"/>
        <v>0</v>
      </c>
      <c r="AX524" s="3">
        <f t="shared" si="34"/>
        <v>0</v>
      </c>
      <c r="AY524" s="4">
        <f t="shared" si="35"/>
        <v>0</v>
      </c>
      <c r="AZ524" s="8">
        <v>0</v>
      </c>
      <c r="BA524" s="4" t="s">
        <v>5726</v>
      </c>
      <c r="BB524" s="2"/>
      <c r="BC524" s="3"/>
      <c r="BD524" s="4"/>
    </row>
    <row r="525" spans="1:56" ht="16.8" customHeight="1">
      <c r="A525" s="1">
        <v>524</v>
      </c>
      <c r="B525" s="1" t="s">
        <v>1816</v>
      </c>
      <c r="C525" s="1" t="s">
        <v>1920</v>
      </c>
      <c r="D525" s="1" t="s">
        <v>1997</v>
      </c>
      <c r="E525" s="1" t="s">
        <v>1997</v>
      </c>
      <c r="F525" s="1" t="s">
        <v>1998</v>
      </c>
      <c r="G525" s="1" t="s">
        <v>1999</v>
      </c>
      <c r="H525" s="1" t="s">
        <v>5088</v>
      </c>
      <c r="I525" s="18" t="s">
        <v>4783</v>
      </c>
      <c r="J525" s="18" t="s">
        <v>4783</v>
      </c>
      <c r="K525" s="18" t="s">
        <v>4752</v>
      </c>
      <c r="L525" s="18" t="s">
        <v>4734</v>
      </c>
      <c r="M525" s="2">
        <v>1300000</v>
      </c>
      <c r="N525" s="2">
        <v>1300000</v>
      </c>
      <c r="O525" s="2"/>
      <c r="P525" s="2" t="str">
        <f t="shared" si="32"/>
        <v/>
      </c>
      <c r="Q525" s="2"/>
      <c r="R525" s="2"/>
      <c r="S525" s="48"/>
      <c r="T525" s="2">
        <v>3900000</v>
      </c>
      <c r="U525" s="2">
        <v>0</v>
      </c>
      <c r="V525" s="1" t="s">
        <v>1999</v>
      </c>
      <c r="W525" s="6" t="s">
        <v>2000</v>
      </c>
      <c r="X525" s="1" t="s">
        <v>1830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>
        <v>1300000</v>
      </c>
      <c r="AI525" s="3">
        <v>1300000</v>
      </c>
      <c r="AJ525" s="3">
        <v>1300000</v>
      </c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>
        <f t="shared" si="33"/>
        <v>3900000</v>
      </c>
      <c r="AX525" s="3">
        <f t="shared" si="34"/>
        <v>0</v>
      </c>
      <c r="AY525" s="4">
        <f t="shared" si="35"/>
        <v>3</v>
      </c>
      <c r="AZ525" s="8">
        <v>0</v>
      </c>
      <c r="BA525" s="4" t="s">
        <v>5726</v>
      </c>
      <c r="BB525" s="2"/>
      <c r="BC525" s="3"/>
      <c r="BD525" s="4"/>
    </row>
    <row r="526" spans="1:56" ht="16.8" customHeight="1">
      <c r="A526" s="1">
        <v>525</v>
      </c>
      <c r="B526" s="1" t="s">
        <v>1816</v>
      </c>
      <c r="C526" s="1" t="s">
        <v>1920</v>
      </c>
      <c r="D526" s="1" t="s">
        <v>2001</v>
      </c>
      <c r="E526" s="1" t="s">
        <v>2001</v>
      </c>
      <c r="F526" s="1" t="s">
        <v>2002</v>
      </c>
      <c r="G526" s="1" t="s">
        <v>2003</v>
      </c>
      <c r="H526" s="1" t="s">
        <v>5089</v>
      </c>
      <c r="I526" s="18" t="s">
        <v>4783</v>
      </c>
      <c r="J526" s="18" t="s">
        <v>4783</v>
      </c>
      <c r="K526" s="18" t="s">
        <v>4752</v>
      </c>
      <c r="L526" s="18" t="s">
        <v>4734</v>
      </c>
      <c r="M526" s="2">
        <v>1500000</v>
      </c>
      <c r="N526" s="2">
        <v>1500000</v>
      </c>
      <c r="O526" s="2"/>
      <c r="P526" s="2" t="str">
        <f t="shared" si="32"/>
        <v/>
      </c>
      <c r="Q526" s="2"/>
      <c r="R526" s="2"/>
      <c r="S526" s="48"/>
      <c r="T526" s="2">
        <v>4500000</v>
      </c>
      <c r="U526" s="2">
        <v>0</v>
      </c>
      <c r="V526" s="1" t="s">
        <v>2003</v>
      </c>
      <c r="W526" s="6" t="s">
        <v>2004</v>
      </c>
      <c r="X526" s="1" t="s">
        <v>1830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>
        <v>1500000</v>
      </c>
      <c r="AI526" s="3">
        <v>1500000</v>
      </c>
      <c r="AJ526" s="3">
        <v>1500000</v>
      </c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>
        <f t="shared" si="33"/>
        <v>4500000</v>
      </c>
      <c r="AX526" s="3">
        <f t="shared" si="34"/>
        <v>0</v>
      </c>
      <c r="AY526" s="4">
        <f t="shared" si="35"/>
        <v>3</v>
      </c>
      <c r="AZ526" s="8">
        <v>0</v>
      </c>
      <c r="BA526" s="4" t="s">
        <v>5726</v>
      </c>
      <c r="BB526" s="2"/>
      <c r="BC526" s="3"/>
      <c r="BD526" s="4"/>
    </row>
    <row r="527" spans="1:56" ht="16.8" customHeight="1">
      <c r="A527" s="1">
        <v>526</v>
      </c>
      <c r="B527" s="1" t="s">
        <v>1816</v>
      </c>
      <c r="C527" s="1" t="s">
        <v>1920</v>
      </c>
      <c r="D527" s="1" t="s">
        <v>2005</v>
      </c>
      <c r="E527" s="1" t="s">
        <v>2005</v>
      </c>
      <c r="F527" s="1" t="s">
        <v>2006</v>
      </c>
      <c r="G527" s="1" t="s">
        <v>2007</v>
      </c>
      <c r="H527" s="1" t="s">
        <v>5090</v>
      </c>
      <c r="I527" s="18" t="s">
        <v>4783</v>
      </c>
      <c r="J527" s="18" t="s">
        <v>5074</v>
      </c>
      <c r="K527" s="18" t="s">
        <v>4752</v>
      </c>
      <c r="L527" s="18" t="s">
        <v>4734</v>
      </c>
      <c r="M527" s="2">
        <v>1800000</v>
      </c>
      <c r="N527" s="2">
        <v>1800000</v>
      </c>
      <c r="O527" s="2"/>
      <c r="P527" s="2" t="str">
        <f t="shared" si="32"/>
        <v/>
      </c>
      <c r="Q527" s="2"/>
      <c r="R527" s="2"/>
      <c r="S527" s="48"/>
      <c r="T527" s="2">
        <v>18000000</v>
      </c>
      <c r="U527" s="2">
        <v>0</v>
      </c>
      <c r="V527" s="1" t="s">
        <v>2008</v>
      </c>
      <c r="W527" s="6" t="s">
        <v>2009</v>
      </c>
      <c r="X527" s="1" t="s">
        <v>2010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>
        <f t="shared" si="33"/>
        <v>0</v>
      </c>
      <c r="AX527" s="3">
        <f t="shared" si="34"/>
        <v>0</v>
      </c>
      <c r="AY527" s="4">
        <f t="shared" si="35"/>
        <v>0</v>
      </c>
      <c r="AZ527" s="8">
        <v>0</v>
      </c>
      <c r="BA527" s="4" t="s">
        <v>5726</v>
      </c>
      <c r="BB527" s="2"/>
      <c r="BC527" s="3"/>
      <c r="BD527" s="4"/>
    </row>
    <row r="528" spans="1:56" ht="16.8" customHeight="1">
      <c r="A528" s="1">
        <v>527</v>
      </c>
      <c r="B528" s="1" t="s">
        <v>1816</v>
      </c>
      <c r="C528" s="1" t="s">
        <v>1920</v>
      </c>
      <c r="D528" s="1" t="s">
        <v>2011</v>
      </c>
      <c r="E528" s="1" t="s">
        <v>2011</v>
      </c>
      <c r="F528" s="1" t="s">
        <v>2012</v>
      </c>
      <c r="G528" s="1" t="s">
        <v>2013</v>
      </c>
      <c r="H528" s="1" t="s">
        <v>5091</v>
      </c>
      <c r="I528" s="18" t="s">
        <v>4783</v>
      </c>
      <c r="J528" s="18" t="s">
        <v>4783</v>
      </c>
      <c r="K528" s="18" t="s">
        <v>4752</v>
      </c>
      <c r="L528" s="18" t="s">
        <v>4734</v>
      </c>
      <c r="M528" s="2">
        <v>1500000</v>
      </c>
      <c r="N528" s="2">
        <v>1500000</v>
      </c>
      <c r="O528" s="2"/>
      <c r="P528" s="2" t="str">
        <f t="shared" si="32"/>
        <v/>
      </c>
      <c r="Q528" s="2"/>
      <c r="R528" s="2"/>
      <c r="S528" s="48"/>
      <c r="T528" s="2">
        <v>4500000</v>
      </c>
      <c r="U528" s="2">
        <v>0</v>
      </c>
      <c r="V528" s="1" t="s">
        <v>2013</v>
      </c>
      <c r="W528" s="6" t="s">
        <v>2014</v>
      </c>
      <c r="X528" s="1" t="s">
        <v>1860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>
        <v>1500000</v>
      </c>
      <c r="AI528" s="3">
        <v>1500000</v>
      </c>
      <c r="AJ528" s="3">
        <v>1500000</v>
      </c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>
        <f t="shared" si="33"/>
        <v>4500000</v>
      </c>
      <c r="AX528" s="3">
        <f t="shared" si="34"/>
        <v>0</v>
      </c>
      <c r="AY528" s="4">
        <f t="shared" si="35"/>
        <v>3</v>
      </c>
      <c r="AZ528" s="8">
        <v>0</v>
      </c>
      <c r="BA528" s="4" t="s">
        <v>5726</v>
      </c>
      <c r="BB528" s="2"/>
      <c r="BC528" s="3"/>
      <c r="BD528" s="4"/>
    </row>
    <row r="529" spans="1:56" ht="16.8" customHeight="1">
      <c r="A529" s="1">
        <v>528</v>
      </c>
      <c r="B529" s="1" t="s">
        <v>1816</v>
      </c>
      <c r="C529" s="1" t="s">
        <v>1920</v>
      </c>
      <c r="D529" s="1" t="s">
        <v>2015</v>
      </c>
      <c r="E529" s="1" t="s">
        <v>2015</v>
      </c>
      <c r="F529" s="1" t="s">
        <v>2016</v>
      </c>
      <c r="G529" s="1" t="s">
        <v>2017</v>
      </c>
      <c r="H529" s="1" t="s">
        <v>5092</v>
      </c>
      <c r="I529" s="18" t="s">
        <v>4783</v>
      </c>
      <c r="J529" s="18" t="s">
        <v>4783</v>
      </c>
      <c r="K529" s="18" t="s">
        <v>4752</v>
      </c>
      <c r="L529" s="18" t="s">
        <v>4734</v>
      </c>
      <c r="M529" s="2">
        <v>1500000</v>
      </c>
      <c r="N529" s="2">
        <v>1500000</v>
      </c>
      <c r="O529" s="2"/>
      <c r="P529" s="2" t="str">
        <f t="shared" si="32"/>
        <v/>
      </c>
      <c r="Q529" s="2"/>
      <c r="R529" s="2"/>
      <c r="S529" s="48"/>
      <c r="T529" s="2">
        <v>4500000</v>
      </c>
      <c r="U529" s="2">
        <v>0</v>
      </c>
      <c r="V529" s="1" t="s">
        <v>2017</v>
      </c>
      <c r="W529" s="6" t="s">
        <v>2018</v>
      </c>
      <c r="X529" s="1" t="s">
        <v>1860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>
        <v>1500000</v>
      </c>
      <c r="AI529" s="3">
        <v>1500000</v>
      </c>
      <c r="AJ529" s="3">
        <v>1500000</v>
      </c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>
        <f t="shared" si="33"/>
        <v>4500000</v>
      </c>
      <c r="AX529" s="3">
        <f t="shared" si="34"/>
        <v>0</v>
      </c>
      <c r="AY529" s="4">
        <f t="shared" si="35"/>
        <v>3</v>
      </c>
      <c r="AZ529" s="8">
        <v>0</v>
      </c>
      <c r="BA529" s="4" t="s">
        <v>5726</v>
      </c>
      <c r="BB529" s="2"/>
      <c r="BC529" s="3"/>
      <c r="BD529" s="4"/>
    </row>
    <row r="530" spans="1:56" ht="16.8" customHeight="1">
      <c r="A530" s="1">
        <v>529</v>
      </c>
      <c r="B530" s="1" t="s">
        <v>1816</v>
      </c>
      <c r="C530" s="1" t="s">
        <v>1920</v>
      </c>
      <c r="D530" s="1" t="s">
        <v>2019</v>
      </c>
      <c r="E530" s="1" t="s">
        <v>2019</v>
      </c>
      <c r="F530" s="1" t="s">
        <v>2020</v>
      </c>
      <c r="G530" s="1" t="s">
        <v>2021</v>
      </c>
      <c r="H530" s="1" t="s">
        <v>5093</v>
      </c>
      <c r="I530" s="18" t="s">
        <v>4783</v>
      </c>
      <c r="J530" s="18" t="s">
        <v>4783</v>
      </c>
      <c r="K530" s="18" t="s">
        <v>4733</v>
      </c>
      <c r="L530" s="18" t="s">
        <v>4734</v>
      </c>
      <c r="M530" s="2">
        <v>1600000</v>
      </c>
      <c r="N530" s="2">
        <v>1600000</v>
      </c>
      <c r="O530" s="2"/>
      <c r="P530" s="2" t="str">
        <f t="shared" si="32"/>
        <v/>
      </c>
      <c r="Q530" s="2"/>
      <c r="R530" s="2"/>
      <c r="S530" s="48"/>
      <c r="T530" s="2">
        <v>4800000</v>
      </c>
      <c r="U530" s="2">
        <v>0</v>
      </c>
      <c r="V530" s="1" t="s">
        <v>2021</v>
      </c>
      <c r="W530" s="6" t="s">
        <v>2022</v>
      </c>
      <c r="X530" s="1" t="s">
        <v>1830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>
        <v>1600000</v>
      </c>
      <c r="AI530" s="3">
        <v>1600000</v>
      </c>
      <c r="AJ530" s="3">
        <v>1600000</v>
      </c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>
        <f t="shared" si="33"/>
        <v>4800000</v>
      </c>
      <c r="AX530" s="3">
        <f t="shared" si="34"/>
        <v>0</v>
      </c>
      <c r="AY530" s="4">
        <f t="shared" si="35"/>
        <v>3</v>
      </c>
      <c r="AZ530" s="8">
        <v>0</v>
      </c>
      <c r="BA530" s="4" t="s">
        <v>5726</v>
      </c>
      <c r="BB530" s="2"/>
      <c r="BC530" s="3"/>
      <c r="BD530" s="4"/>
    </row>
    <row r="531" spans="1:56" ht="16.8" customHeight="1">
      <c r="A531" s="1">
        <v>530</v>
      </c>
      <c r="B531" s="1" t="s">
        <v>1816</v>
      </c>
      <c r="C531" s="1" t="s">
        <v>1920</v>
      </c>
      <c r="D531" s="1" t="s">
        <v>2023</v>
      </c>
      <c r="E531" s="1" t="s">
        <v>2023</v>
      </c>
      <c r="F531" s="1" t="s">
        <v>2024</v>
      </c>
      <c r="G531" s="1" t="s">
        <v>2025</v>
      </c>
      <c r="H531" s="1" t="s">
        <v>5094</v>
      </c>
      <c r="I531" s="18" t="s">
        <v>4783</v>
      </c>
      <c r="J531" s="18" t="s">
        <v>4783</v>
      </c>
      <c r="K531" s="18" t="s">
        <v>4752</v>
      </c>
      <c r="L531" s="18" t="s">
        <v>4734</v>
      </c>
      <c r="M531" s="2">
        <v>1600000</v>
      </c>
      <c r="N531" s="2">
        <v>1600000</v>
      </c>
      <c r="O531" s="2"/>
      <c r="P531" s="2" t="str">
        <f t="shared" si="32"/>
        <v/>
      </c>
      <c r="Q531" s="2"/>
      <c r="R531" s="2"/>
      <c r="S531" s="48"/>
      <c r="T531" s="2">
        <v>4800000</v>
      </c>
      <c r="U531" s="2">
        <v>0</v>
      </c>
      <c r="V531" s="1" t="s">
        <v>2025</v>
      </c>
      <c r="W531" s="6" t="s">
        <v>2026</v>
      </c>
      <c r="X531" s="1" t="s">
        <v>1830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>
        <v>1600000</v>
      </c>
      <c r="AI531" s="3">
        <v>1600000</v>
      </c>
      <c r="AJ531" s="3">
        <v>1600000</v>
      </c>
      <c r="AK531" s="3">
        <v>1600000</v>
      </c>
      <c r="AL531" s="3">
        <v>1600000</v>
      </c>
      <c r="AM531" s="3">
        <v>1600000</v>
      </c>
      <c r="AN531" s="3">
        <v>1600000</v>
      </c>
      <c r="AO531" s="3">
        <v>1600000</v>
      </c>
      <c r="AP531" s="3">
        <v>1600000</v>
      </c>
      <c r="AQ531" s="3"/>
      <c r="AR531" s="3"/>
      <c r="AS531" s="3"/>
      <c r="AT531" s="3"/>
      <c r="AU531" s="3"/>
      <c r="AV531" s="3"/>
      <c r="AW531" s="3">
        <f t="shared" si="33"/>
        <v>4800000</v>
      </c>
      <c r="AX531" s="3">
        <f t="shared" si="34"/>
        <v>9600000</v>
      </c>
      <c r="AY531" s="4">
        <f t="shared" si="35"/>
        <v>9</v>
      </c>
      <c r="AZ531" s="8">
        <v>0</v>
      </c>
      <c r="BA531" s="4" t="s">
        <v>5715</v>
      </c>
      <c r="BB531" s="2"/>
      <c r="BC531" s="3"/>
      <c r="BD531" s="3"/>
    </row>
    <row r="532" spans="1:56" ht="16.8" customHeight="1">
      <c r="A532" s="1">
        <v>531</v>
      </c>
      <c r="B532" s="1" t="s">
        <v>1816</v>
      </c>
      <c r="C532" s="1" t="s">
        <v>1920</v>
      </c>
      <c r="D532" s="1" t="s">
        <v>2027</v>
      </c>
      <c r="E532" s="1" t="s">
        <v>2027</v>
      </c>
      <c r="F532" s="1" t="s">
        <v>2028</v>
      </c>
      <c r="G532" s="1" t="s">
        <v>2029</v>
      </c>
      <c r="H532" s="1" t="s">
        <v>5095</v>
      </c>
      <c r="I532" s="18" t="s">
        <v>4783</v>
      </c>
      <c r="J532" s="18" t="s">
        <v>4783</v>
      </c>
      <c r="K532" s="18" t="s">
        <v>4733</v>
      </c>
      <c r="L532" s="18" t="s">
        <v>4734</v>
      </c>
      <c r="M532" s="2">
        <v>2000000</v>
      </c>
      <c r="N532" s="2">
        <v>2000000</v>
      </c>
      <c r="O532" s="2"/>
      <c r="P532" s="2" t="str">
        <f t="shared" si="32"/>
        <v/>
      </c>
      <c r="Q532" s="2"/>
      <c r="R532" s="2"/>
      <c r="S532" s="48"/>
      <c r="T532" s="2">
        <v>4800000</v>
      </c>
      <c r="U532" s="2">
        <v>0</v>
      </c>
      <c r="V532" s="1" t="s">
        <v>2029</v>
      </c>
      <c r="W532" s="6" t="s">
        <v>2030</v>
      </c>
      <c r="X532" s="1" t="s">
        <v>1830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>
        <f t="shared" si="33"/>
        <v>0</v>
      </c>
      <c r="AX532" s="3">
        <f t="shared" si="34"/>
        <v>0</v>
      </c>
      <c r="AY532" s="4">
        <f t="shared" si="35"/>
        <v>0</v>
      </c>
      <c r="AZ532" s="8">
        <v>0</v>
      </c>
      <c r="BA532" s="4" t="s">
        <v>5726</v>
      </c>
      <c r="BB532" s="2"/>
      <c r="BC532" s="3"/>
      <c r="BD532" s="4"/>
    </row>
    <row r="533" spans="1:56" ht="16.8" customHeight="1">
      <c r="A533" s="1">
        <v>532</v>
      </c>
      <c r="B533" s="1" t="s">
        <v>1816</v>
      </c>
      <c r="C533" s="1" t="s">
        <v>1920</v>
      </c>
      <c r="D533" s="1" t="s">
        <v>2031</v>
      </c>
      <c r="E533" s="1" t="s">
        <v>2031</v>
      </c>
      <c r="F533" s="1" t="s">
        <v>2032</v>
      </c>
      <c r="G533" s="1" t="s">
        <v>2033</v>
      </c>
      <c r="H533" s="1" t="s">
        <v>5096</v>
      </c>
      <c r="I533" s="18" t="s">
        <v>4783</v>
      </c>
      <c r="J533" s="18" t="s">
        <v>4783</v>
      </c>
      <c r="K533" s="18" t="s">
        <v>4752</v>
      </c>
      <c r="L533" s="18" t="s">
        <v>4734</v>
      </c>
      <c r="M533" s="2">
        <v>400000</v>
      </c>
      <c r="N533" s="2">
        <v>400000</v>
      </c>
      <c r="O533" s="2"/>
      <c r="P533" s="2" t="str">
        <f t="shared" si="32"/>
        <v/>
      </c>
      <c r="Q533" s="2"/>
      <c r="R533" s="2"/>
      <c r="S533" s="48"/>
      <c r="T533" s="2">
        <v>750000</v>
      </c>
      <c r="U533" s="2">
        <v>0</v>
      </c>
      <c r="V533" s="1" t="s">
        <v>2034</v>
      </c>
      <c r="W533" s="6" t="s">
        <v>2035</v>
      </c>
      <c r="X533" s="1" t="s">
        <v>333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>
        <f t="shared" si="33"/>
        <v>0</v>
      </c>
      <c r="AX533" s="3">
        <f t="shared" si="34"/>
        <v>0</v>
      </c>
      <c r="AY533" s="4">
        <f t="shared" si="35"/>
        <v>0</v>
      </c>
      <c r="AZ533" s="8" t="s">
        <v>5564</v>
      </c>
      <c r="BA533" s="4" t="s">
        <v>5726</v>
      </c>
      <c r="BB533" s="2"/>
      <c r="BC533" s="3"/>
      <c r="BD533" s="3"/>
    </row>
    <row r="534" spans="1:56" ht="16.8" customHeight="1">
      <c r="A534" s="1">
        <v>533</v>
      </c>
      <c r="B534" s="1" t="s">
        <v>1816</v>
      </c>
      <c r="C534" s="1" t="s">
        <v>1920</v>
      </c>
      <c r="D534" s="1" t="s">
        <v>2036</v>
      </c>
      <c r="E534" s="1" t="s">
        <v>2036</v>
      </c>
      <c r="F534" s="1" t="s">
        <v>2037</v>
      </c>
      <c r="G534" s="1" t="s">
        <v>2038</v>
      </c>
      <c r="H534" s="1" t="s">
        <v>5097</v>
      </c>
      <c r="I534" s="18" t="s">
        <v>4783</v>
      </c>
      <c r="J534" s="18" t="s">
        <v>4783</v>
      </c>
      <c r="K534" s="18" t="s">
        <v>4733</v>
      </c>
      <c r="L534" s="18" t="s">
        <v>4734</v>
      </c>
      <c r="M534" s="2">
        <v>1600000</v>
      </c>
      <c r="N534" s="2">
        <v>1600000</v>
      </c>
      <c r="O534" s="2"/>
      <c r="P534" s="2" t="str">
        <f t="shared" si="32"/>
        <v/>
      </c>
      <c r="Q534" s="2"/>
      <c r="R534" s="2"/>
      <c r="S534" s="48"/>
      <c r="T534" s="2">
        <v>4800000</v>
      </c>
      <c r="U534" s="2">
        <v>0</v>
      </c>
      <c r="V534" s="1" t="s">
        <v>2038</v>
      </c>
      <c r="W534" s="6" t="s">
        <v>2039</v>
      </c>
      <c r="X534" s="1" t="s">
        <v>1830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>
        <v>1600000</v>
      </c>
      <c r="AI534" s="3">
        <v>1600000</v>
      </c>
      <c r="AJ534" s="3">
        <v>1600000</v>
      </c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>
        <f t="shared" si="33"/>
        <v>4800000</v>
      </c>
      <c r="AX534" s="3">
        <f t="shared" si="34"/>
        <v>0</v>
      </c>
      <c r="AY534" s="4">
        <f t="shared" si="35"/>
        <v>3</v>
      </c>
      <c r="AZ534" s="8">
        <v>0</v>
      </c>
      <c r="BA534" s="4" t="s">
        <v>5726</v>
      </c>
      <c r="BB534" s="2"/>
      <c r="BC534" s="3"/>
      <c r="BD534" s="4"/>
    </row>
    <row r="535" spans="1:56" ht="16.8" customHeight="1">
      <c r="A535" s="1">
        <v>534</v>
      </c>
      <c r="B535" s="1" t="s">
        <v>1816</v>
      </c>
      <c r="C535" s="1" t="s">
        <v>1920</v>
      </c>
      <c r="D535" s="1" t="s">
        <v>2040</v>
      </c>
      <c r="E535" s="1" t="s">
        <v>2040</v>
      </c>
      <c r="F535" s="1" t="s">
        <v>2041</v>
      </c>
      <c r="G535" s="1" t="s">
        <v>2042</v>
      </c>
      <c r="H535" s="1" t="s">
        <v>5098</v>
      </c>
      <c r="I535" s="18" t="s">
        <v>4783</v>
      </c>
      <c r="J535" s="18" t="s">
        <v>4783</v>
      </c>
      <c r="K535" s="18" t="s">
        <v>4752</v>
      </c>
      <c r="L535" s="18" t="s">
        <v>4734</v>
      </c>
      <c r="M535" s="2">
        <v>1600000</v>
      </c>
      <c r="N535" s="2">
        <v>1600000</v>
      </c>
      <c r="O535" s="2"/>
      <c r="P535" s="2" t="str">
        <f t="shared" si="32"/>
        <v/>
      </c>
      <c r="Q535" s="2"/>
      <c r="R535" s="2"/>
      <c r="S535" s="48"/>
      <c r="T535" s="2">
        <v>4800000</v>
      </c>
      <c r="U535" s="2">
        <v>0</v>
      </c>
      <c r="V535" s="1" t="s">
        <v>2043</v>
      </c>
      <c r="W535" s="6" t="s">
        <v>2044</v>
      </c>
      <c r="X535" s="1" t="s">
        <v>1830</v>
      </c>
      <c r="Y535" s="3"/>
      <c r="Z535" s="3"/>
      <c r="AA535" s="3"/>
      <c r="AB535" s="3"/>
      <c r="AC535" s="3"/>
      <c r="AD535" s="3"/>
      <c r="AE535" s="3"/>
      <c r="AF535" s="3"/>
      <c r="AG535" s="3"/>
      <c r="AH535" s="3">
        <v>1600000</v>
      </c>
      <c r="AI535" s="3">
        <v>1600000</v>
      </c>
      <c r="AJ535" s="3">
        <v>1600000</v>
      </c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>
        <f t="shared" si="33"/>
        <v>4800000</v>
      </c>
      <c r="AX535" s="3">
        <f t="shared" si="34"/>
        <v>0</v>
      </c>
      <c r="AY535" s="4">
        <f t="shared" si="35"/>
        <v>3</v>
      </c>
      <c r="AZ535" s="8">
        <v>0</v>
      </c>
      <c r="BA535" s="4" t="s">
        <v>5726</v>
      </c>
      <c r="BB535" s="2"/>
      <c r="BC535" s="3"/>
      <c r="BD535" s="4"/>
    </row>
    <row r="536" spans="1:56" ht="16.8" customHeight="1">
      <c r="A536" s="1">
        <v>535</v>
      </c>
      <c r="B536" s="1" t="s">
        <v>1816</v>
      </c>
      <c r="C536" s="1" t="s">
        <v>1920</v>
      </c>
      <c r="D536" s="1" t="s">
        <v>2045</v>
      </c>
      <c r="E536" s="1" t="s">
        <v>2045</v>
      </c>
      <c r="F536" s="1" t="s">
        <v>2046</v>
      </c>
      <c r="G536" s="1" t="s">
        <v>2047</v>
      </c>
      <c r="H536" s="1" t="s">
        <v>5099</v>
      </c>
      <c r="I536" s="18" t="s">
        <v>4783</v>
      </c>
      <c r="J536" s="18" t="s">
        <v>4783</v>
      </c>
      <c r="K536" s="18" t="s">
        <v>4733</v>
      </c>
      <c r="L536" s="18" t="s">
        <v>4734</v>
      </c>
      <c r="M536" s="2">
        <v>1600000</v>
      </c>
      <c r="N536" s="2">
        <v>1600000</v>
      </c>
      <c r="O536" s="2"/>
      <c r="P536" s="2" t="str">
        <f t="shared" si="32"/>
        <v/>
      </c>
      <c r="Q536" s="2"/>
      <c r="R536" s="2"/>
      <c r="S536" s="48"/>
      <c r="T536" s="2">
        <v>4800000</v>
      </c>
      <c r="U536" s="2">
        <v>0</v>
      </c>
      <c r="V536" s="1" t="s">
        <v>2047</v>
      </c>
      <c r="W536" s="6" t="s">
        <v>2048</v>
      </c>
      <c r="X536" s="1" t="s">
        <v>1830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>
        <v>1600000</v>
      </c>
      <c r="AI536" s="3">
        <v>1600000</v>
      </c>
      <c r="AJ536" s="3">
        <v>1600000</v>
      </c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>
        <f t="shared" si="33"/>
        <v>4800000</v>
      </c>
      <c r="AX536" s="3">
        <f t="shared" si="34"/>
        <v>0</v>
      </c>
      <c r="AY536" s="4">
        <f t="shared" si="35"/>
        <v>3</v>
      </c>
      <c r="AZ536" s="8">
        <v>0</v>
      </c>
      <c r="BA536" s="4" t="s">
        <v>5726</v>
      </c>
      <c r="BB536" s="2"/>
      <c r="BC536" s="3"/>
      <c r="BD536" s="4"/>
    </row>
    <row r="537" spans="1:56" ht="16.8" customHeight="1">
      <c r="A537" s="1">
        <v>536</v>
      </c>
      <c r="B537" s="1" t="s">
        <v>1816</v>
      </c>
      <c r="C537" s="1" t="s">
        <v>2049</v>
      </c>
      <c r="D537" s="1" t="s">
        <v>2050</v>
      </c>
      <c r="E537" s="1" t="s">
        <v>2050</v>
      </c>
      <c r="F537" s="1" t="s">
        <v>2051</v>
      </c>
      <c r="G537" s="1" t="s">
        <v>2052</v>
      </c>
      <c r="H537" s="1" t="s">
        <v>5100</v>
      </c>
      <c r="I537" s="18" t="s">
        <v>4783</v>
      </c>
      <c r="J537" s="18" t="s">
        <v>5018</v>
      </c>
      <c r="K537" s="18" t="s">
        <v>5101</v>
      </c>
      <c r="L537" s="18"/>
      <c r="M537" s="2">
        <v>6500000</v>
      </c>
      <c r="N537" s="2">
        <v>6500000</v>
      </c>
      <c r="O537" s="2"/>
      <c r="P537" s="2" t="str">
        <f t="shared" si="32"/>
        <v/>
      </c>
      <c r="Q537" s="2"/>
      <c r="R537" s="2"/>
      <c r="S537" s="48"/>
      <c r="T537" s="2">
        <v>0</v>
      </c>
      <c r="U537" s="2">
        <v>0</v>
      </c>
      <c r="V537" s="1"/>
      <c r="W537" s="6"/>
      <c r="X537" s="1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>
        <v>6500000</v>
      </c>
      <c r="AL537" s="3">
        <v>6500000</v>
      </c>
      <c r="AM537" s="3">
        <v>6500000</v>
      </c>
      <c r="AN537" s="3">
        <v>6500000</v>
      </c>
      <c r="AO537" s="3">
        <v>6500000</v>
      </c>
      <c r="AP537" s="3">
        <v>6500000</v>
      </c>
      <c r="AQ537" s="3"/>
      <c r="AR537" s="3"/>
      <c r="AS537" s="3"/>
      <c r="AT537" s="3"/>
      <c r="AU537" s="3"/>
      <c r="AV537" s="3"/>
      <c r="AW537" s="3">
        <f t="shared" si="33"/>
        <v>0</v>
      </c>
      <c r="AX537" s="3">
        <f t="shared" si="34"/>
        <v>39000000</v>
      </c>
      <c r="AY537" s="4">
        <f t="shared" si="35"/>
        <v>6</v>
      </c>
      <c r="BA537" s="4" t="s">
        <v>5726</v>
      </c>
      <c r="BB537" s="2">
        <v>39000000</v>
      </c>
      <c r="BC537" s="3"/>
      <c r="BD537" s="3"/>
    </row>
    <row r="538" spans="1:56" ht="16.8" customHeight="1">
      <c r="A538" s="1">
        <v>537</v>
      </c>
      <c r="B538" s="1" t="s">
        <v>1816</v>
      </c>
      <c r="C538" s="1" t="s">
        <v>2049</v>
      </c>
      <c r="D538" s="1" t="s">
        <v>2053</v>
      </c>
      <c r="E538" s="1" t="s">
        <v>2053</v>
      </c>
      <c r="F538" s="1" t="s">
        <v>2054</v>
      </c>
      <c r="G538" s="1" t="s">
        <v>2055</v>
      </c>
      <c r="H538" s="1" t="s">
        <v>3064</v>
      </c>
      <c r="I538" s="18" t="s">
        <v>5102</v>
      </c>
      <c r="J538" s="18" t="s">
        <v>5018</v>
      </c>
      <c r="K538" s="18" t="s">
        <v>4742</v>
      </c>
      <c r="L538" s="18" t="s">
        <v>4734</v>
      </c>
      <c r="M538" s="2">
        <v>2530000</v>
      </c>
      <c r="N538" s="2">
        <v>2530000</v>
      </c>
      <c r="O538" s="2"/>
      <c r="P538" s="2" t="str">
        <f t="shared" si="32"/>
        <v/>
      </c>
      <c r="Q538" s="2"/>
      <c r="R538" s="2"/>
      <c r="S538" s="48"/>
      <c r="T538" s="2">
        <v>24000000</v>
      </c>
      <c r="U538" s="2">
        <v>0</v>
      </c>
      <c r="V538" s="1"/>
      <c r="W538" s="6"/>
      <c r="X538" s="1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>
        <f t="shared" si="33"/>
        <v>0</v>
      </c>
      <c r="AX538" s="3">
        <f t="shared" si="34"/>
        <v>0</v>
      </c>
      <c r="AY538" s="4">
        <f t="shared" si="35"/>
        <v>0</v>
      </c>
      <c r="AZ538" s="8">
        <v>0</v>
      </c>
      <c r="BA538" s="4" t="s">
        <v>5726</v>
      </c>
      <c r="BB538" s="2"/>
      <c r="BC538" s="3"/>
      <c r="BD538" s="4"/>
    </row>
    <row r="539" spans="1:56" ht="16.8" customHeight="1">
      <c r="A539" s="1">
        <v>538</v>
      </c>
      <c r="B539" s="1" t="s">
        <v>1816</v>
      </c>
      <c r="C539" s="1" t="s">
        <v>2049</v>
      </c>
      <c r="D539" s="1" t="s">
        <v>2056</v>
      </c>
      <c r="E539" s="1" t="s">
        <v>2056</v>
      </c>
      <c r="F539" s="1" t="s">
        <v>2057</v>
      </c>
      <c r="G539" s="1" t="s">
        <v>2058</v>
      </c>
      <c r="H539" s="1" t="s">
        <v>5103</v>
      </c>
      <c r="I539" s="18" t="s">
        <v>4783</v>
      </c>
      <c r="J539" s="18" t="s">
        <v>5074</v>
      </c>
      <c r="K539" s="18" t="s">
        <v>4733</v>
      </c>
      <c r="L539" s="18" t="s">
        <v>4734</v>
      </c>
      <c r="M539" s="2">
        <v>2200000</v>
      </c>
      <c r="N539" s="2">
        <v>2200000</v>
      </c>
      <c r="O539" s="2"/>
      <c r="P539" s="2" t="str">
        <f t="shared" si="32"/>
        <v/>
      </c>
      <c r="Q539" s="2"/>
      <c r="R539" s="2"/>
      <c r="S539" s="48"/>
      <c r="T539" s="2">
        <v>26400000</v>
      </c>
      <c r="U539" s="2">
        <v>0</v>
      </c>
      <c r="V539" s="1" t="s">
        <v>2059</v>
      </c>
      <c r="W539" s="6" t="s">
        <v>2060</v>
      </c>
      <c r="X539" s="1" t="s">
        <v>2061</v>
      </c>
      <c r="Y539" s="3">
        <v>2200000</v>
      </c>
      <c r="Z539" s="3">
        <v>2200000</v>
      </c>
      <c r="AA539" s="3">
        <v>2200000</v>
      </c>
      <c r="AB539" s="3">
        <v>2200000</v>
      </c>
      <c r="AC539" s="3">
        <v>2200000</v>
      </c>
      <c r="AD539" s="3">
        <v>2200000</v>
      </c>
      <c r="AE539" s="3">
        <v>2200000</v>
      </c>
      <c r="AF539" s="3">
        <v>2200000</v>
      </c>
      <c r="AG539" s="3">
        <v>2200000</v>
      </c>
      <c r="AH539" s="3">
        <v>2200000</v>
      </c>
      <c r="AI539" s="3">
        <v>2200000</v>
      </c>
      <c r="AJ539" s="3">
        <v>2200000</v>
      </c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>
        <f t="shared" si="33"/>
        <v>26400000</v>
      </c>
      <c r="AX539" s="3">
        <f t="shared" si="34"/>
        <v>0</v>
      </c>
      <c r="AY539" s="4">
        <f t="shared" si="35"/>
        <v>12</v>
      </c>
      <c r="AZ539" s="8">
        <v>0</v>
      </c>
      <c r="BA539" s="4" t="s">
        <v>5726</v>
      </c>
      <c r="BB539" s="2"/>
      <c r="BC539" s="3"/>
      <c r="BD539" s="4"/>
    </row>
    <row r="540" spans="1:56" ht="16.8" customHeight="1">
      <c r="A540" s="1">
        <v>539</v>
      </c>
      <c r="B540" s="1" t="s">
        <v>1816</v>
      </c>
      <c r="C540" s="1" t="s">
        <v>2049</v>
      </c>
      <c r="D540" s="1" t="s">
        <v>2062</v>
      </c>
      <c r="E540" s="1" t="s">
        <v>2062</v>
      </c>
      <c r="F540" s="1" t="s">
        <v>2063</v>
      </c>
      <c r="G540" s="1" t="s">
        <v>2064</v>
      </c>
      <c r="H540" s="1" t="s">
        <v>5104</v>
      </c>
      <c r="I540" s="18" t="s">
        <v>4783</v>
      </c>
      <c r="J540" s="18" t="s">
        <v>4783</v>
      </c>
      <c r="K540" s="18" t="s">
        <v>5105</v>
      </c>
      <c r="L540" s="18" t="s">
        <v>4734</v>
      </c>
      <c r="M540" s="2">
        <v>4500000</v>
      </c>
      <c r="N540" s="2">
        <v>4500000</v>
      </c>
      <c r="O540" s="2"/>
      <c r="P540" s="2" t="str">
        <f t="shared" si="32"/>
        <v/>
      </c>
      <c r="Q540" s="2"/>
      <c r="R540" s="2"/>
      <c r="S540" s="48"/>
      <c r="T540" s="2">
        <v>0</v>
      </c>
      <c r="U540" s="2">
        <v>0</v>
      </c>
      <c r="V540" s="1" t="s">
        <v>2064</v>
      </c>
      <c r="W540" s="6" t="s">
        <v>2065</v>
      </c>
      <c r="X540" s="1" t="s">
        <v>2066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>
        <v>4500000</v>
      </c>
      <c r="AK540" s="3">
        <v>4500000</v>
      </c>
      <c r="AL540" s="3">
        <v>4500000</v>
      </c>
      <c r="AM540" s="3">
        <v>4500000</v>
      </c>
      <c r="AN540" s="3">
        <v>4500000</v>
      </c>
      <c r="AO540" s="3">
        <v>4500000</v>
      </c>
      <c r="AP540" s="3">
        <v>4500000</v>
      </c>
      <c r="AQ540" s="3">
        <v>4500000</v>
      </c>
      <c r="AR540" s="3"/>
      <c r="AS540" s="3"/>
      <c r="AT540" s="3"/>
      <c r="AU540" s="3"/>
      <c r="AV540" s="3"/>
      <c r="AW540" s="3">
        <f t="shared" si="33"/>
        <v>4500000</v>
      </c>
      <c r="AX540" s="3">
        <f t="shared" si="34"/>
        <v>31500000</v>
      </c>
      <c r="AY540" s="4">
        <f t="shared" si="35"/>
        <v>8</v>
      </c>
      <c r="AZ540" s="8" t="s">
        <v>5565</v>
      </c>
      <c r="BA540" s="4" t="s">
        <v>5726</v>
      </c>
      <c r="BB540" s="2">
        <v>13500000</v>
      </c>
      <c r="BC540" s="3"/>
      <c r="BD540" s="3"/>
    </row>
    <row r="541" spans="1:56" ht="16.8" customHeight="1">
      <c r="A541" s="1">
        <v>540</v>
      </c>
      <c r="B541" s="1" t="s">
        <v>1816</v>
      </c>
      <c r="C541" s="1" t="s">
        <v>2049</v>
      </c>
      <c r="D541" s="1" t="s">
        <v>2067</v>
      </c>
      <c r="E541" s="1" t="s">
        <v>2067</v>
      </c>
      <c r="F541" s="1" t="s">
        <v>2068</v>
      </c>
      <c r="G541" s="1" t="s">
        <v>2069</v>
      </c>
      <c r="H541" s="1" t="s">
        <v>5106</v>
      </c>
      <c r="I541" s="18" t="s">
        <v>4783</v>
      </c>
      <c r="J541" s="18" t="s">
        <v>5074</v>
      </c>
      <c r="K541" s="18" t="s">
        <v>4733</v>
      </c>
      <c r="L541" s="18" t="s">
        <v>4734</v>
      </c>
      <c r="M541" s="2">
        <v>2000000</v>
      </c>
      <c r="N541" s="2">
        <v>2000000</v>
      </c>
      <c r="O541" s="2"/>
      <c r="P541" s="2" t="str">
        <f t="shared" si="32"/>
        <v/>
      </c>
      <c r="Q541" s="2"/>
      <c r="R541" s="2"/>
      <c r="S541" s="48"/>
      <c r="T541" s="2">
        <v>24000000</v>
      </c>
      <c r="U541" s="2">
        <v>0</v>
      </c>
      <c r="V541" s="1" t="s">
        <v>2059</v>
      </c>
      <c r="W541" s="6" t="s">
        <v>2060</v>
      </c>
      <c r="X541" s="1" t="s">
        <v>2061</v>
      </c>
      <c r="Y541" s="3">
        <v>2000000</v>
      </c>
      <c r="Z541" s="3">
        <v>2000000</v>
      </c>
      <c r="AA541" s="3">
        <v>2000000</v>
      </c>
      <c r="AB541" s="3">
        <v>2000000</v>
      </c>
      <c r="AC541" s="3">
        <v>2000000</v>
      </c>
      <c r="AD541" s="3">
        <v>2000000</v>
      </c>
      <c r="AE541" s="3">
        <v>2000000</v>
      </c>
      <c r="AF541" s="3">
        <v>2000000</v>
      </c>
      <c r="AG541" s="3">
        <v>2000000</v>
      </c>
      <c r="AH541" s="3">
        <v>2000000</v>
      </c>
      <c r="AI541" s="3">
        <v>2000000</v>
      </c>
      <c r="AJ541" s="3">
        <v>2000000</v>
      </c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>
        <f t="shared" si="33"/>
        <v>24000000</v>
      </c>
      <c r="AX541" s="3">
        <f t="shared" si="34"/>
        <v>0</v>
      </c>
      <c r="AY541" s="4">
        <f t="shared" si="35"/>
        <v>12</v>
      </c>
      <c r="AZ541" s="8">
        <v>0</v>
      </c>
      <c r="BA541" s="4" t="s">
        <v>5726</v>
      </c>
      <c r="BB541" s="2"/>
      <c r="BC541" s="3"/>
      <c r="BD541" s="4"/>
    </row>
    <row r="542" spans="1:56" ht="16.8" customHeight="1">
      <c r="A542" s="1">
        <v>541</v>
      </c>
      <c r="B542" s="1" t="s">
        <v>1816</v>
      </c>
      <c r="C542" s="1" t="s">
        <v>2049</v>
      </c>
      <c r="D542" s="1" t="s">
        <v>2070</v>
      </c>
      <c r="E542" s="1" t="s">
        <v>2070</v>
      </c>
      <c r="F542" s="1" t="s">
        <v>2071</v>
      </c>
      <c r="G542" s="1" t="s">
        <v>2072</v>
      </c>
      <c r="H542" s="1" t="s">
        <v>5043</v>
      </c>
      <c r="I542" s="18"/>
      <c r="J542" s="18"/>
      <c r="K542" s="18"/>
      <c r="L542" s="18"/>
      <c r="M542" s="2">
        <v>2200000</v>
      </c>
      <c r="N542" s="2">
        <v>2200000</v>
      </c>
      <c r="O542" s="2"/>
      <c r="P542" s="2" t="str">
        <f t="shared" si="32"/>
        <v/>
      </c>
      <c r="Q542" s="2"/>
      <c r="R542" s="2"/>
      <c r="S542" s="48"/>
      <c r="T542" s="2">
        <v>26400000</v>
      </c>
      <c r="U542" s="2">
        <v>0</v>
      </c>
      <c r="V542" s="1"/>
      <c r="W542" s="6"/>
      <c r="X542" s="1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>
        <f t="shared" si="33"/>
        <v>0</v>
      </c>
      <c r="AX542" s="3">
        <f t="shared" si="34"/>
        <v>0</v>
      </c>
      <c r="AY542" s="4">
        <f t="shared" si="35"/>
        <v>0</v>
      </c>
      <c r="BA542" s="4" t="s">
        <v>5726</v>
      </c>
      <c r="BB542" s="2"/>
      <c r="BC542" s="3"/>
      <c r="BD542" s="4"/>
    </row>
    <row r="543" spans="1:56" ht="16.8" customHeight="1">
      <c r="A543" s="1">
        <v>542</v>
      </c>
      <c r="B543" s="1" t="s">
        <v>1816</v>
      </c>
      <c r="C543" s="1" t="s">
        <v>2049</v>
      </c>
      <c r="D543" s="1" t="s">
        <v>2073</v>
      </c>
      <c r="E543" s="1" t="s">
        <v>2073</v>
      </c>
      <c r="F543" s="1" t="s">
        <v>2074</v>
      </c>
      <c r="G543" s="1" t="s">
        <v>2075</v>
      </c>
      <c r="H543" s="1"/>
      <c r="I543" s="18"/>
      <c r="J543" s="18"/>
      <c r="K543" s="18"/>
      <c r="L543" s="18"/>
      <c r="M543" s="2">
        <v>2500000</v>
      </c>
      <c r="N543" s="2">
        <v>2500000</v>
      </c>
      <c r="O543" s="2"/>
      <c r="P543" s="2" t="str">
        <f t="shared" si="32"/>
        <v/>
      </c>
      <c r="Q543" s="2"/>
      <c r="R543" s="2"/>
      <c r="S543" s="48"/>
      <c r="T543" s="2">
        <v>0</v>
      </c>
      <c r="U543" s="2">
        <v>7500000</v>
      </c>
      <c r="V543" s="1"/>
      <c r="W543" s="6"/>
      <c r="X543" s="1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>
        <f t="shared" si="33"/>
        <v>0</v>
      </c>
      <c r="AX543" s="3">
        <f t="shared" si="34"/>
        <v>0</v>
      </c>
      <c r="AY543" s="4">
        <f t="shared" si="35"/>
        <v>0</v>
      </c>
      <c r="BA543" s="4" t="s">
        <v>5726</v>
      </c>
      <c r="BB543" s="2"/>
      <c r="BC543" s="3"/>
      <c r="BD543" s="4"/>
    </row>
    <row r="544" spans="1:56" ht="16.8" customHeight="1">
      <c r="A544" s="1">
        <v>543</v>
      </c>
      <c r="B544" s="1" t="s">
        <v>1816</v>
      </c>
      <c r="C544" s="1" t="s">
        <v>2049</v>
      </c>
      <c r="D544" s="1" t="s">
        <v>2076</v>
      </c>
      <c r="E544" s="1" t="s">
        <v>2076</v>
      </c>
      <c r="F544" s="1" t="s">
        <v>2077</v>
      </c>
      <c r="G544" s="1" t="s">
        <v>2078</v>
      </c>
      <c r="H544" s="1" t="s">
        <v>5043</v>
      </c>
      <c r="I544" s="18"/>
      <c r="J544" s="18"/>
      <c r="K544" s="18"/>
      <c r="L544" s="18"/>
      <c r="M544" s="2">
        <v>2500000</v>
      </c>
      <c r="N544" s="2">
        <v>3000000</v>
      </c>
      <c r="O544" s="2">
        <v>3000000</v>
      </c>
      <c r="P544" s="2">
        <f t="shared" si="32"/>
        <v>500000</v>
      </c>
      <c r="Q544" s="41">
        <v>3500000</v>
      </c>
      <c r="R544" s="2"/>
      <c r="S544" s="48"/>
      <c r="T544" s="2">
        <v>0</v>
      </c>
      <c r="U544" s="2">
        <v>0</v>
      </c>
      <c r="V544" s="1"/>
      <c r="W544" s="6"/>
      <c r="X544" s="1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>
        <f t="shared" si="33"/>
        <v>0</v>
      </c>
      <c r="AX544" s="3">
        <f t="shared" si="34"/>
        <v>0</v>
      </c>
      <c r="AY544" s="4">
        <f t="shared" si="35"/>
        <v>0</v>
      </c>
      <c r="BA544" s="4" t="s">
        <v>5726</v>
      </c>
      <c r="BB544" s="2"/>
      <c r="BC544" s="3"/>
      <c r="BD544" s="4"/>
    </row>
    <row r="545" spans="1:56" ht="16.8" customHeight="1">
      <c r="A545" s="1">
        <v>544</v>
      </c>
      <c r="B545" s="1" t="s">
        <v>1816</v>
      </c>
      <c r="C545" s="1" t="s">
        <v>2049</v>
      </c>
      <c r="D545" s="1" t="s">
        <v>2079</v>
      </c>
      <c r="E545" s="1" t="s">
        <v>2079</v>
      </c>
      <c r="F545" s="1" t="s">
        <v>2080</v>
      </c>
      <c r="G545" s="1" t="s">
        <v>2081</v>
      </c>
      <c r="H545" s="1" t="s">
        <v>5043</v>
      </c>
      <c r="I545" s="18"/>
      <c r="J545" s="18"/>
      <c r="K545" s="18"/>
      <c r="L545" s="18"/>
      <c r="M545" s="2">
        <v>3000000</v>
      </c>
      <c r="N545" s="2">
        <v>3500000</v>
      </c>
      <c r="O545" s="2">
        <v>3500000</v>
      </c>
      <c r="P545" s="2">
        <f t="shared" si="32"/>
        <v>500000</v>
      </c>
      <c r="Q545" s="2"/>
      <c r="R545" s="2"/>
      <c r="S545" s="48"/>
      <c r="T545" s="2">
        <v>0</v>
      </c>
      <c r="U545" s="2">
        <v>0</v>
      </c>
      <c r="V545" s="1"/>
      <c r="W545" s="6"/>
      <c r="X545" s="1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>
        <f t="shared" si="33"/>
        <v>0</v>
      </c>
      <c r="AX545" s="3">
        <f t="shared" si="34"/>
        <v>0</v>
      </c>
      <c r="AY545" s="4">
        <f t="shared" si="35"/>
        <v>0</v>
      </c>
      <c r="BA545" s="4" t="s">
        <v>5726</v>
      </c>
      <c r="BB545" s="2"/>
      <c r="BC545" s="3"/>
      <c r="BD545" s="4"/>
    </row>
    <row r="546" spans="1:56" ht="16.8" customHeight="1">
      <c r="A546" s="1">
        <v>545</v>
      </c>
      <c r="B546" s="1" t="s">
        <v>1816</v>
      </c>
      <c r="C546" s="1" t="s">
        <v>2049</v>
      </c>
      <c r="D546" s="1" t="s">
        <v>2082</v>
      </c>
      <c r="E546" s="1" t="s">
        <v>2082</v>
      </c>
      <c r="F546" s="1" t="s">
        <v>2083</v>
      </c>
      <c r="G546" s="1" t="s">
        <v>2084</v>
      </c>
      <c r="H546" s="1" t="s">
        <v>5043</v>
      </c>
      <c r="I546" s="18"/>
      <c r="J546" s="18"/>
      <c r="K546" s="18"/>
      <c r="L546" s="18"/>
      <c r="M546" s="2">
        <v>3000000</v>
      </c>
      <c r="N546" s="2">
        <v>3000000</v>
      </c>
      <c r="O546" s="2"/>
      <c r="P546" s="2" t="str">
        <f t="shared" si="32"/>
        <v/>
      </c>
      <c r="Q546" s="2"/>
      <c r="R546" s="2"/>
      <c r="S546" s="48"/>
      <c r="T546" s="2">
        <v>0</v>
      </c>
      <c r="U546" s="2">
        <v>0</v>
      </c>
      <c r="V546" s="1"/>
      <c r="W546" s="6"/>
      <c r="X546" s="1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>
        <f t="shared" si="33"/>
        <v>0</v>
      </c>
      <c r="AX546" s="3">
        <f t="shared" si="34"/>
        <v>0</v>
      </c>
      <c r="AY546" s="4">
        <f t="shared" si="35"/>
        <v>0</v>
      </c>
      <c r="BA546" s="4" t="s">
        <v>5726</v>
      </c>
      <c r="BB546" s="2"/>
      <c r="BC546" s="3"/>
      <c r="BD546" s="4"/>
    </row>
    <row r="547" spans="1:56" ht="16.8" customHeight="1">
      <c r="A547" s="1">
        <v>546</v>
      </c>
      <c r="B547" s="1" t="s">
        <v>1816</v>
      </c>
      <c r="C547" s="1" t="s">
        <v>2049</v>
      </c>
      <c r="D547" s="1" t="s">
        <v>2085</v>
      </c>
      <c r="E547" s="1" t="s">
        <v>2085</v>
      </c>
      <c r="F547" s="1" t="s">
        <v>2086</v>
      </c>
      <c r="G547" s="1" t="s">
        <v>2087</v>
      </c>
      <c r="H547" s="1" t="s">
        <v>5107</v>
      </c>
      <c r="I547" s="18" t="s">
        <v>4783</v>
      </c>
      <c r="J547" s="18" t="s">
        <v>5018</v>
      </c>
      <c r="K547" s="18" t="s">
        <v>4742</v>
      </c>
      <c r="L547" s="18" t="s">
        <v>4734</v>
      </c>
      <c r="M547" s="2">
        <v>2000000</v>
      </c>
      <c r="N547" s="2">
        <v>3500000</v>
      </c>
      <c r="O547" s="2"/>
      <c r="P547" s="2">
        <f t="shared" si="32"/>
        <v>1500000</v>
      </c>
      <c r="Q547" s="2"/>
      <c r="R547" s="2"/>
      <c r="S547" s="48"/>
      <c r="T547" s="2">
        <v>0</v>
      </c>
      <c r="U547" s="2">
        <v>0</v>
      </c>
      <c r="V547" s="1" t="s">
        <v>2088</v>
      </c>
      <c r="W547" s="6" t="s">
        <v>2089</v>
      </c>
      <c r="X547" s="1" t="s">
        <v>2090</v>
      </c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>
        <v>3500000</v>
      </c>
      <c r="AL547" s="3">
        <v>3500000</v>
      </c>
      <c r="AM547" s="3">
        <v>3500000</v>
      </c>
      <c r="AN547" s="3">
        <v>3500000</v>
      </c>
      <c r="AO547" s="3">
        <v>3500000</v>
      </c>
      <c r="AP547" s="3">
        <v>3500000</v>
      </c>
      <c r="AQ547" s="3">
        <v>3500000</v>
      </c>
      <c r="AR547" s="3">
        <v>3500000</v>
      </c>
      <c r="AS547" s="3">
        <v>3500000</v>
      </c>
      <c r="AT547" s="3">
        <v>3500000</v>
      </c>
      <c r="AU547" s="3">
        <v>3500000</v>
      </c>
      <c r="AV547" s="3">
        <v>3500000</v>
      </c>
      <c r="AW547" s="3">
        <f t="shared" si="33"/>
        <v>0</v>
      </c>
      <c r="AX547" s="3">
        <f t="shared" si="34"/>
        <v>42000000</v>
      </c>
      <c r="AY547" s="4">
        <f t="shared" si="35"/>
        <v>12</v>
      </c>
      <c r="AZ547" s="8" t="s">
        <v>5495</v>
      </c>
      <c r="BA547" s="4" t="s">
        <v>5726</v>
      </c>
      <c r="BB547" s="2"/>
      <c r="BC547" s="3"/>
      <c r="BD547" s="3"/>
    </row>
    <row r="548" spans="1:56" ht="16.8" customHeight="1">
      <c r="A548" s="1">
        <v>547</v>
      </c>
      <c r="B548" s="1" t="s">
        <v>1816</v>
      </c>
      <c r="C548" s="1" t="s">
        <v>2049</v>
      </c>
      <c r="D548" s="1" t="s">
        <v>2091</v>
      </c>
      <c r="E548" s="1" t="s">
        <v>2091</v>
      </c>
      <c r="F548" s="1" t="s">
        <v>2092</v>
      </c>
      <c r="G548" s="1" t="s">
        <v>2093</v>
      </c>
      <c r="H548" s="1" t="s">
        <v>5043</v>
      </c>
      <c r="I548" s="18"/>
      <c r="J548" s="18"/>
      <c r="K548" s="18"/>
      <c r="L548" s="18"/>
      <c r="M548" s="2">
        <v>3000000</v>
      </c>
      <c r="N548" s="2">
        <v>3500000</v>
      </c>
      <c r="O548" s="2">
        <v>3500000</v>
      </c>
      <c r="P548" s="2">
        <f t="shared" si="32"/>
        <v>500000</v>
      </c>
      <c r="Q548" s="2"/>
      <c r="R548" s="2"/>
      <c r="S548" s="48"/>
      <c r="T548" s="2">
        <v>0</v>
      </c>
      <c r="U548" s="2">
        <v>0</v>
      </c>
      <c r="V548" s="1"/>
      <c r="W548" s="6"/>
      <c r="X548" s="1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>
        <f t="shared" si="33"/>
        <v>0</v>
      </c>
      <c r="AX548" s="3">
        <f t="shared" si="34"/>
        <v>0</v>
      </c>
      <c r="AY548" s="4">
        <f t="shared" si="35"/>
        <v>0</v>
      </c>
      <c r="BA548" s="4" t="s">
        <v>5726</v>
      </c>
      <c r="BB548" s="2"/>
      <c r="BC548" s="3"/>
      <c r="BD548" s="4"/>
    </row>
    <row r="549" spans="1:56" ht="16.8" customHeight="1">
      <c r="A549" s="1">
        <v>548</v>
      </c>
      <c r="B549" s="1" t="s">
        <v>1816</v>
      </c>
      <c r="C549" s="1" t="s">
        <v>2049</v>
      </c>
      <c r="D549" s="1" t="s">
        <v>2094</v>
      </c>
      <c r="E549" s="1" t="s">
        <v>2094</v>
      </c>
      <c r="F549" s="1" t="s">
        <v>2095</v>
      </c>
      <c r="G549" s="1" t="s">
        <v>2096</v>
      </c>
      <c r="H549" s="1" t="s">
        <v>5108</v>
      </c>
      <c r="I549" s="18" t="s">
        <v>4783</v>
      </c>
      <c r="J549" s="18" t="s">
        <v>5109</v>
      </c>
      <c r="K549" s="18" t="s">
        <v>4733</v>
      </c>
      <c r="L549" s="18" t="s">
        <v>4734</v>
      </c>
      <c r="M549" s="2">
        <v>2500000</v>
      </c>
      <c r="N549" s="2">
        <v>2500000</v>
      </c>
      <c r="O549" s="2"/>
      <c r="P549" s="2" t="str">
        <f t="shared" si="32"/>
        <v/>
      </c>
      <c r="Q549" s="2"/>
      <c r="R549" s="2"/>
      <c r="S549" s="48"/>
      <c r="T549" s="2">
        <v>18000000</v>
      </c>
      <c r="U549" s="2">
        <v>0</v>
      </c>
      <c r="V549" s="1" t="s">
        <v>2096</v>
      </c>
      <c r="W549" s="6" t="s">
        <v>2097</v>
      </c>
      <c r="X549" s="1" t="s">
        <v>2010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>
        <f t="shared" si="33"/>
        <v>0</v>
      </c>
      <c r="AX549" s="3">
        <f t="shared" si="34"/>
        <v>0</v>
      </c>
      <c r="AY549" s="4">
        <f t="shared" si="35"/>
        <v>0</v>
      </c>
      <c r="AZ549" s="8">
        <v>0</v>
      </c>
      <c r="BA549" s="4" t="s">
        <v>5726</v>
      </c>
      <c r="BB549" s="2"/>
      <c r="BC549" s="3"/>
      <c r="BD549" s="4"/>
    </row>
    <row r="550" spans="1:56" ht="16.8" customHeight="1">
      <c r="A550" s="1">
        <v>549</v>
      </c>
      <c r="B550" s="1" t="s">
        <v>1816</v>
      </c>
      <c r="C550" s="1" t="s">
        <v>2049</v>
      </c>
      <c r="D550" s="1" t="s">
        <v>2098</v>
      </c>
      <c r="E550" s="1" t="s">
        <v>2098</v>
      </c>
      <c r="F550" s="1" t="s">
        <v>2099</v>
      </c>
      <c r="G550" s="1" t="s">
        <v>2052</v>
      </c>
      <c r="H550" s="1" t="s">
        <v>5110</v>
      </c>
      <c r="I550" s="18" t="s">
        <v>4783</v>
      </c>
      <c r="J550" s="18" t="s">
        <v>5018</v>
      </c>
      <c r="K550" s="18" t="s">
        <v>5111</v>
      </c>
      <c r="L550" s="18" t="s">
        <v>4734</v>
      </c>
      <c r="M550" s="2">
        <v>6500000</v>
      </c>
      <c r="N550" s="2">
        <v>6500000</v>
      </c>
      <c r="O550" s="2"/>
      <c r="P550" s="2" t="str">
        <f t="shared" si="32"/>
        <v/>
      </c>
      <c r="Q550" s="2"/>
      <c r="R550" s="2"/>
      <c r="S550" s="48"/>
      <c r="T550" s="2">
        <v>0</v>
      </c>
      <c r="U550" s="2">
        <v>0</v>
      </c>
      <c r="V550" s="1"/>
      <c r="W550" s="6"/>
      <c r="X550" s="1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>
        <v>6500000</v>
      </c>
      <c r="AL550" s="3">
        <v>6500000</v>
      </c>
      <c r="AM550" s="3">
        <v>6500000</v>
      </c>
      <c r="AN550" s="3">
        <v>6500000</v>
      </c>
      <c r="AO550" s="3">
        <v>6500000</v>
      </c>
      <c r="AP550" s="3">
        <v>6500000</v>
      </c>
      <c r="AQ550" s="3"/>
      <c r="AR550" s="3"/>
      <c r="AS550" s="3"/>
      <c r="AT550" s="3"/>
      <c r="AU550" s="3"/>
      <c r="AV550" s="3"/>
      <c r="AW550" s="3">
        <f t="shared" si="33"/>
        <v>0</v>
      </c>
      <c r="AX550" s="3">
        <f t="shared" si="34"/>
        <v>39000000</v>
      </c>
      <c r="AY550" s="4">
        <f t="shared" si="35"/>
        <v>6</v>
      </c>
      <c r="AZ550" s="8">
        <v>0</v>
      </c>
      <c r="BA550" s="4" t="s">
        <v>5726</v>
      </c>
      <c r="BB550" s="2">
        <v>39000000</v>
      </c>
      <c r="BC550" s="3"/>
      <c r="BD550" s="3"/>
    </row>
    <row r="551" spans="1:56" ht="16.8" customHeight="1">
      <c r="A551" s="1">
        <v>550</v>
      </c>
      <c r="B551" s="1" t="s">
        <v>1816</v>
      </c>
      <c r="C551" s="1" t="s">
        <v>2049</v>
      </c>
      <c r="D551" s="1" t="s">
        <v>2100</v>
      </c>
      <c r="E551" s="1" t="s">
        <v>2100</v>
      </c>
      <c r="F551" s="1" t="s">
        <v>2101</v>
      </c>
      <c r="G551" s="1" t="s">
        <v>2102</v>
      </c>
      <c r="H551" s="1" t="s">
        <v>5043</v>
      </c>
      <c r="I551" s="18"/>
      <c r="J551" s="18"/>
      <c r="K551" s="18"/>
      <c r="L551" s="18"/>
      <c r="M551" s="2">
        <v>2500000</v>
      </c>
      <c r="N551" s="2">
        <v>2500000</v>
      </c>
      <c r="O551" s="2"/>
      <c r="P551" s="2" t="str">
        <f t="shared" si="32"/>
        <v/>
      </c>
      <c r="Q551" s="2">
        <v>3500000</v>
      </c>
      <c r="R551" s="2"/>
      <c r="S551" s="48">
        <v>46023</v>
      </c>
      <c r="T551" s="2">
        <v>0</v>
      </c>
      <c r="U551" s="2">
        <v>0</v>
      </c>
      <c r="V551" s="1"/>
      <c r="W551" s="6"/>
      <c r="X551" s="1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>
        <f t="shared" si="33"/>
        <v>0</v>
      </c>
      <c r="AX551" s="3">
        <f t="shared" si="34"/>
        <v>0</v>
      </c>
      <c r="AY551" s="4">
        <f t="shared" si="35"/>
        <v>0</v>
      </c>
      <c r="BA551" s="4" t="s">
        <v>5726</v>
      </c>
      <c r="BB551" s="2"/>
      <c r="BC551" s="3"/>
      <c r="BD551" s="4"/>
    </row>
    <row r="552" spans="1:56" ht="16.8" customHeight="1">
      <c r="A552" s="1">
        <v>551</v>
      </c>
      <c r="B552" s="1" t="s">
        <v>1816</v>
      </c>
      <c r="C552" s="1" t="s">
        <v>1920</v>
      </c>
      <c r="D552" s="1" t="s">
        <v>2103</v>
      </c>
      <c r="E552" s="1" t="s">
        <v>2103</v>
      </c>
      <c r="F552" s="1" t="s">
        <v>2104</v>
      </c>
      <c r="G552" s="1" t="s">
        <v>1100</v>
      </c>
      <c r="H552" s="1" t="s">
        <v>5112</v>
      </c>
      <c r="I552" s="18" t="s">
        <v>4783</v>
      </c>
      <c r="J552" s="18" t="s">
        <v>5074</v>
      </c>
      <c r="K552" s="18" t="s">
        <v>4733</v>
      </c>
      <c r="L552" s="18" t="s">
        <v>4734</v>
      </c>
      <c r="M552" s="2">
        <v>2500000</v>
      </c>
      <c r="N552" s="2">
        <v>2500000</v>
      </c>
      <c r="O552" s="2"/>
      <c r="P552" s="2" t="str">
        <f t="shared" si="32"/>
        <v/>
      </c>
      <c r="Q552" s="2"/>
      <c r="R552" s="2"/>
      <c r="S552" s="48"/>
      <c r="T552" s="2">
        <v>30000000</v>
      </c>
      <c r="U552" s="2">
        <v>0</v>
      </c>
      <c r="V552" s="1" t="s">
        <v>2105</v>
      </c>
      <c r="W552" s="6" t="s">
        <v>2106</v>
      </c>
      <c r="X552" s="1" t="s">
        <v>1964</v>
      </c>
      <c r="Y552" s="3">
        <v>2500000</v>
      </c>
      <c r="Z552" s="3">
        <v>2500000</v>
      </c>
      <c r="AA552" s="3">
        <v>2500000</v>
      </c>
      <c r="AB552" s="3">
        <v>2500000</v>
      </c>
      <c r="AC552" s="3">
        <v>2500000</v>
      </c>
      <c r="AD552" s="3">
        <v>2500000</v>
      </c>
      <c r="AE552" s="3">
        <v>2500000</v>
      </c>
      <c r="AF552" s="3">
        <v>2500000</v>
      </c>
      <c r="AG552" s="3">
        <v>2500000</v>
      </c>
      <c r="AH552" s="3">
        <v>2500000</v>
      </c>
      <c r="AI552" s="3">
        <v>2500000</v>
      </c>
      <c r="AJ552" s="3">
        <v>2500000</v>
      </c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>
        <f t="shared" si="33"/>
        <v>30000000</v>
      </c>
      <c r="AX552" s="3">
        <f t="shared" si="34"/>
        <v>0</v>
      </c>
      <c r="AY552" s="4">
        <f t="shared" si="35"/>
        <v>12</v>
      </c>
      <c r="AZ552" s="8" t="s">
        <v>5566</v>
      </c>
      <c r="BA552" s="4" t="s">
        <v>5726</v>
      </c>
      <c r="BB552" s="2"/>
      <c r="BC552" s="3"/>
      <c r="BD552" s="4"/>
    </row>
    <row r="553" spans="1:56" ht="16.8" customHeight="1">
      <c r="A553" s="1">
        <v>552</v>
      </c>
      <c r="B553" s="1" t="s">
        <v>1816</v>
      </c>
      <c r="C553" s="1" t="s">
        <v>2049</v>
      </c>
      <c r="D553" s="1" t="s">
        <v>2107</v>
      </c>
      <c r="E553" s="1" t="s">
        <v>2107</v>
      </c>
      <c r="F553" s="1" t="s">
        <v>2108</v>
      </c>
      <c r="G553" s="1" t="s">
        <v>2109</v>
      </c>
      <c r="H553" s="1" t="s">
        <v>5113</v>
      </c>
      <c r="I553" s="18" t="s">
        <v>4783</v>
      </c>
      <c r="J553" s="18" t="s">
        <v>4783</v>
      </c>
      <c r="K553" s="18" t="s">
        <v>4752</v>
      </c>
      <c r="L553" s="18" t="s">
        <v>4734</v>
      </c>
      <c r="M553" s="2">
        <v>2500000</v>
      </c>
      <c r="N553" s="2">
        <v>2500000</v>
      </c>
      <c r="O553" s="2"/>
      <c r="P553" s="2" t="str">
        <f t="shared" si="32"/>
        <v/>
      </c>
      <c r="Q553" s="2"/>
      <c r="R553" s="2"/>
      <c r="S553" s="48"/>
      <c r="T553" s="2">
        <v>7500000</v>
      </c>
      <c r="U553" s="2">
        <v>0</v>
      </c>
      <c r="V553" s="1" t="s">
        <v>2110</v>
      </c>
      <c r="W553" s="6" t="s">
        <v>2111</v>
      </c>
      <c r="X553" s="1" t="s">
        <v>2061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>
        <v>2500000</v>
      </c>
      <c r="AI553" s="3">
        <v>2500000</v>
      </c>
      <c r="AJ553" s="3">
        <v>2500000</v>
      </c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>
        <f t="shared" si="33"/>
        <v>7500000</v>
      </c>
      <c r="AX553" s="3">
        <f t="shared" si="34"/>
        <v>0</v>
      </c>
      <c r="AY553" s="4">
        <f t="shared" si="35"/>
        <v>3</v>
      </c>
      <c r="AZ553" s="8">
        <v>0</v>
      </c>
      <c r="BA553" s="4" t="s">
        <v>5726</v>
      </c>
      <c r="BB553" s="2"/>
      <c r="BC553" s="3"/>
      <c r="BD553" s="4"/>
    </row>
    <row r="554" spans="1:56" ht="16.8" customHeight="1">
      <c r="A554" s="1">
        <v>553</v>
      </c>
      <c r="B554" s="1" t="s">
        <v>1816</v>
      </c>
      <c r="C554" s="1" t="s">
        <v>2049</v>
      </c>
      <c r="D554" s="1" t="s">
        <v>2112</v>
      </c>
      <c r="E554" s="1" t="s">
        <v>2112</v>
      </c>
      <c r="F554" s="1" t="s">
        <v>2113</v>
      </c>
      <c r="G554" s="1" t="s">
        <v>2114</v>
      </c>
      <c r="H554" s="1" t="s">
        <v>5114</v>
      </c>
      <c r="I554" s="18" t="s">
        <v>4783</v>
      </c>
      <c r="J554" s="18" t="s">
        <v>4783</v>
      </c>
      <c r="K554" s="18" t="s">
        <v>4742</v>
      </c>
      <c r="L554" s="18" t="s">
        <v>4734</v>
      </c>
      <c r="M554" s="2">
        <v>2500000</v>
      </c>
      <c r="N554" s="2">
        <v>2500000</v>
      </c>
      <c r="O554" s="2"/>
      <c r="P554" s="2" t="str">
        <f t="shared" si="32"/>
        <v/>
      </c>
      <c r="Q554" s="2"/>
      <c r="R554" s="2"/>
      <c r="S554" s="48"/>
      <c r="T554" s="2">
        <v>0</v>
      </c>
      <c r="U554" s="2">
        <v>0</v>
      </c>
      <c r="V554" s="1"/>
      <c r="W554" s="6"/>
      <c r="X554" s="1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>
        <f t="shared" si="33"/>
        <v>0</v>
      </c>
      <c r="AX554" s="3">
        <f t="shared" si="34"/>
        <v>0</v>
      </c>
      <c r="AY554" s="4">
        <f t="shared" si="35"/>
        <v>0</v>
      </c>
      <c r="AZ554" s="8">
        <v>0</v>
      </c>
      <c r="BA554" s="4" t="s">
        <v>5726</v>
      </c>
      <c r="BB554" s="2"/>
      <c r="BC554" s="3"/>
      <c r="BD554" s="4"/>
    </row>
    <row r="555" spans="1:56" ht="16.8" customHeight="1">
      <c r="A555" s="1">
        <v>554</v>
      </c>
      <c r="B555" s="1" t="s">
        <v>1816</v>
      </c>
      <c r="C555" s="1" t="s">
        <v>2049</v>
      </c>
      <c r="D555" s="1" t="s">
        <v>2115</v>
      </c>
      <c r="E555" s="1" t="s">
        <v>2115</v>
      </c>
      <c r="F555" s="1" t="s">
        <v>2116</v>
      </c>
      <c r="G555" s="1" t="s">
        <v>2117</v>
      </c>
      <c r="H555" s="1" t="s">
        <v>5115</v>
      </c>
      <c r="I555" s="18" t="s">
        <v>4783</v>
      </c>
      <c r="J555" s="18" t="s">
        <v>5074</v>
      </c>
      <c r="K555" s="18" t="s">
        <v>4755</v>
      </c>
      <c r="L555" s="18" t="s">
        <v>4734</v>
      </c>
      <c r="M555" s="2">
        <v>1000000</v>
      </c>
      <c r="N555" s="2">
        <v>1000000</v>
      </c>
      <c r="O555" s="2"/>
      <c r="P555" s="2" t="str">
        <f t="shared" si="32"/>
        <v/>
      </c>
      <c r="Q555" s="2"/>
      <c r="R555" s="2"/>
      <c r="S555" s="48"/>
      <c r="T555" s="2">
        <v>12000000</v>
      </c>
      <c r="U555" s="2">
        <v>0</v>
      </c>
      <c r="V555" s="1" t="s">
        <v>2118</v>
      </c>
      <c r="W555" s="6" t="s">
        <v>2119</v>
      </c>
      <c r="X555" s="1" t="s">
        <v>2010</v>
      </c>
      <c r="Y555" s="3">
        <v>1000000</v>
      </c>
      <c r="Z555" s="3">
        <v>1000000</v>
      </c>
      <c r="AA555" s="3">
        <v>1000000</v>
      </c>
      <c r="AB555" s="3">
        <v>1000000</v>
      </c>
      <c r="AC555" s="3">
        <v>1000000</v>
      </c>
      <c r="AD555" s="3">
        <v>1000000</v>
      </c>
      <c r="AE555" s="3">
        <v>1000000</v>
      </c>
      <c r="AF555" s="3">
        <v>1000000</v>
      </c>
      <c r="AG555" s="3">
        <v>1000000</v>
      </c>
      <c r="AH555" s="3">
        <v>1000000</v>
      </c>
      <c r="AI555" s="3">
        <v>1000000</v>
      </c>
      <c r="AJ555" s="3">
        <v>1000000</v>
      </c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>
        <f t="shared" si="33"/>
        <v>12000000</v>
      </c>
      <c r="AX555" s="3">
        <f t="shared" si="34"/>
        <v>0</v>
      </c>
      <c r="AY555" s="4">
        <f t="shared" si="35"/>
        <v>12</v>
      </c>
      <c r="AZ555" s="8">
        <v>0</v>
      </c>
      <c r="BA555" s="4" t="s">
        <v>5726</v>
      </c>
      <c r="BB555" s="2"/>
      <c r="BC555" s="3"/>
      <c r="BD555" s="4"/>
    </row>
    <row r="556" spans="1:56" ht="16.8" customHeight="1">
      <c r="A556" s="1">
        <v>555</v>
      </c>
      <c r="B556" s="1" t="s">
        <v>1816</v>
      </c>
      <c r="C556" s="1" t="s">
        <v>1920</v>
      </c>
      <c r="D556" s="1" t="s">
        <v>2120</v>
      </c>
      <c r="E556" s="1" t="s">
        <v>2120</v>
      </c>
      <c r="F556" s="1" t="s">
        <v>2121</v>
      </c>
      <c r="G556" s="1" t="s">
        <v>2122</v>
      </c>
      <c r="H556" s="1" t="s">
        <v>5116</v>
      </c>
      <c r="I556" s="18" t="s">
        <v>4783</v>
      </c>
      <c r="J556" s="18" t="s">
        <v>5074</v>
      </c>
      <c r="K556" s="18" t="s">
        <v>4733</v>
      </c>
      <c r="L556" s="18" t="s">
        <v>4734</v>
      </c>
      <c r="M556" s="2">
        <v>2500000</v>
      </c>
      <c r="N556" s="2">
        <v>2500000</v>
      </c>
      <c r="O556" s="2"/>
      <c r="P556" s="2" t="str">
        <f t="shared" si="32"/>
        <v/>
      </c>
      <c r="Q556" s="2"/>
      <c r="R556" s="2"/>
      <c r="S556" s="48"/>
      <c r="T556" s="2">
        <v>30000000</v>
      </c>
      <c r="U556" s="2">
        <v>0</v>
      </c>
      <c r="V556" s="1" t="s">
        <v>2122</v>
      </c>
      <c r="W556" s="6" t="s">
        <v>2123</v>
      </c>
      <c r="X556" s="1" t="s">
        <v>1830</v>
      </c>
      <c r="Y556" s="3">
        <v>2500000</v>
      </c>
      <c r="Z556" s="3">
        <v>2500000</v>
      </c>
      <c r="AA556" s="3">
        <v>2500000</v>
      </c>
      <c r="AB556" s="3">
        <v>2500000</v>
      </c>
      <c r="AC556" s="3">
        <v>2500000</v>
      </c>
      <c r="AD556" s="3">
        <v>2500000</v>
      </c>
      <c r="AE556" s="3">
        <v>2500000</v>
      </c>
      <c r="AF556" s="3">
        <v>2500000</v>
      </c>
      <c r="AG556" s="3">
        <v>2500000</v>
      </c>
      <c r="AH556" s="3">
        <v>2500000</v>
      </c>
      <c r="AI556" s="3">
        <v>2500000</v>
      </c>
      <c r="AJ556" s="3">
        <v>2500000</v>
      </c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>
        <f t="shared" si="33"/>
        <v>30000000</v>
      </c>
      <c r="AX556" s="3">
        <f t="shared" si="34"/>
        <v>0</v>
      </c>
      <c r="AY556" s="4">
        <f t="shared" si="35"/>
        <v>12</v>
      </c>
      <c r="AZ556" s="8">
        <v>0</v>
      </c>
      <c r="BA556" s="4" t="s">
        <v>5726</v>
      </c>
      <c r="BB556" s="2"/>
      <c r="BC556" s="3"/>
      <c r="BD556" s="4"/>
    </row>
    <row r="557" spans="1:56" ht="16.8" customHeight="1">
      <c r="A557" s="1">
        <v>556</v>
      </c>
      <c r="B557" s="1" t="s">
        <v>1816</v>
      </c>
      <c r="C557" s="1" t="s">
        <v>2049</v>
      </c>
      <c r="D557" s="1" t="s">
        <v>2124</v>
      </c>
      <c r="E557" s="1" t="s">
        <v>2124</v>
      </c>
      <c r="F557" s="1" t="s">
        <v>2125</v>
      </c>
      <c r="G557" s="1" t="s">
        <v>2126</v>
      </c>
      <c r="H557" s="1" t="s">
        <v>5043</v>
      </c>
      <c r="I557" s="18"/>
      <c r="J557" s="18"/>
      <c r="K557" s="18"/>
      <c r="L557" s="18"/>
      <c r="M557" s="2">
        <v>2200000</v>
      </c>
      <c r="N557" s="2">
        <v>2200000</v>
      </c>
      <c r="O557" s="2"/>
      <c r="P557" s="2" t="str">
        <f t="shared" si="32"/>
        <v/>
      </c>
      <c r="Q557" s="2"/>
      <c r="R557" s="2"/>
      <c r="S557" s="48"/>
      <c r="T557" s="2">
        <v>26400000</v>
      </c>
      <c r="U557" s="2">
        <v>0</v>
      </c>
      <c r="V557" s="1" t="s">
        <v>2127</v>
      </c>
      <c r="W557" s="6" t="s">
        <v>2128</v>
      </c>
      <c r="X557" s="1" t="s">
        <v>2061</v>
      </c>
      <c r="Y557" s="3">
        <v>2200000</v>
      </c>
      <c r="Z557" s="3">
        <v>2200000</v>
      </c>
      <c r="AA557" s="3">
        <v>2200000</v>
      </c>
      <c r="AB557" s="3">
        <v>2200000</v>
      </c>
      <c r="AC557" s="3">
        <v>2200000</v>
      </c>
      <c r="AD557" s="3">
        <v>2200000</v>
      </c>
      <c r="AE557" s="3">
        <v>2200000</v>
      </c>
      <c r="AF557" s="3">
        <v>2200000</v>
      </c>
      <c r="AG557" s="3">
        <v>2200000</v>
      </c>
      <c r="AH557" s="3">
        <v>2200000</v>
      </c>
      <c r="AI557" s="3">
        <v>2200000</v>
      </c>
      <c r="AJ557" s="3">
        <v>2200000</v>
      </c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>
        <f t="shared" si="33"/>
        <v>26400000</v>
      </c>
      <c r="AX557" s="3">
        <f t="shared" si="34"/>
        <v>0</v>
      </c>
      <c r="AY557" s="4">
        <f t="shared" si="35"/>
        <v>12</v>
      </c>
      <c r="BA557" s="4" t="s">
        <v>5726</v>
      </c>
      <c r="BB557" s="2"/>
      <c r="BC557" s="3"/>
      <c r="BD557" s="4"/>
    </row>
    <row r="558" spans="1:56" ht="16.8" customHeight="1">
      <c r="A558" s="1">
        <v>557</v>
      </c>
      <c r="B558" s="1" t="s">
        <v>1816</v>
      </c>
      <c r="C558" s="1" t="s">
        <v>2049</v>
      </c>
      <c r="D558" s="1" t="s">
        <v>2129</v>
      </c>
      <c r="E558" s="1" t="s">
        <v>2129</v>
      </c>
      <c r="F558" s="1" t="s">
        <v>2130</v>
      </c>
      <c r="G558" s="1" t="s">
        <v>2131</v>
      </c>
      <c r="H558" s="1" t="s">
        <v>5117</v>
      </c>
      <c r="I558" s="18" t="s">
        <v>4783</v>
      </c>
      <c r="J558" s="18" t="s">
        <v>5074</v>
      </c>
      <c r="K558" s="18" t="s">
        <v>4733</v>
      </c>
      <c r="L558" s="18" t="s">
        <v>4734</v>
      </c>
      <c r="M558" s="2">
        <v>3000000</v>
      </c>
      <c r="N558" s="2">
        <v>3000000</v>
      </c>
      <c r="O558" s="2"/>
      <c r="P558" s="2" t="str">
        <f t="shared" si="32"/>
        <v/>
      </c>
      <c r="Q558" s="2"/>
      <c r="R558" s="2"/>
      <c r="S558" s="48"/>
      <c r="T558" s="2">
        <v>36000000</v>
      </c>
      <c r="U558" s="2">
        <v>0</v>
      </c>
      <c r="V558" s="1" t="s">
        <v>2132</v>
      </c>
      <c r="W558" s="6" t="s">
        <v>2133</v>
      </c>
      <c r="X558" s="1" t="s">
        <v>2010</v>
      </c>
      <c r="Y558" s="3">
        <v>3000000</v>
      </c>
      <c r="Z558" s="3">
        <v>3000000</v>
      </c>
      <c r="AA558" s="3">
        <v>3000000</v>
      </c>
      <c r="AB558" s="3">
        <v>3000000</v>
      </c>
      <c r="AC558" s="3">
        <v>3000000</v>
      </c>
      <c r="AD558" s="3">
        <v>3000000</v>
      </c>
      <c r="AE558" s="3">
        <v>3000000</v>
      </c>
      <c r="AF558" s="3">
        <v>3000000</v>
      </c>
      <c r="AG558" s="3">
        <v>3000000</v>
      </c>
      <c r="AH558" s="3">
        <v>3000000</v>
      </c>
      <c r="AI558" s="3">
        <v>3000000</v>
      </c>
      <c r="AJ558" s="3">
        <v>3000000</v>
      </c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>
        <f t="shared" si="33"/>
        <v>36000000</v>
      </c>
      <c r="AX558" s="3">
        <f t="shared" si="34"/>
        <v>0</v>
      </c>
      <c r="AY558" s="4">
        <f t="shared" si="35"/>
        <v>12</v>
      </c>
      <c r="AZ558" s="8" t="s">
        <v>5567</v>
      </c>
      <c r="BA558" s="4" t="s">
        <v>5726</v>
      </c>
      <c r="BB558" s="2"/>
      <c r="BC558" s="3"/>
      <c r="BD558" s="4"/>
    </row>
    <row r="559" spans="1:56" ht="16.8" customHeight="1">
      <c r="A559" s="1">
        <v>558</v>
      </c>
      <c r="B559" s="1" t="s">
        <v>1816</v>
      </c>
      <c r="C559" s="1" t="s">
        <v>2049</v>
      </c>
      <c r="D559" s="1" t="s">
        <v>2134</v>
      </c>
      <c r="E559" s="1" t="s">
        <v>2134</v>
      </c>
      <c r="F559" s="1" t="s">
        <v>2135</v>
      </c>
      <c r="G559" s="1" t="s">
        <v>2136</v>
      </c>
      <c r="H559" s="1" t="s">
        <v>5043</v>
      </c>
      <c r="I559" s="18"/>
      <c r="J559" s="18"/>
      <c r="K559" s="18"/>
      <c r="L559" s="18"/>
      <c r="M559" s="2">
        <v>500000</v>
      </c>
      <c r="N559" s="2">
        <v>500000</v>
      </c>
      <c r="O559" s="2"/>
      <c r="P559" s="2" t="str">
        <f t="shared" si="32"/>
        <v/>
      </c>
      <c r="Q559" s="2"/>
      <c r="R559" s="2"/>
      <c r="S559" s="48"/>
      <c r="T559" s="2">
        <v>0</v>
      </c>
      <c r="U559" s="2">
        <v>0</v>
      </c>
      <c r="V559" s="1"/>
      <c r="W559" s="6"/>
      <c r="X559" s="1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>
        <f t="shared" si="33"/>
        <v>0</v>
      </c>
      <c r="AX559" s="3">
        <f t="shared" si="34"/>
        <v>0</v>
      </c>
      <c r="AY559" s="4">
        <f t="shared" si="35"/>
        <v>0</v>
      </c>
      <c r="BA559" s="4" t="s">
        <v>5726</v>
      </c>
      <c r="BB559" s="2"/>
      <c r="BC559" s="3"/>
      <c r="BD559" s="4"/>
    </row>
    <row r="560" spans="1:56" ht="16.8" customHeight="1">
      <c r="A560" s="1">
        <v>559</v>
      </c>
      <c r="B560" s="1" t="s">
        <v>1816</v>
      </c>
      <c r="C560" s="1" t="s">
        <v>1920</v>
      </c>
      <c r="D560" s="1" t="s">
        <v>2137</v>
      </c>
      <c r="E560" s="1" t="s">
        <v>2137</v>
      </c>
      <c r="F560" s="1" t="s">
        <v>2138</v>
      </c>
      <c r="G560" s="1" t="s">
        <v>2139</v>
      </c>
      <c r="H560" s="1" t="s">
        <v>5043</v>
      </c>
      <c r="I560" s="18"/>
      <c r="J560" s="18"/>
      <c r="K560" s="18"/>
      <c r="L560" s="18"/>
      <c r="M560" s="2">
        <v>2500000</v>
      </c>
      <c r="N560" s="2">
        <v>2500000</v>
      </c>
      <c r="O560" s="2"/>
      <c r="P560" s="2" t="str">
        <f t="shared" si="32"/>
        <v/>
      </c>
      <c r="Q560" s="2"/>
      <c r="R560" s="2"/>
      <c r="S560" s="48"/>
      <c r="T560" s="2">
        <v>0</v>
      </c>
      <c r="U560" s="2">
        <v>0</v>
      </c>
      <c r="V560" s="1"/>
      <c r="W560" s="6"/>
      <c r="X560" s="1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>
        <f t="shared" si="33"/>
        <v>0</v>
      </c>
      <c r="AX560" s="3">
        <f t="shared" si="34"/>
        <v>0</v>
      </c>
      <c r="AY560" s="4">
        <f t="shared" si="35"/>
        <v>0</v>
      </c>
      <c r="BA560" s="4" t="s">
        <v>5726</v>
      </c>
      <c r="BB560" s="2"/>
      <c r="BC560" s="3"/>
      <c r="BD560" s="4"/>
    </row>
    <row r="561" spans="1:56" ht="16.8" customHeight="1">
      <c r="A561" s="1">
        <v>560</v>
      </c>
      <c r="B561" s="1" t="s">
        <v>1816</v>
      </c>
      <c r="C561" s="1" t="s">
        <v>1920</v>
      </c>
      <c r="D561" s="1" t="s">
        <v>2140</v>
      </c>
      <c r="E561" s="1" t="s">
        <v>2140</v>
      </c>
      <c r="F561" s="1" t="s">
        <v>2141</v>
      </c>
      <c r="G561" s="1" t="s">
        <v>2142</v>
      </c>
      <c r="H561" s="1" t="s">
        <v>5043</v>
      </c>
      <c r="I561" s="18"/>
      <c r="J561" s="18"/>
      <c r="K561" s="18"/>
      <c r="L561" s="18"/>
      <c r="M561" s="2">
        <v>2500000</v>
      </c>
      <c r="N561" s="2">
        <v>2500000</v>
      </c>
      <c r="O561" s="2"/>
      <c r="P561" s="2" t="str">
        <f t="shared" si="32"/>
        <v/>
      </c>
      <c r="Q561" s="2">
        <v>3000000</v>
      </c>
      <c r="R561" s="2"/>
      <c r="S561" s="48">
        <v>46023</v>
      </c>
      <c r="T561" s="2">
        <v>0</v>
      </c>
      <c r="U561" s="2">
        <v>0</v>
      </c>
      <c r="V561" s="1"/>
      <c r="W561" s="6"/>
      <c r="X561" s="1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>
        <f t="shared" si="33"/>
        <v>0</v>
      </c>
      <c r="AX561" s="3">
        <f t="shared" si="34"/>
        <v>0</v>
      </c>
      <c r="AY561" s="4">
        <f t="shared" si="35"/>
        <v>0</v>
      </c>
      <c r="BA561" s="4" t="s">
        <v>5726</v>
      </c>
      <c r="BB561" s="2"/>
      <c r="BC561" s="3"/>
      <c r="BD561" s="4"/>
    </row>
    <row r="562" spans="1:56" ht="16.8" customHeight="1">
      <c r="A562" s="1">
        <v>561</v>
      </c>
      <c r="B562" s="1" t="s">
        <v>1816</v>
      </c>
      <c r="C562" s="1" t="s">
        <v>1920</v>
      </c>
      <c r="D562" s="1" t="s">
        <v>2143</v>
      </c>
      <c r="E562" s="1" t="s">
        <v>2143</v>
      </c>
      <c r="F562" s="1" t="s">
        <v>2144</v>
      </c>
      <c r="G562" s="1" t="s">
        <v>2145</v>
      </c>
      <c r="H562" s="1" t="s">
        <v>5118</v>
      </c>
      <c r="I562" s="18" t="s">
        <v>4783</v>
      </c>
      <c r="J562" s="18" t="s">
        <v>5018</v>
      </c>
      <c r="K562" s="18" t="s">
        <v>4753</v>
      </c>
      <c r="L562" s="18" t="s">
        <v>4734</v>
      </c>
      <c r="M562" s="2">
        <v>2500000</v>
      </c>
      <c r="N562" s="2">
        <v>2500000</v>
      </c>
      <c r="O562" s="2"/>
      <c r="P562" s="2" t="str">
        <f t="shared" si="32"/>
        <v/>
      </c>
      <c r="Q562" s="2"/>
      <c r="R562" s="2"/>
      <c r="S562" s="48"/>
      <c r="T562" s="2">
        <v>0</v>
      </c>
      <c r="U562" s="2">
        <v>0</v>
      </c>
      <c r="V562" s="1" t="s">
        <v>2145</v>
      </c>
      <c r="W562" s="6" t="s">
        <v>2146</v>
      </c>
      <c r="X562" s="1" t="s">
        <v>324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>
        <v>2500000</v>
      </c>
      <c r="AL562" s="3">
        <v>2500000</v>
      </c>
      <c r="AM562" s="3">
        <v>2500000</v>
      </c>
      <c r="AN562" s="3">
        <v>2500000</v>
      </c>
      <c r="AO562" s="3">
        <v>2500000</v>
      </c>
      <c r="AP562" s="3">
        <v>2500000</v>
      </c>
      <c r="AQ562" s="3">
        <v>2500000</v>
      </c>
      <c r="AR562" s="3">
        <v>2500000</v>
      </c>
      <c r="AS562" s="3">
        <v>2500000</v>
      </c>
      <c r="AT562" s="3">
        <v>2500000</v>
      </c>
      <c r="AU562" s="3">
        <v>2500000</v>
      </c>
      <c r="AV562" s="3">
        <v>2500000</v>
      </c>
      <c r="AW562" s="3">
        <f t="shared" si="33"/>
        <v>0</v>
      </c>
      <c r="AX562" s="3">
        <f t="shared" si="34"/>
        <v>30000000</v>
      </c>
      <c r="AY562" s="4">
        <f t="shared" si="35"/>
        <v>12</v>
      </c>
      <c r="AZ562" s="8">
        <v>0</v>
      </c>
      <c r="BA562" s="4" t="s">
        <v>5726</v>
      </c>
      <c r="BB562" s="2"/>
      <c r="BC562" s="3"/>
      <c r="BD562" s="3"/>
    </row>
    <row r="563" spans="1:56" ht="16.8" customHeight="1">
      <c r="A563" s="1">
        <v>562</v>
      </c>
      <c r="B563" s="1" t="s">
        <v>1816</v>
      </c>
      <c r="C563" s="1" t="s">
        <v>1920</v>
      </c>
      <c r="D563" s="1" t="s">
        <v>2147</v>
      </c>
      <c r="E563" s="1" t="s">
        <v>2147</v>
      </c>
      <c r="F563" s="1" t="s">
        <v>2148</v>
      </c>
      <c r="G563" s="1" t="s">
        <v>2149</v>
      </c>
      <c r="H563" s="1" t="s">
        <v>5119</v>
      </c>
      <c r="I563" s="18" t="s">
        <v>4783</v>
      </c>
      <c r="J563" s="18" t="s">
        <v>5120</v>
      </c>
      <c r="K563" s="18" t="s">
        <v>4752</v>
      </c>
      <c r="L563" s="18" t="s">
        <v>4734</v>
      </c>
      <c r="M563" s="2">
        <v>2000000</v>
      </c>
      <c r="N563" s="2">
        <v>2000000</v>
      </c>
      <c r="O563" s="2"/>
      <c r="P563" s="2" t="str">
        <f t="shared" si="32"/>
        <v/>
      </c>
      <c r="Q563" s="2"/>
      <c r="R563" s="2"/>
      <c r="S563" s="48"/>
      <c r="T563" s="2">
        <v>8000000</v>
      </c>
      <c r="U563" s="2">
        <v>0</v>
      </c>
      <c r="V563" s="1" t="s">
        <v>2149</v>
      </c>
      <c r="W563" s="6" t="s">
        <v>2150</v>
      </c>
      <c r="X563" s="1" t="s">
        <v>1830</v>
      </c>
      <c r="Y563" s="3"/>
      <c r="Z563" s="3"/>
      <c r="AA563" s="3"/>
      <c r="AB563" s="3"/>
      <c r="AC563" s="3"/>
      <c r="AD563" s="3"/>
      <c r="AE563" s="3"/>
      <c r="AF563" s="3"/>
      <c r="AG563" s="3">
        <v>2000000</v>
      </c>
      <c r="AH563" s="3">
        <v>2000000</v>
      </c>
      <c r="AI563" s="3">
        <v>2000000</v>
      </c>
      <c r="AJ563" s="3">
        <v>2000000</v>
      </c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>
        <f t="shared" si="33"/>
        <v>8000000</v>
      </c>
      <c r="AX563" s="3">
        <f t="shared" si="34"/>
        <v>0</v>
      </c>
      <c r="AY563" s="4">
        <f t="shared" si="35"/>
        <v>4</v>
      </c>
      <c r="AZ563" s="8" t="s">
        <v>5564</v>
      </c>
      <c r="BA563" s="4" t="s">
        <v>5726</v>
      </c>
      <c r="BB563" s="2"/>
      <c r="BC563" s="3"/>
      <c r="BD563" s="4"/>
    </row>
    <row r="564" spans="1:56" ht="16.8" customHeight="1">
      <c r="A564" s="1">
        <v>563</v>
      </c>
      <c r="B564" s="1" t="s">
        <v>1816</v>
      </c>
      <c r="C564" s="1" t="s">
        <v>1920</v>
      </c>
      <c r="D564" s="1" t="s">
        <v>2151</v>
      </c>
      <c r="E564" s="1" t="s">
        <v>2151</v>
      </c>
      <c r="F564" s="1" t="s">
        <v>2152</v>
      </c>
      <c r="G564" s="1" t="s">
        <v>2153</v>
      </c>
      <c r="H564" s="1" t="s">
        <v>5121</v>
      </c>
      <c r="I564" s="18" t="s">
        <v>4783</v>
      </c>
      <c r="J564" s="18" t="s">
        <v>4783</v>
      </c>
      <c r="K564" s="18" t="s">
        <v>4752</v>
      </c>
      <c r="L564" s="18" t="s">
        <v>4734</v>
      </c>
      <c r="M564" s="2">
        <v>2000000</v>
      </c>
      <c r="N564" s="2">
        <v>2000000</v>
      </c>
      <c r="O564" s="2"/>
      <c r="P564" s="2" t="str">
        <f t="shared" si="32"/>
        <v/>
      </c>
      <c r="Q564" s="2"/>
      <c r="R564" s="2"/>
      <c r="S564" s="48"/>
      <c r="T564" s="2">
        <v>8000000</v>
      </c>
      <c r="U564" s="2">
        <v>0</v>
      </c>
      <c r="V564" s="1" t="s">
        <v>2153</v>
      </c>
      <c r="W564" s="6" t="s">
        <v>2154</v>
      </c>
      <c r="X564" s="1" t="s">
        <v>2010</v>
      </c>
      <c r="Y564" s="3"/>
      <c r="Z564" s="3"/>
      <c r="AA564" s="3"/>
      <c r="AB564" s="3"/>
      <c r="AC564" s="3"/>
      <c r="AD564" s="3"/>
      <c r="AE564" s="3"/>
      <c r="AF564" s="3"/>
      <c r="AG564" s="3">
        <v>2000000</v>
      </c>
      <c r="AH564" s="3">
        <v>2000000</v>
      </c>
      <c r="AI564" s="3">
        <v>2000000</v>
      </c>
      <c r="AJ564" s="3">
        <v>2000000</v>
      </c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>
        <f t="shared" si="33"/>
        <v>8000000</v>
      </c>
      <c r="AX564" s="3">
        <f t="shared" si="34"/>
        <v>0</v>
      </c>
      <c r="AY564" s="4">
        <f t="shared" si="35"/>
        <v>4</v>
      </c>
      <c r="AZ564" s="8">
        <v>0</v>
      </c>
      <c r="BA564" s="4" t="s">
        <v>5726</v>
      </c>
      <c r="BB564" s="2"/>
      <c r="BC564" s="3"/>
      <c r="BD564" s="4"/>
    </row>
    <row r="565" spans="1:56" ht="16.8" customHeight="1">
      <c r="A565" s="1">
        <v>564</v>
      </c>
      <c r="B565" s="1" t="s">
        <v>1816</v>
      </c>
      <c r="C565" s="1" t="s">
        <v>1920</v>
      </c>
      <c r="D565" s="1" t="s">
        <v>2155</v>
      </c>
      <c r="E565" s="1" t="s">
        <v>2155</v>
      </c>
      <c r="F565" s="1"/>
      <c r="G565" s="1" t="s">
        <v>2156</v>
      </c>
      <c r="H565" s="1"/>
      <c r="I565" s="18"/>
      <c r="J565" s="18"/>
      <c r="K565" s="18"/>
      <c r="L565" s="18"/>
      <c r="M565" s="2">
        <v>1500000</v>
      </c>
      <c r="N565" s="2">
        <v>1500000</v>
      </c>
      <c r="O565" s="2"/>
      <c r="P565" s="2" t="str">
        <f t="shared" si="32"/>
        <v/>
      </c>
      <c r="Q565" s="2"/>
      <c r="R565" s="2"/>
      <c r="S565" s="48"/>
      <c r="T565" s="2">
        <v>0</v>
      </c>
      <c r="U565" s="2">
        <v>0</v>
      </c>
      <c r="V565" s="1"/>
      <c r="W565" s="6"/>
      <c r="X565" s="1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>
        <f t="shared" si="33"/>
        <v>0</v>
      </c>
      <c r="AX565" s="3">
        <f t="shared" si="34"/>
        <v>0</v>
      </c>
      <c r="AY565" s="4">
        <f t="shared" si="35"/>
        <v>0</v>
      </c>
      <c r="BA565" s="4" t="s">
        <v>5726</v>
      </c>
      <c r="BB565" s="2"/>
      <c r="BC565" s="3"/>
      <c r="BD565" s="4"/>
    </row>
    <row r="566" spans="1:56" ht="16.8" customHeight="1">
      <c r="A566" s="1">
        <v>565</v>
      </c>
      <c r="B566" s="1" t="s">
        <v>1816</v>
      </c>
      <c r="C566" s="1" t="s">
        <v>1920</v>
      </c>
      <c r="D566" s="1" t="s">
        <v>2157</v>
      </c>
      <c r="E566" s="1" t="s">
        <v>2157</v>
      </c>
      <c r="F566" s="1" t="s">
        <v>2158</v>
      </c>
      <c r="G566" s="1" t="s">
        <v>2159</v>
      </c>
      <c r="H566" s="1" t="s">
        <v>5122</v>
      </c>
      <c r="I566" s="18" t="s">
        <v>4783</v>
      </c>
      <c r="J566" s="18" t="s">
        <v>5074</v>
      </c>
      <c r="K566" s="18" t="s">
        <v>5050</v>
      </c>
      <c r="L566" s="18" t="s">
        <v>4734</v>
      </c>
      <c r="M566" s="2">
        <v>1500000</v>
      </c>
      <c r="N566" s="2">
        <v>1500000</v>
      </c>
      <c r="O566" s="2"/>
      <c r="P566" s="2" t="str">
        <f t="shared" si="32"/>
        <v/>
      </c>
      <c r="Q566" s="2"/>
      <c r="R566" s="2"/>
      <c r="S566" s="48"/>
      <c r="T566" s="2">
        <v>18000000</v>
      </c>
      <c r="U566" s="2">
        <v>0</v>
      </c>
      <c r="V566" s="1" t="s">
        <v>2160</v>
      </c>
      <c r="W566" s="6" t="s">
        <v>2161</v>
      </c>
      <c r="X566" s="1" t="s">
        <v>397</v>
      </c>
      <c r="Y566" s="3">
        <v>1500000</v>
      </c>
      <c r="Z566" s="3">
        <v>1500000</v>
      </c>
      <c r="AA566" s="3">
        <v>1500000</v>
      </c>
      <c r="AB566" s="3">
        <v>1500000</v>
      </c>
      <c r="AC566" s="3">
        <v>1500000</v>
      </c>
      <c r="AD566" s="3">
        <v>1500000</v>
      </c>
      <c r="AE566" s="3">
        <v>1500000</v>
      </c>
      <c r="AF566" s="3">
        <v>1500000</v>
      </c>
      <c r="AG566" s="3">
        <v>1500000</v>
      </c>
      <c r="AH566" s="3">
        <v>1500000</v>
      </c>
      <c r="AI566" s="3">
        <v>1500000</v>
      </c>
      <c r="AJ566" s="3">
        <v>1500000</v>
      </c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>
        <f t="shared" si="33"/>
        <v>18000000</v>
      </c>
      <c r="AX566" s="3">
        <f t="shared" si="34"/>
        <v>0</v>
      </c>
      <c r="AY566" s="4">
        <f t="shared" si="35"/>
        <v>12</v>
      </c>
      <c r="AZ566" s="8">
        <v>0</v>
      </c>
      <c r="BA566" s="4" t="s">
        <v>5726</v>
      </c>
      <c r="BB566" s="2"/>
      <c r="BC566" s="3"/>
      <c r="BD566" s="3"/>
    </row>
    <row r="567" spans="1:56" ht="16.8" customHeight="1">
      <c r="A567" s="1">
        <v>566</v>
      </c>
      <c r="B567" s="1" t="s">
        <v>1816</v>
      </c>
      <c r="C567" s="1" t="s">
        <v>1920</v>
      </c>
      <c r="D567" s="1" t="s">
        <v>2162</v>
      </c>
      <c r="E567" s="1" t="s">
        <v>2162</v>
      </c>
      <c r="F567" s="1" t="s">
        <v>2163</v>
      </c>
      <c r="G567" s="1" t="s">
        <v>2164</v>
      </c>
      <c r="H567" s="1" t="s">
        <v>5043</v>
      </c>
      <c r="I567" s="18"/>
      <c r="J567" s="18"/>
      <c r="K567" s="18"/>
      <c r="L567" s="18"/>
      <c r="M567" s="2">
        <v>2500000</v>
      </c>
      <c r="N567" s="2">
        <v>2500000</v>
      </c>
      <c r="O567" s="2"/>
      <c r="P567" s="2" t="str">
        <f t="shared" si="32"/>
        <v/>
      </c>
      <c r="Q567" s="2">
        <v>3000000</v>
      </c>
      <c r="R567" s="2"/>
      <c r="S567" s="48">
        <v>46023</v>
      </c>
      <c r="T567" s="2">
        <v>0</v>
      </c>
      <c r="U567" s="2">
        <v>0</v>
      </c>
      <c r="V567" s="1"/>
      <c r="W567" s="6"/>
      <c r="X567" s="1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>
        <f t="shared" si="33"/>
        <v>0</v>
      </c>
      <c r="AX567" s="3">
        <f t="shared" si="34"/>
        <v>0</v>
      </c>
      <c r="AY567" s="4">
        <f t="shared" si="35"/>
        <v>0</v>
      </c>
      <c r="BA567" s="4" t="s">
        <v>5726</v>
      </c>
      <c r="BB567" s="2"/>
      <c r="BC567" s="3"/>
      <c r="BD567" s="4"/>
    </row>
    <row r="568" spans="1:56" ht="16.8" customHeight="1">
      <c r="A568" s="1">
        <v>567</v>
      </c>
      <c r="B568" s="1" t="s">
        <v>1816</v>
      </c>
      <c r="C568" s="1" t="s">
        <v>1920</v>
      </c>
      <c r="D568" s="1" t="s">
        <v>2165</v>
      </c>
      <c r="E568" s="1" t="s">
        <v>2165</v>
      </c>
      <c r="F568" s="1" t="s">
        <v>2166</v>
      </c>
      <c r="G568" s="1" t="s">
        <v>2167</v>
      </c>
      <c r="H568" s="1" t="s">
        <v>5123</v>
      </c>
      <c r="I568" s="18" t="s">
        <v>4783</v>
      </c>
      <c r="J568" s="18" t="s">
        <v>5018</v>
      </c>
      <c r="K568" s="18" t="s">
        <v>4742</v>
      </c>
      <c r="L568" s="18" t="s">
        <v>4734</v>
      </c>
      <c r="M568" s="2">
        <v>1800000</v>
      </c>
      <c r="N568" s="2">
        <v>1800000</v>
      </c>
      <c r="O568" s="2"/>
      <c r="P568" s="2" t="str">
        <f t="shared" si="32"/>
        <v/>
      </c>
      <c r="Q568" s="2"/>
      <c r="R568" s="2"/>
      <c r="S568" s="48"/>
      <c r="T568" s="2">
        <v>0</v>
      </c>
      <c r="U568" s="2">
        <v>0</v>
      </c>
      <c r="V568" s="1" t="s">
        <v>2168</v>
      </c>
      <c r="W568" s="6" t="s">
        <v>2169</v>
      </c>
      <c r="X568" s="1" t="s">
        <v>2170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>
        <v>1800000</v>
      </c>
      <c r="AL568" s="3">
        <v>1800000</v>
      </c>
      <c r="AM568" s="3">
        <v>1800000</v>
      </c>
      <c r="AN568" s="3">
        <v>1800000</v>
      </c>
      <c r="AO568" s="3">
        <v>1800000</v>
      </c>
      <c r="AP568" s="3">
        <v>1800000</v>
      </c>
      <c r="AQ568" s="3"/>
      <c r="AR568" s="3"/>
      <c r="AS568" s="3"/>
      <c r="AT568" s="3"/>
      <c r="AU568" s="3"/>
      <c r="AV568" s="3"/>
      <c r="AW568" s="3">
        <f t="shared" si="33"/>
        <v>0</v>
      </c>
      <c r="AX568" s="3">
        <f t="shared" si="34"/>
        <v>10800000</v>
      </c>
      <c r="AY568" s="4">
        <f t="shared" si="35"/>
        <v>6</v>
      </c>
      <c r="AZ568" s="8" t="s">
        <v>5568</v>
      </c>
      <c r="BA568" s="4" t="s">
        <v>5726</v>
      </c>
      <c r="BB568" s="2"/>
      <c r="BC568" s="3"/>
      <c r="BD568" s="3"/>
    </row>
    <row r="569" spans="1:56" ht="16.8" customHeight="1">
      <c r="A569" s="1">
        <v>568</v>
      </c>
      <c r="B569" s="1" t="s">
        <v>1816</v>
      </c>
      <c r="C569" s="1" t="s">
        <v>1920</v>
      </c>
      <c r="D569" s="1" t="s">
        <v>2171</v>
      </c>
      <c r="E569" s="1" t="s">
        <v>2171</v>
      </c>
      <c r="F569" s="1" t="s">
        <v>2172</v>
      </c>
      <c r="G569" s="1" t="s">
        <v>2173</v>
      </c>
      <c r="H569" s="1" t="s">
        <v>5043</v>
      </c>
      <c r="I569" s="18"/>
      <c r="J569" s="18"/>
      <c r="K569" s="18"/>
      <c r="L569" s="18"/>
      <c r="M569" s="2">
        <v>3000000</v>
      </c>
      <c r="N569" s="2">
        <v>3000000</v>
      </c>
      <c r="O569" s="2"/>
      <c r="P569" s="2" t="str">
        <f t="shared" si="32"/>
        <v/>
      </c>
      <c r="Q569" s="2"/>
      <c r="R569" s="2"/>
      <c r="S569" s="48"/>
      <c r="T569" s="2">
        <v>0</v>
      </c>
      <c r="U569" s="2">
        <v>0</v>
      </c>
      <c r="V569" s="1"/>
      <c r="W569" s="6"/>
      <c r="X569" s="1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>
        <f t="shared" si="33"/>
        <v>0</v>
      </c>
      <c r="AX569" s="3">
        <f t="shared" si="34"/>
        <v>0</v>
      </c>
      <c r="AY569" s="4">
        <f t="shared" si="35"/>
        <v>0</v>
      </c>
      <c r="BA569" s="4" t="s">
        <v>5726</v>
      </c>
      <c r="BB569" s="2"/>
      <c r="BC569" s="3"/>
      <c r="BD569" s="4"/>
    </row>
    <row r="570" spans="1:56" ht="16.8" customHeight="1">
      <c r="A570" s="1">
        <v>569</v>
      </c>
      <c r="B570" s="1" t="s">
        <v>1816</v>
      </c>
      <c r="C570" s="1" t="s">
        <v>1920</v>
      </c>
      <c r="D570" s="1" t="s">
        <v>2174</v>
      </c>
      <c r="E570" s="1" t="s">
        <v>2174</v>
      </c>
      <c r="F570" s="1" t="s">
        <v>2175</v>
      </c>
      <c r="G570" s="1" t="s">
        <v>2176</v>
      </c>
      <c r="H570" s="1" t="s">
        <v>5124</v>
      </c>
      <c r="I570" s="18" t="s">
        <v>4783</v>
      </c>
      <c r="J570" s="18" t="s">
        <v>5074</v>
      </c>
      <c r="K570" s="18" t="s">
        <v>4733</v>
      </c>
      <c r="L570" s="18" t="s">
        <v>4734</v>
      </c>
      <c r="M570" s="2">
        <v>1300000</v>
      </c>
      <c r="N570" s="2">
        <v>1300000</v>
      </c>
      <c r="O570" s="2"/>
      <c r="P570" s="2" t="str">
        <f t="shared" si="32"/>
        <v/>
      </c>
      <c r="Q570" s="2"/>
      <c r="R570" s="2"/>
      <c r="S570" s="48"/>
      <c r="T570" s="2">
        <v>15600000</v>
      </c>
      <c r="U570" s="2">
        <v>0</v>
      </c>
      <c r="V570" s="1"/>
      <c r="W570" s="6"/>
      <c r="X570" s="1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>
        <f t="shared" si="33"/>
        <v>0</v>
      </c>
      <c r="AX570" s="3">
        <f t="shared" si="34"/>
        <v>0</v>
      </c>
      <c r="AY570" s="4">
        <f t="shared" si="35"/>
        <v>0</v>
      </c>
      <c r="AZ570" s="8">
        <v>0</v>
      </c>
      <c r="BA570" s="4" t="s">
        <v>5726</v>
      </c>
      <c r="BB570" s="2"/>
      <c r="BC570" s="3"/>
      <c r="BD570" s="4"/>
    </row>
    <row r="571" spans="1:56" ht="16.8" customHeight="1">
      <c r="A571" s="1">
        <v>570</v>
      </c>
      <c r="B571" s="1" t="s">
        <v>1816</v>
      </c>
      <c r="C571" s="1" t="s">
        <v>1920</v>
      </c>
      <c r="D571" s="1" t="s">
        <v>2177</v>
      </c>
      <c r="E571" s="1" t="s">
        <v>2177</v>
      </c>
      <c r="F571" s="1" t="s">
        <v>2178</v>
      </c>
      <c r="G571" s="1" t="s">
        <v>2179</v>
      </c>
      <c r="H571" s="1" t="s">
        <v>5125</v>
      </c>
      <c r="I571" s="18" t="s">
        <v>4783</v>
      </c>
      <c r="J571" s="18" t="s">
        <v>5074</v>
      </c>
      <c r="K571" s="18" t="s">
        <v>4752</v>
      </c>
      <c r="L571" s="18" t="s">
        <v>4734</v>
      </c>
      <c r="M571" s="2">
        <v>916667</v>
      </c>
      <c r="N571" s="2">
        <v>1500000</v>
      </c>
      <c r="O571" s="2"/>
      <c r="P571" s="2">
        <f t="shared" si="32"/>
        <v>583333</v>
      </c>
      <c r="Q571" s="2"/>
      <c r="R571" s="2"/>
      <c r="S571" s="48"/>
      <c r="T571" s="2">
        <v>18000000</v>
      </c>
      <c r="U571" s="2">
        <v>0</v>
      </c>
      <c r="V571" s="1" t="s">
        <v>2180</v>
      </c>
      <c r="W571" s="6" t="s">
        <v>2181</v>
      </c>
      <c r="X571" s="1" t="s">
        <v>2182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>
        <f t="shared" si="33"/>
        <v>0</v>
      </c>
      <c r="AX571" s="3">
        <f t="shared" si="34"/>
        <v>0</v>
      </c>
      <c r="AY571" s="4">
        <f t="shared" si="35"/>
        <v>0</v>
      </c>
      <c r="AZ571" s="8" t="s">
        <v>5564</v>
      </c>
      <c r="BA571" s="4" t="s">
        <v>5726</v>
      </c>
      <c r="BB571" s="2"/>
      <c r="BC571" s="3"/>
      <c r="BD571" s="4"/>
    </row>
    <row r="572" spans="1:56" ht="16.8" customHeight="1">
      <c r="A572" s="1">
        <v>571</v>
      </c>
      <c r="B572" s="1" t="s">
        <v>1816</v>
      </c>
      <c r="C572" s="1" t="s">
        <v>1920</v>
      </c>
      <c r="D572" s="1" t="s">
        <v>2183</v>
      </c>
      <c r="E572" s="1" t="s">
        <v>2183</v>
      </c>
      <c r="F572" s="1" t="s">
        <v>2184</v>
      </c>
      <c r="G572" s="1" t="s">
        <v>2185</v>
      </c>
      <c r="H572" s="1" t="s">
        <v>5043</v>
      </c>
      <c r="I572" s="18"/>
      <c r="J572" s="18"/>
      <c r="K572" s="18"/>
      <c r="L572" s="18"/>
      <c r="M572" s="2">
        <v>1000000</v>
      </c>
      <c r="N572" s="2">
        <v>1000000</v>
      </c>
      <c r="O572" s="2"/>
      <c r="P572" s="2" t="str">
        <f t="shared" si="32"/>
        <v/>
      </c>
      <c r="Q572" s="2">
        <v>1500000</v>
      </c>
      <c r="R572" s="2"/>
      <c r="S572" s="48">
        <v>46023</v>
      </c>
      <c r="T572" s="2">
        <v>0</v>
      </c>
      <c r="U572" s="2">
        <v>0</v>
      </c>
      <c r="V572" s="1"/>
      <c r="W572" s="6"/>
      <c r="X572" s="1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>
        <f t="shared" si="33"/>
        <v>0</v>
      </c>
      <c r="AX572" s="3">
        <f t="shared" si="34"/>
        <v>0</v>
      </c>
      <c r="AY572" s="4">
        <f t="shared" si="35"/>
        <v>0</v>
      </c>
      <c r="BA572" s="4" t="s">
        <v>5726</v>
      </c>
      <c r="BB572" s="2"/>
      <c r="BC572" s="3"/>
      <c r="BD572" s="4"/>
    </row>
    <row r="573" spans="1:56" ht="16.8" customHeight="1">
      <c r="A573" s="1">
        <v>572</v>
      </c>
      <c r="B573" s="1" t="s">
        <v>1816</v>
      </c>
      <c r="C573" s="1" t="s">
        <v>1920</v>
      </c>
      <c r="D573" s="1" t="s">
        <v>2186</v>
      </c>
      <c r="E573" s="1" t="s">
        <v>2186</v>
      </c>
      <c r="F573" s="1" t="s">
        <v>2187</v>
      </c>
      <c r="G573" s="1" t="s">
        <v>2188</v>
      </c>
      <c r="H573" s="1" t="s">
        <v>5126</v>
      </c>
      <c r="I573" s="18" t="s">
        <v>4783</v>
      </c>
      <c r="J573" s="18" t="s">
        <v>5074</v>
      </c>
      <c r="K573" s="18" t="s">
        <v>4752</v>
      </c>
      <c r="L573" s="18" t="s">
        <v>4734</v>
      </c>
      <c r="M573" s="2">
        <v>1500000</v>
      </c>
      <c r="N573" s="2">
        <v>1800000</v>
      </c>
      <c r="O573" s="2"/>
      <c r="P573" s="2">
        <f t="shared" si="32"/>
        <v>300000</v>
      </c>
      <c r="Q573" s="2"/>
      <c r="R573" s="2"/>
      <c r="S573" s="48"/>
      <c r="T573" s="2">
        <v>21600000</v>
      </c>
      <c r="U573" s="2">
        <v>0</v>
      </c>
      <c r="V573" s="1" t="s">
        <v>2188</v>
      </c>
      <c r="W573" s="6" t="s">
        <v>2189</v>
      </c>
      <c r="X573" s="1" t="s">
        <v>2190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>
        <f t="shared" si="33"/>
        <v>0</v>
      </c>
      <c r="AX573" s="3">
        <f t="shared" si="34"/>
        <v>0</v>
      </c>
      <c r="AY573" s="4">
        <f t="shared" si="35"/>
        <v>0</v>
      </c>
      <c r="AZ573" s="8">
        <v>0</v>
      </c>
      <c r="BA573" s="4" t="s">
        <v>5726</v>
      </c>
      <c r="BB573" s="2"/>
      <c r="BC573" s="3"/>
      <c r="BD573" s="4"/>
    </row>
    <row r="574" spans="1:56" ht="16.8" customHeight="1">
      <c r="A574" s="1">
        <v>573</v>
      </c>
      <c r="B574" s="1" t="s">
        <v>1816</v>
      </c>
      <c r="C574" s="1" t="s">
        <v>1920</v>
      </c>
      <c r="D574" s="1" t="s">
        <v>2191</v>
      </c>
      <c r="E574" s="1" t="s">
        <v>2191</v>
      </c>
      <c r="F574" s="1" t="s">
        <v>2192</v>
      </c>
      <c r="G574" s="1" t="s">
        <v>2193</v>
      </c>
      <c r="H574" s="1" t="s">
        <v>5127</v>
      </c>
      <c r="I574" s="18" t="s">
        <v>4783</v>
      </c>
      <c r="J574" s="18" t="s">
        <v>5018</v>
      </c>
      <c r="K574" s="18" t="s">
        <v>4742</v>
      </c>
      <c r="L574" s="18" t="s">
        <v>4734</v>
      </c>
      <c r="M574" s="2">
        <v>2500000</v>
      </c>
      <c r="N574" s="2">
        <v>2500000</v>
      </c>
      <c r="O574" s="2">
        <v>2500000</v>
      </c>
      <c r="P574" s="2" t="str">
        <f t="shared" si="32"/>
        <v/>
      </c>
      <c r="Q574" s="2"/>
      <c r="R574" s="2"/>
      <c r="S574" s="48"/>
      <c r="T574" s="2">
        <v>0</v>
      </c>
      <c r="U574" s="2">
        <v>0</v>
      </c>
      <c r="V574" s="1"/>
      <c r="W574" s="6"/>
      <c r="X574" s="1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>
        <f t="shared" si="33"/>
        <v>0</v>
      </c>
      <c r="AX574" s="3">
        <f t="shared" si="34"/>
        <v>0</v>
      </c>
      <c r="AY574" s="4">
        <f t="shared" si="35"/>
        <v>0</v>
      </c>
      <c r="AZ574" s="8" t="s">
        <v>5569</v>
      </c>
      <c r="BA574" s="4" t="s">
        <v>5726</v>
      </c>
      <c r="BB574" s="2"/>
      <c r="BC574" s="3"/>
      <c r="BD574" s="4"/>
    </row>
    <row r="575" spans="1:56" ht="16.8" customHeight="1">
      <c r="A575" s="1">
        <v>574</v>
      </c>
      <c r="B575" s="1" t="s">
        <v>1816</v>
      </c>
      <c r="C575" s="1" t="s">
        <v>1920</v>
      </c>
      <c r="D575" s="1" t="s">
        <v>2194</v>
      </c>
      <c r="E575" s="1" t="s">
        <v>2194</v>
      </c>
      <c r="F575" s="1" t="s">
        <v>2195</v>
      </c>
      <c r="G575" s="1" t="s">
        <v>2196</v>
      </c>
      <c r="H575" s="1" t="s">
        <v>5128</v>
      </c>
      <c r="I575" s="18" t="s">
        <v>4783</v>
      </c>
      <c r="J575" s="18" t="s">
        <v>4783</v>
      </c>
      <c r="K575" s="18" t="s">
        <v>4752</v>
      </c>
      <c r="L575" s="18" t="s">
        <v>4734</v>
      </c>
      <c r="M575" s="2">
        <v>2300000</v>
      </c>
      <c r="N575" s="2">
        <v>2300000</v>
      </c>
      <c r="O575" s="2"/>
      <c r="P575" s="2" t="str">
        <f t="shared" si="32"/>
        <v/>
      </c>
      <c r="Q575" s="2"/>
      <c r="R575" s="2"/>
      <c r="S575" s="48"/>
      <c r="T575" s="2">
        <v>18000000</v>
      </c>
      <c r="U575" s="2">
        <v>0</v>
      </c>
      <c r="V575" s="1" t="s">
        <v>2196</v>
      </c>
      <c r="W575" s="6" t="s">
        <v>2197</v>
      </c>
      <c r="X575" s="1" t="s">
        <v>2198</v>
      </c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>
        <f t="shared" si="33"/>
        <v>0</v>
      </c>
      <c r="AX575" s="3">
        <f t="shared" si="34"/>
        <v>0</v>
      </c>
      <c r="AY575" s="4">
        <f t="shared" si="35"/>
        <v>0</v>
      </c>
      <c r="AZ575" s="8">
        <v>0</v>
      </c>
      <c r="BA575" s="4" t="s">
        <v>5726</v>
      </c>
      <c r="BB575" s="2"/>
      <c r="BC575" s="3"/>
      <c r="BD575" s="4"/>
    </row>
    <row r="576" spans="1:56" ht="16.8" customHeight="1">
      <c r="A576" s="1">
        <v>575</v>
      </c>
      <c r="B576" s="1" t="s">
        <v>1816</v>
      </c>
      <c r="C576" s="1" t="s">
        <v>2049</v>
      </c>
      <c r="D576" s="1" t="s">
        <v>2199</v>
      </c>
      <c r="E576" s="1" t="s">
        <v>2199</v>
      </c>
      <c r="F576" s="1" t="s">
        <v>2200</v>
      </c>
      <c r="G576" s="1" t="s">
        <v>2201</v>
      </c>
      <c r="H576" s="1" t="s">
        <v>5129</v>
      </c>
      <c r="I576" s="18" t="s">
        <v>4783</v>
      </c>
      <c r="J576" s="18" t="s">
        <v>5018</v>
      </c>
      <c r="K576" s="18" t="s">
        <v>4752</v>
      </c>
      <c r="L576" s="18" t="s">
        <v>4734</v>
      </c>
      <c r="M576" s="2">
        <v>4000000</v>
      </c>
      <c r="N576" s="2">
        <v>4000000</v>
      </c>
      <c r="O576" s="2"/>
      <c r="P576" s="2" t="str">
        <f t="shared" si="32"/>
        <v/>
      </c>
      <c r="Q576" s="2"/>
      <c r="R576" s="2"/>
      <c r="S576" s="48"/>
      <c r="T576" s="2">
        <v>0</v>
      </c>
      <c r="U576" s="2">
        <v>0</v>
      </c>
      <c r="V576" s="1" t="s">
        <v>2201</v>
      </c>
      <c r="W576" s="6" t="s">
        <v>2202</v>
      </c>
      <c r="X576" s="1" t="s">
        <v>397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>
        <v>4000000</v>
      </c>
      <c r="AL576" s="3">
        <v>4000000</v>
      </c>
      <c r="AM576" s="3">
        <v>4000000</v>
      </c>
      <c r="AN576" s="3">
        <v>4000000</v>
      </c>
      <c r="AO576" s="3">
        <v>4000000</v>
      </c>
      <c r="AP576" s="3">
        <v>4000000</v>
      </c>
      <c r="AQ576" s="3">
        <v>4000000</v>
      </c>
      <c r="AR576" s="3">
        <v>4000000</v>
      </c>
      <c r="AS576" s="3">
        <v>4000000</v>
      </c>
      <c r="AT576" s="3">
        <v>4000000</v>
      </c>
      <c r="AU576" s="3">
        <v>4000000</v>
      </c>
      <c r="AV576" s="3">
        <v>4000000</v>
      </c>
      <c r="AW576" s="3">
        <f t="shared" si="33"/>
        <v>0</v>
      </c>
      <c r="AX576" s="3">
        <f t="shared" si="34"/>
        <v>48000000</v>
      </c>
      <c r="AY576" s="4">
        <f t="shared" si="35"/>
        <v>12</v>
      </c>
      <c r="AZ576" s="8">
        <v>0</v>
      </c>
      <c r="BA576" s="4" t="s">
        <v>5726</v>
      </c>
      <c r="BB576" s="2">
        <v>48000000</v>
      </c>
      <c r="BC576" s="3"/>
      <c r="BD576" s="3"/>
    </row>
    <row r="577" spans="1:56" ht="16.8" customHeight="1">
      <c r="A577" s="1">
        <v>576</v>
      </c>
      <c r="B577" s="1" t="s">
        <v>1816</v>
      </c>
      <c r="C577" s="1" t="s">
        <v>1920</v>
      </c>
      <c r="D577" s="1" t="s">
        <v>2203</v>
      </c>
      <c r="E577" s="1" t="s">
        <v>2203</v>
      </c>
      <c r="F577" s="1" t="s">
        <v>2204</v>
      </c>
      <c r="G577" s="1" t="s">
        <v>2205</v>
      </c>
      <c r="H577" s="1" t="s">
        <v>5043</v>
      </c>
      <c r="I577" s="18"/>
      <c r="J577" s="18"/>
      <c r="K577" s="18"/>
      <c r="L577" s="18"/>
      <c r="M577" s="2">
        <v>2500000</v>
      </c>
      <c r="N577" s="2">
        <v>2500000</v>
      </c>
      <c r="O577" s="2"/>
      <c r="P577" s="2" t="str">
        <f t="shared" si="32"/>
        <v/>
      </c>
      <c r="Q577" s="2">
        <v>3000000</v>
      </c>
      <c r="R577" s="2"/>
      <c r="S577" s="48">
        <v>46023</v>
      </c>
      <c r="T577" s="2">
        <v>0</v>
      </c>
      <c r="U577" s="2">
        <v>0</v>
      </c>
      <c r="V577" s="1"/>
      <c r="W577" s="6"/>
      <c r="X577" s="1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>
        <f t="shared" si="33"/>
        <v>0</v>
      </c>
      <c r="AX577" s="3">
        <f t="shared" si="34"/>
        <v>0</v>
      </c>
      <c r="AY577" s="4">
        <f t="shared" si="35"/>
        <v>0</v>
      </c>
      <c r="BA577" s="4" t="s">
        <v>5726</v>
      </c>
      <c r="BB577" s="2"/>
      <c r="BC577" s="3"/>
      <c r="BD577" s="4"/>
    </row>
    <row r="578" spans="1:56" ht="16.8" customHeight="1">
      <c r="A578" s="1">
        <v>577</v>
      </c>
      <c r="B578" s="1" t="s">
        <v>1816</v>
      </c>
      <c r="C578" s="1" t="s">
        <v>1920</v>
      </c>
      <c r="D578" s="1" t="s">
        <v>2206</v>
      </c>
      <c r="E578" s="1" t="s">
        <v>2206</v>
      </c>
      <c r="F578" s="1" t="s">
        <v>2207</v>
      </c>
      <c r="G578" s="1" t="s">
        <v>2208</v>
      </c>
      <c r="H578" s="1" t="s">
        <v>5130</v>
      </c>
      <c r="I578" s="18" t="s">
        <v>5131</v>
      </c>
      <c r="J578" s="18" t="s">
        <v>5132</v>
      </c>
      <c r="K578" s="18" t="s">
        <v>4795</v>
      </c>
      <c r="L578" s="18" t="s">
        <v>4734</v>
      </c>
      <c r="M578" s="2">
        <v>6000000</v>
      </c>
      <c r="N578" s="2">
        <v>6000000</v>
      </c>
      <c r="O578" s="2"/>
      <c r="P578" s="2" t="str">
        <f t="shared" ref="P578:P641" si="36">IF(OR(M578="",N578="",M578=N578),"",N578-M578)</f>
        <v/>
      </c>
      <c r="Q578" s="2"/>
      <c r="R578" s="2"/>
      <c r="S578" s="48"/>
      <c r="T578" s="2">
        <v>36000000</v>
      </c>
      <c r="U578" s="2">
        <v>0</v>
      </c>
      <c r="V578" s="1" t="s">
        <v>2209</v>
      </c>
      <c r="W578" s="6" t="s">
        <v>2210</v>
      </c>
      <c r="X578" s="1" t="s">
        <v>2211</v>
      </c>
      <c r="Y578" s="3"/>
      <c r="Z578" s="3"/>
      <c r="AA578" s="3"/>
      <c r="AB578" s="3"/>
      <c r="AC578" s="3"/>
      <c r="AD578" s="3"/>
      <c r="AE578" s="3">
        <v>6000000</v>
      </c>
      <c r="AF578" s="3">
        <v>6000000</v>
      </c>
      <c r="AG578" s="3">
        <v>6000000</v>
      </c>
      <c r="AH578" s="3">
        <v>6000000</v>
      </c>
      <c r="AI578" s="3">
        <v>6000000</v>
      </c>
      <c r="AJ578" s="3">
        <v>6000000</v>
      </c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>
        <f t="shared" ref="AW578:AW641" si="37">SUM(Y578:AJ578)</f>
        <v>36000000</v>
      </c>
      <c r="AX578" s="3">
        <f t="shared" ref="AX578:AX641" si="38">SUM(AK578:AV578)</f>
        <v>0</v>
      </c>
      <c r="AY578" s="4">
        <f t="shared" ref="AY578:AY641" si="39">COUNT(Y578:AV578)</f>
        <v>6</v>
      </c>
      <c r="AZ578" s="8" t="s">
        <v>5570</v>
      </c>
      <c r="BA578" s="4" t="s">
        <v>5726</v>
      </c>
      <c r="BB578" s="2"/>
      <c r="BC578" s="3"/>
      <c r="BD578" s="4"/>
    </row>
    <row r="579" spans="1:56" ht="16.8" customHeight="1">
      <c r="A579" s="1">
        <v>578</v>
      </c>
      <c r="B579" s="1" t="s">
        <v>1816</v>
      </c>
      <c r="C579" s="1" t="s">
        <v>1920</v>
      </c>
      <c r="D579" s="1" t="s">
        <v>2212</v>
      </c>
      <c r="E579" s="1" t="s">
        <v>2212</v>
      </c>
      <c r="F579" s="1" t="s">
        <v>2213</v>
      </c>
      <c r="G579" s="1" t="s">
        <v>2214</v>
      </c>
      <c r="H579" s="1" t="s">
        <v>5043</v>
      </c>
      <c r="I579" s="18"/>
      <c r="J579" s="18"/>
      <c r="K579" s="18"/>
      <c r="L579" s="18"/>
      <c r="M579" s="2">
        <v>1500000</v>
      </c>
      <c r="N579" s="2">
        <v>1500000</v>
      </c>
      <c r="O579" s="2"/>
      <c r="P579" s="2" t="str">
        <f t="shared" si="36"/>
        <v/>
      </c>
      <c r="Q579" s="2">
        <v>2000000</v>
      </c>
      <c r="R579" s="2"/>
      <c r="S579" s="48">
        <v>46023</v>
      </c>
      <c r="T579" s="2">
        <v>0</v>
      </c>
      <c r="U579" s="2">
        <v>0</v>
      </c>
      <c r="V579" s="1"/>
      <c r="W579" s="6"/>
      <c r="X579" s="1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>
        <f t="shared" si="37"/>
        <v>0</v>
      </c>
      <c r="AX579" s="3">
        <f t="shared" si="38"/>
        <v>0</v>
      </c>
      <c r="AY579" s="4">
        <f t="shared" si="39"/>
        <v>0</v>
      </c>
      <c r="BA579" s="4" t="s">
        <v>5726</v>
      </c>
      <c r="BB579" s="2"/>
      <c r="BC579" s="3"/>
      <c r="BD579" s="4"/>
    </row>
    <row r="580" spans="1:56" ht="16.8" customHeight="1">
      <c r="A580" s="1">
        <v>579</v>
      </c>
      <c r="B580" s="1" t="s">
        <v>1816</v>
      </c>
      <c r="C580" s="1" t="s">
        <v>1920</v>
      </c>
      <c r="D580" s="1" t="s">
        <v>2215</v>
      </c>
      <c r="E580" s="1" t="s">
        <v>2215</v>
      </c>
      <c r="F580" s="1" t="s">
        <v>2216</v>
      </c>
      <c r="G580" s="1" t="s">
        <v>2217</v>
      </c>
      <c r="H580" s="1" t="s">
        <v>5043</v>
      </c>
      <c r="I580" s="18"/>
      <c r="J580" s="18"/>
      <c r="K580" s="18"/>
      <c r="L580" s="18"/>
      <c r="M580" s="2">
        <v>1500000</v>
      </c>
      <c r="N580" s="2">
        <v>1500000</v>
      </c>
      <c r="O580" s="2"/>
      <c r="P580" s="2" t="str">
        <f t="shared" si="36"/>
        <v/>
      </c>
      <c r="Q580" s="2"/>
      <c r="R580" s="2"/>
      <c r="S580" s="48"/>
      <c r="T580" s="2">
        <v>0</v>
      </c>
      <c r="U580" s="2">
        <v>0</v>
      </c>
      <c r="V580" s="1"/>
      <c r="W580" s="6"/>
      <c r="X580" s="1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>
        <f t="shared" si="37"/>
        <v>0</v>
      </c>
      <c r="AX580" s="3">
        <f t="shared" si="38"/>
        <v>0</v>
      </c>
      <c r="AY580" s="4">
        <f t="shared" si="39"/>
        <v>0</v>
      </c>
      <c r="BA580" s="4" t="s">
        <v>5726</v>
      </c>
      <c r="BB580" s="2"/>
      <c r="BC580" s="3"/>
      <c r="BD580" s="4"/>
    </row>
    <row r="581" spans="1:56" ht="16.8" customHeight="1">
      <c r="A581" s="1">
        <v>580</v>
      </c>
      <c r="B581" s="1" t="s">
        <v>1816</v>
      </c>
      <c r="C581" s="1" t="s">
        <v>1920</v>
      </c>
      <c r="D581" s="1" t="s">
        <v>2218</v>
      </c>
      <c r="E581" s="1" t="s">
        <v>2218</v>
      </c>
      <c r="F581" s="1" t="s">
        <v>2219</v>
      </c>
      <c r="G581" s="1" t="s">
        <v>2220</v>
      </c>
      <c r="H581" s="1" t="s">
        <v>5133</v>
      </c>
      <c r="I581" s="18" t="s">
        <v>4783</v>
      </c>
      <c r="J581" s="18" t="s">
        <v>5074</v>
      </c>
      <c r="K581" s="18" t="s">
        <v>4752</v>
      </c>
      <c r="L581" s="18" t="s">
        <v>4734</v>
      </c>
      <c r="M581" s="2">
        <v>2300000</v>
      </c>
      <c r="N581" s="2">
        <v>2300000</v>
      </c>
      <c r="O581" s="2"/>
      <c r="P581" s="2" t="str">
        <f t="shared" si="36"/>
        <v/>
      </c>
      <c r="Q581" s="2"/>
      <c r="R581" s="2"/>
      <c r="S581" s="48"/>
      <c r="T581" s="2">
        <v>27600000</v>
      </c>
      <c r="U581" s="2">
        <v>0</v>
      </c>
      <c r="V581" s="1" t="s">
        <v>2220</v>
      </c>
      <c r="W581" s="6" t="s">
        <v>2221</v>
      </c>
      <c r="X581" s="1" t="s">
        <v>1830</v>
      </c>
      <c r="Y581" s="3">
        <v>2300000</v>
      </c>
      <c r="Z581" s="3">
        <v>2300000</v>
      </c>
      <c r="AA581" s="3">
        <v>2300000</v>
      </c>
      <c r="AB581" s="3">
        <v>2300000</v>
      </c>
      <c r="AC581" s="3">
        <v>2300000</v>
      </c>
      <c r="AD581" s="3">
        <v>2300000</v>
      </c>
      <c r="AE581" s="3">
        <v>2300000</v>
      </c>
      <c r="AF581" s="3">
        <v>2300000</v>
      </c>
      <c r="AG581" s="3">
        <v>2300000</v>
      </c>
      <c r="AH581" s="3">
        <v>2300000</v>
      </c>
      <c r="AI581" s="3">
        <v>2300000</v>
      </c>
      <c r="AJ581" s="3">
        <v>2300000</v>
      </c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>
        <f t="shared" si="37"/>
        <v>27600000</v>
      </c>
      <c r="AX581" s="3">
        <f t="shared" si="38"/>
        <v>0</v>
      </c>
      <c r="AY581" s="4">
        <f t="shared" si="39"/>
        <v>12</v>
      </c>
      <c r="AZ581" s="8">
        <v>0</v>
      </c>
      <c r="BA581" s="4" t="s">
        <v>5726</v>
      </c>
      <c r="BB581" s="2"/>
      <c r="BC581" s="3"/>
      <c r="BD581" s="4"/>
    </row>
    <row r="582" spans="1:56" ht="16.8" customHeight="1">
      <c r="A582" s="1">
        <v>581</v>
      </c>
      <c r="B582" s="1" t="s">
        <v>1816</v>
      </c>
      <c r="C582" s="1" t="s">
        <v>1920</v>
      </c>
      <c r="D582" s="1" t="s">
        <v>2222</v>
      </c>
      <c r="E582" s="1" t="s">
        <v>2222</v>
      </c>
      <c r="F582" s="1" t="s">
        <v>2223</v>
      </c>
      <c r="G582" s="1" t="s">
        <v>2224</v>
      </c>
      <c r="H582" s="1" t="s">
        <v>5134</v>
      </c>
      <c r="I582" s="18" t="s">
        <v>4783</v>
      </c>
      <c r="J582" s="18" t="s">
        <v>5074</v>
      </c>
      <c r="K582" s="18" t="s">
        <v>4752</v>
      </c>
      <c r="L582" s="18" t="s">
        <v>4734</v>
      </c>
      <c r="M582" s="2">
        <v>2300000</v>
      </c>
      <c r="N582" s="2">
        <v>2300000</v>
      </c>
      <c r="O582" s="2"/>
      <c r="P582" s="2" t="str">
        <f t="shared" si="36"/>
        <v/>
      </c>
      <c r="Q582" s="2"/>
      <c r="R582" s="2"/>
      <c r="S582" s="48"/>
      <c r="T582" s="2">
        <v>27600000</v>
      </c>
      <c r="U582" s="2">
        <v>0</v>
      </c>
      <c r="V582" s="1" t="s">
        <v>2225</v>
      </c>
      <c r="W582" s="6" t="s">
        <v>2226</v>
      </c>
      <c r="X582" s="1" t="s">
        <v>1860</v>
      </c>
      <c r="Y582" s="3">
        <v>2300000</v>
      </c>
      <c r="Z582" s="3">
        <v>2300000</v>
      </c>
      <c r="AA582" s="3">
        <v>2300000</v>
      </c>
      <c r="AB582" s="3">
        <v>2300000</v>
      </c>
      <c r="AC582" s="3">
        <v>2300000</v>
      </c>
      <c r="AD582" s="3">
        <v>2300000</v>
      </c>
      <c r="AE582" s="3">
        <v>2300000</v>
      </c>
      <c r="AF582" s="3">
        <v>2300000</v>
      </c>
      <c r="AG582" s="3">
        <v>2300000</v>
      </c>
      <c r="AH582" s="3">
        <v>2300000</v>
      </c>
      <c r="AI582" s="3">
        <v>2300000</v>
      </c>
      <c r="AJ582" s="3">
        <v>2300000</v>
      </c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>
        <f t="shared" si="37"/>
        <v>27600000</v>
      </c>
      <c r="AX582" s="3">
        <f t="shared" si="38"/>
        <v>0</v>
      </c>
      <c r="AY582" s="4">
        <f t="shared" si="39"/>
        <v>12</v>
      </c>
      <c r="AZ582" s="8">
        <v>0</v>
      </c>
      <c r="BA582" s="4" t="s">
        <v>5726</v>
      </c>
      <c r="BB582" s="2"/>
      <c r="BC582" s="3"/>
      <c r="BD582" s="4"/>
    </row>
    <row r="583" spans="1:56" ht="16.8" customHeight="1">
      <c r="A583" s="1">
        <v>582</v>
      </c>
      <c r="B583" s="1" t="s">
        <v>1816</v>
      </c>
      <c r="C583" s="1" t="s">
        <v>1920</v>
      </c>
      <c r="D583" s="1" t="s">
        <v>2227</v>
      </c>
      <c r="E583" s="1" t="s">
        <v>2227</v>
      </c>
      <c r="F583" s="1" t="s">
        <v>2228</v>
      </c>
      <c r="G583" s="1" t="s">
        <v>2229</v>
      </c>
      <c r="H583" s="1" t="s">
        <v>5135</v>
      </c>
      <c r="I583" s="18" t="s">
        <v>4783</v>
      </c>
      <c r="J583" s="18" t="s">
        <v>5018</v>
      </c>
      <c r="K583" s="18" t="s">
        <v>5136</v>
      </c>
      <c r="L583" s="18" t="s">
        <v>4734</v>
      </c>
      <c r="M583" s="2">
        <v>1500000</v>
      </c>
      <c r="N583" s="2">
        <v>1500000</v>
      </c>
      <c r="O583" s="2"/>
      <c r="P583" s="2" t="str">
        <f t="shared" si="36"/>
        <v/>
      </c>
      <c r="Q583" s="2"/>
      <c r="R583" s="2"/>
      <c r="S583" s="48"/>
      <c r="T583" s="2">
        <v>0</v>
      </c>
      <c r="U583" s="2">
        <v>0</v>
      </c>
      <c r="V583" s="1" t="s">
        <v>2230</v>
      </c>
      <c r="W583" s="6" t="s">
        <v>2231</v>
      </c>
      <c r="X583" s="1" t="s">
        <v>397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>
        <v>1500000</v>
      </c>
      <c r="AL583" s="3">
        <v>1500000</v>
      </c>
      <c r="AM583" s="3">
        <v>1500000</v>
      </c>
      <c r="AN583" s="3">
        <v>1500000</v>
      </c>
      <c r="AO583" s="3">
        <v>1500000</v>
      </c>
      <c r="AP583" s="3">
        <v>1500000</v>
      </c>
      <c r="AQ583" s="3">
        <v>1500000</v>
      </c>
      <c r="AR583" s="3">
        <v>1500000</v>
      </c>
      <c r="AS583" s="3">
        <v>1500000</v>
      </c>
      <c r="AT583" s="3">
        <v>1500000</v>
      </c>
      <c r="AU583" s="3">
        <v>1500000</v>
      </c>
      <c r="AV583" s="3">
        <v>1500000</v>
      </c>
      <c r="AW583" s="3">
        <f t="shared" si="37"/>
        <v>0</v>
      </c>
      <c r="AX583" s="3">
        <f t="shared" si="38"/>
        <v>18000000</v>
      </c>
      <c r="AY583" s="4">
        <f t="shared" si="39"/>
        <v>12</v>
      </c>
      <c r="AZ583" s="8" t="s">
        <v>5571</v>
      </c>
      <c r="BA583" s="4" t="s">
        <v>5726</v>
      </c>
      <c r="BB583" s="2">
        <v>18000000</v>
      </c>
      <c r="BC583" s="3"/>
      <c r="BD583" s="3"/>
    </row>
    <row r="584" spans="1:56" ht="16.8" customHeight="1">
      <c r="A584" s="1">
        <v>583</v>
      </c>
      <c r="B584" s="1" t="s">
        <v>1816</v>
      </c>
      <c r="C584" s="1" t="s">
        <v>1920</v>
      </c>
      <c r="D584" s="1" t="s">
        <v>2232</v>
      </c>
      <c r="E584" s="1" t="s">
        <v>2232</v>
      </c>
      <c r="F584" s="1" t="s">
        <v>2233</v>
      </c>
      <c r="G584" s="1" t="s">
        <v>2234</v>
      </c>
      <c r="H584" s="1" t="s">
        <v>5043</v>
      </c>
      <c r="I584" s="18"/>
      <c r="J584" s="18"/>
      <c r="K584" s="18"/>
      <c r="L584" s="18"/>
      <c r="M584" s="2">
        <v>2500000</v>
      </c>
      <c r="N584" s="2">
        <v>2500000</v>
      </c>
      <c r="O584" s="2"/>
      <c r="P584" s="2" t="str">
        <f t="shared" si="36"/>
        <v/>
      </c>
      <c r="Q584" s="2"/>
      <c r="R584" s="2"/>
      <c r="S584" s="48"/>
      <c r="T584" s="2">
        <v>0</v>
      </c>
      <c r="U584" s="2">
        <v>0</v>
      </c>
      <c r="V584" s="1" t="s">
        <v>2235</v>
      </c>
      <c r="W584" s="6" t="s">
        <v>2236</v>
      </c>
      <c r="X584" s="1" t="s">
        <v>2090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>
        <v>2500000</v>
      </c>
      <c r="AL584" s="3">
        <v>2500000</v>
      </c>
      <c r="AM584" s="3">
        <v>2500000</v>
      </c>
      <c r="AN584" s="3">
        <v>2500000</v>
      </c>
      <c r="AO584" s="3">
        <v>2500000</v>
      </c>
      <c r="AP584" s="3">
        <v>2500000</v>
      </c>
      <c r="AQ584" s="3"/>
      <c r="AR584" s="3"/>
      <c r="AS584" s="3"/>
      <c r="AT584" s="3"/>
      <c r="AU584" s="3"/>
      <c r="AV584" s="3"/>
      <c r="AW584" s="3">
        <f t="shared" si="37"/>
        <v>0</v>
      </c>
      <c r="AX584" s="3">
        <f t="shared" si="38"/>
        <v>15000000</v>
      </c>
      <c r="AY584" s="4">
        <f t="shared" si="39"/>
        <v>6</v>
      </c>
      <c r="BA584" s="4" t="s">
        <v>5715</v>
      </c>
      <c r="BB584" s="2"/>
      <c r="BC584" s="3"/>
      <c r="BD584" s="4"/>
    </row>
    <row r="585" spans="1:56" ht="16.8" customHeight="1">
      <c r="A585" s="1">
        <v>584</v>
      </c>
      <c r="B585" s="1" t="s">
        <v>1816</v>
      </c>
      <c r="C585" s="1" t="s">
        <v>1920</v>
      </c>
      <c r="D585" s="1" t="s">
        <v>2237</v>
      </c>
      <c r="E585" s="1" t="s">
        <v>2237</v>
      </c>
      <c r="F585" s="1" t="s">
        <v>2238</v>
      </c>
      <c r="G585" s="1" t="s">
        <v>2239</v>
      </c>
      <c r="H585" s="1" t="s">
        <v>5137</v>
      </c>
      <c r="I585" s="18" t="s">
        <v>4783</v>
      </c>
      <c r="J585" s="18" t="s">
        <v>5074</v>
      </c>
      <c r="K585" s="18" t="s">
        <v>4752</v>
      </c>
      <c r="L585" s="18" t="s">
        <v>4734</v>
      </c>
      <c r="M585" s="2">
        <v>3000000</v>
      </c>
      <c r="N585" s="2">
        <v>3000000</v>
      </c>
      <c r="O585" s="2"/>
      <c r="P585" s="2" t="str">
        <f t="shared" si="36"/>
        <v/>
      </c>
      <c r="Q585" s="2"/>
      <c r="R585" s="2"/>
      <c r="S585" s="48"/>
      <c r="T585" s="2">
        <v>0</v>
      </c>
      <c r="U585" s="2">
        <v>0</v>
      </c>
      <c r="V585" s="1" t="s">
        <v>2240</v>
      </c>
      <c r="W585" s="6" t="s">
        <v>2241</v>
      </c>
      <c r="X585" s="1" t="s">
        <v>1222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>
        <v>3000000</v>
      </c>
      <c r="AL585" s="3">
        <v>3000000</v>
      </c>
      <c r="AM585" s="3">
        <v>3000000</v>
      </c>
      <c r="AN585" s="3">
        <v>3000000</v>
      </c>
      <c r="AO585" s="3">
        <v>3000000</v>
      </c>
      <c r="AP585" s="3">
        <v>3000000</v>
      </c>
      <c r="AQ585" s="3">
        <v>3000000</v>
      </c>
      <c r="AR585" s="3">
        <v>3000000</v>
      </c>
      <c r="AS585" s="3">
        <v>3000000</v>
      </c>
      <c r="AT585" s="3">
        <v>3000000</v>
      </c>
      <c r="AU585" s="3">
        <v>3000000</v>
      </c>
      <c r="AV585" s="3">
        <v>3000000</v>
      </c>
      <c r="AW585" s="3">
        <f t="shared" si="37"/>
        <v>0</v>
      </c>
      <c r="AX585" s="3">
        <f t="shared" si="38"/>
        <v>36000000</v>
      </c>
      <c r="AY585" s="4">
        <f t="shared" si="39"/>
        <v>12</v>
      </c>
      <c r="AZ585" s="8">
        <v>0</v>
      </c>
      <c r="BA585" s="4" t="s">
        <v>5726</v>
      </c>
      <c r="BB585" s="2">
        <v>36000000</v>
      </c>
      <c r="BC585" s="3"/>
      <c r="BD585" s="3"/>
    </row>
    <row r="586" spans="1:56" ht="16.8" customHeight="1">
      <c r="A586" s="1">
        <v>585</v>
      </c>
      <c r="B586" s="1" t="s">
        <v>1816</v>
      </c>
      <c r="C586" s="1" t="s">
        <v>2049</v>
      </c>
      <c r="D586" s="1" t="s">
        <v>2242</v>
      </c>
      <c r="E586" s="1" t="s">
        <v>2242</v>
      </c>
      <c r="F586" s="1" t="s">
        <v>2243</v>
      </c>
      <c r="G586" s="1" t="s">
        <v>2244</v>
      </c>
      <c r="H586" s="1" t="s">
        <v>5138</v>
      </c>
      <c r="I586" s="18" t="s">
        <v>4783</v>
      </c>
      <c r="J586" s="18" t="s">
        <v>5018</v>
      </c>
      <c r="K586" s="18" t="s">
        <v>5139</v>
      </c>
      <c r="L586" s="18" t="s">
        <v>4734</v>
      </c>
      <c r="M586" s="2">
        <v>3000000</v>
      </c>
      <c r="N586" s="2">
        <v>3000000</v>
      </c>
      <c r="O586" s="2"/>
      <c r="P586" s="2" t="str">
        <f t="shared" si="36"/>
        <v/>
      </c>
      <c r="Q586" s="2"/>
      <c r="R586" s="2"/>
      <c r="S586" s="48"/>
      <c r="T586" s="2">
        <v>0</v>
      </c>
      <c r="U586" s="2">
        <v>0</v>
      </c>
      <c r="V586" s="1"/>
      <c r="W586" s="6"/>
      <c r="X586" s="1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>
        <v>3000000</v>
      </c>
      <c r="AL586" s="3">
        <v>3000000</v>
      </c>
      <c r="AM586" s="3">
        <v>3000000</v>
      </c>
      <c r="AN586" s="3">
        <v>3000000</v>
      </c>
      <c r="AO586" s="3">
        <v>3000000</v>
      </c>
      <c r="AP586" s="3">
        <v>3000000</v>
      </c>
      <c r="AQ586" s="3">
        <v>3000000</v>
      </c>
      <c r="AR586" s="3">
        <v>3000000</v>
      </c>
      <c r="AS586" s="3">
        <v>3000000</v>
      </c>
      <c r="AT586" s="3">
        <v>3000000</v>
      </c>
      <c r="AU586" s="3">
        <v>3000000</v>
      </c>
      <c r="AV586" s="3">
        <v>3000000</v>
      </c>
      <c r="AW586" s="3">
        <f t="shared" si="37"/>
        <v>0</v>
      </c>
      <c r="AX586" s="3">
        <f t="shared" si="38"/>
        <v>36000000</v>
      </c>
      <c r="AY586" s="4">
        <f t="shared" si="39"/>
        <v>12</v>
      </c>
      <c r="AZ586" s="8" t="s">
        <v>5564</v>
      </c>
      <c r="BA586" s="4" t="s">
        <v>5726</v>
      </c>
      <c r="BB586" s="2">
        <v>36000000</v>
      </c>
      <c r="BC586" s="3"/>
      <c r="BD586" s="3"/>
    </row>
    <row r="587" spans="1:56" ht="16.8" customHeight="1">
      <c r="A587" s="1">
        <v>586</v>
      </c>
      <c r="B587" s="1" t="s">
        <v>1816</v>
      </c>
      <c r="C587" s="1" t="s">
        <v>1920</v>
      </c>
      <c r="D587" s="1" t="s">
        <v>2245</v>
      </c>
      <c r="E587" s="1" t="s">
        <v>2245</v>
      </c>
      <c r="F587" s="1" t="s">
        <v>2246</v>
      </c>
      <c r="G587" s="1"/>
      <c r="H587" s="1" t="s">
        <v>5043</v>
      </c>
      <c r="I587" s="18"/>
      <c r="J587" s="18"/>
      <c r="K587" s="18"/>
      <c r="L587" s="18"/>
      <c r="M587" s="2">
        <v>500000</v>
      </c>
      <c r="N587" s="2">
        <v>500000</v>
      </c>
      <c r="O587" s="2"/>
      <c r="P587" s="2" t="str">
        <f t="shared" si="36"/>
        <v/>
      </c>
      <c r="Q587" s="2"/>
      <c r="R587" s="2"/>
      <c r="S587" s="48"/>
      <c r="T587" s="2">
        <v>0</v>
      </c>
      <c r="U587" s="2">
        <v>0</v>
      </c>
      <c r="V587" s="1"/>
      <c r="W587" s="6"/>
      <c r="X587" s="1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>
        <f t="shared" si="37"/>
        <v>0</v>
      </c>
      <c r="AX587" s="3">
        <f t="shared" si="38"/>
        <v>0</v>
      </c>
      <c r="AY587" s="4">
        <f t="shared" si="39"/>
        <v>0</v>
      </c>
      <c r="BA587" s="4" t="s">
        <v>5726</v>
      </c>
      <c r="BB587" s="2"/>
      <c r="BC587" s="3"/>
      <c r="BD587" s="4"/>
    </row>
    <row r="588" spans="1:56" ht="16.8" customHeight="1">
      <c r="A588" s="1">
        <v>587</v>
      </c>
      <c r="B588" s="1" t="s">
        <v>1816</v>
      </c>
      <c r="C588" s="1" t="s">
        <v>1920</v>
      </c>
      <c r="D588" s="1" t="s">
        <v>2247</v>
      </c>
      <c r="E588" s="1" t="s">
        <v>2247</v>
      </c>
      <c r="F588" s="1" t="s">
        <v>2248</v>
      </c>
      <c r="G588" s="1" t="s">
        <v>2249</v>
      </c>
      <c r="H588" s="1" t="s">
        <v>5140</v>
      </c>
      <c r="I588" s="18" t="s">
        <v>4783</v>
      </c>
      <c r="J588" s="18" t="s">
        <v>5074</v>
      </c>
      <c r="K588" s="18" t="s">
        <v>4752</v>
      </c>
      <c r="L588" s="18" t="s">
        <v>4734</v>
      </c>
      <c r="M588" s="2">
        <v>2500000</v>
      </c>
      <c r="N588" s="2">
        <v>2500000</v>
      </c>
      <c r="O588" s="2"/>
      <c r="P588" s="2" t="str">
        <f t="shared" si="36"/>
        <v/>
      </c>
      <c r="Q588" s="2"/>
      <c r="R588" s="2"/>
      <c r="S588" s="48"/>
      <c r="T588" s="2">
        <v>30000000</v>
      </c>
      <c r="U588" s="2">
        <v>0</v>
      </c>
      <c r="V588" s="1" t="s">
        <v>2249</v>
      </c>
      <c r="W588" s="6" t="s">
        <v>2250</v>
      </c>
      <c r="X588" s="1" t="s">
        <v>1860</v>
      </c>
      <c r="Y588" s="3">
        <v>2500000</v>
      </c>
      <c r="Z588" s="3">
        <v>2500000</v>
      </c>
      <c r="AA588" s="3">
        <v>2500000</v>
      </c>
      <c r="AB588" s="3">
        <v>2500000</v>
      </c>
      <c r="AC588" s="3">
        <v>2500000</v>
      </c>
      <c r="AD588" s="3">
        <v>2500000</v>
      </c>
      <c r="AE588" s="3">
        <v>2500000</v>
      </c>
      <c r="AF588" s="3">
        <v>2500000</v>
      </c>
      <c r="AG588" s="3">
        <v>2500000</v>
      </c>
      <c r="AH588" s="3">
        <v>2500000</v>
      </c>
      <c r="AI588" s="3">
        <v>2500000</v>
      </c>
      <c r="AJ588" s="3">
        <v>2500000</v>
      </c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>
        <f t="shared" si="37"/>
        <v>30000000</v>
      </c>
      <c r="AX588" s="3">
        <f t="shared" si="38"/>
        <v>0</v>
      </c>
      <c r="AY588" s="4">
        <f t="shared" si="39"/>
        <v>12</v>
      </c>
      <c r="AZ588" s="8">
        <v>0</v>
      </c>
      <c r="BA588" s="4" t="s">
        <v>5726</v>
      </c>
      <c r="BB588" s="2"/>
      <c r="BC588" s="3"/>
      <c r="BD588" s="4"/>
    </row>
    <row r="589" spans="1:56" ht="16.8" customHeight="1">
      <c r="A589" s="1">
        <v>588</v>
      </c>
      <c r="B589" s="1" t="s">
        <v>1816</v>
      </c>
      <c r="C589" s="1" t="s">
        <v>2049</v>
      </c>
      <c r="D589" s="1" t="s">
        <v>2251</v>
      </c>
      <c r="E589" s="1" t="s">
        <v>2251</v>
      </c>
      <c r="F589" s="1" t="s">
        <v>2252</v>
      </c>
      <c r="G589" s="1" t="s">
        <v>2253</v>
      </c>
      <c r="H589" s="1" t="s">
        <v>5043</v>
      </c>
      <c r="I589" s="18"/>
      <c r="J589" s="18"/>
      <c r="K589" s="18"/>
      <c r="L589" s="18"/>
      <c r="M589" s="2">
        <v>2500000</v>
      </c>
      <c r="N589" s="2">
        <v>2500000</v>
      </c>
      <c r="O589" s="2"/>
      <c r="P589" s="2" t="str">
        <f t="shared" si="36"/>
        <v/>
      </c>
      <c r="Q589" s="2"/>
      <c r="R589" s="2"/>
      <c r="S589" s="48"/>
      <c r="T589" s="2">
        <v>0</v>
      </c>
      <c r="U589" s="2">
        <v>15000000</v>
      </c>
      <c r="V589" s="1"/>
      <c r="W589" s="6"/>
      <c r="X589" s="1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>
        <f t="shared" si="37"/>
        <v>0</v>
      </c>
      <c r="AX589" s="3">
        <f t="shared" si="38"/>
        <v>0</v>
      </c>
      <c r="AY589" s="4">
        <f t="shared" si="39"/>
        <v>0</v>
      </c>
      <c r="BA589" s="4" t="s">
        <v>5726</v>
      </c>
      <c r="BB589" s="2"/>
      <c r="BC589" s="3"/>
      <c r="BD589" s="4"/>
    </row>
    <row r="590" spans="1:56" ht="16.8" customHeight="1">
      <c r="A590" s="1">
        <v>589</v>
      </c>
      <c r="B590" s="1" t="s">
        <v>1816</v>
      </c>
      <c r="C590" s="1" t="s">
        <v>1920</v>
      </c>
      <c r="D590" s="1" t="s">
        <v>2254</v>
      </c>
      <c r="E590" s="1" t="s">
        <v>2254</v>
      </c>
      <c r="F590" s="1" t="s">
        <v>2255</v>
      </c>
      <c r="G590" s="1"/>
      <c r="H590" s="1" t="s">
        <v>5141</v>
      </c>
      <c r="I590" s="18" t="s">
        <v>4783</v>
      </c>
      <c r="J590" s="18" t="s">
        <v>5018</v>
      </c>
      <c r="K590" s="18" t="s">
        <v>4737</v>
      </c>
      <c r="L590" s="18" t="s">
        <v>4734</v>
      </c>
      <c r="M590" s="2">
        <v>1800000</v>
      </c>
      <c r="N590" s="2">
        <v>2500000</v>
      </c>
      <c r="O590" s="2"/>
      <c r="P590" s="2">
        <f t="shared" si="36"/>
        <v>700000</v>
      </c>
      <c r="Q590" s="2"/>
      <c r="R590" s="2"/>
      <c r="S590" s="48"/>
      <c r="T590" s="2">
        <v>0</v>
      </c>
      <c r="U590" s="2">
        <v>0</v>
      </c>
      <c r="V590" s="1" t="s">
        <v>2256</v>
      </c>
      <c r="W590" s="6" t="s">
        <v>2257</v>
      </c>
      <c r="X590" s="1" t="s">
        <v>2258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>
        <v>2500000</v>
      </c>
      <c r="AL590" s="3">
        <v>2500000</v>
      </c>
      <c r="AM590" s="3">
        <v>2500000</v>
      </c>
      <c r="AN590" s="3">
        <v>2500000</v>
      </c>
      <c r="AO590" s="3">
        <v>2500000</v>
      </c>
      <c r="AP590" s="3">
        <v>2500000</v>
      </c>
      <c r="AQ590" s="3"/>
      <c r="AR590" s="3"/>
      <c r="AS590" s="3"/>
      <c r="AT590" s="3"/>
      <c r="AU590" s="3"/>
      <c r="AV590" s="3"/>
      <c r="AW590" s="3">
        <f t="shared" si="37"/>
        <v>0</v>
      </c>
      <c r="AX590" s="3">
        <f t="shared" si="38"/>
        <v>15000000</v>
      </c>
      <c r="AY590" s="4">
        <f t="shared" si="39"/>
        <v>6</v>
      </c>
      <c r="AZ590" s="8" t="s">
        <v>5572</v>
      </c>
      <c r="BA590" s="4" t="s">
        <v>5726</v>
      </c>
      <c r="BB590" s="2"/>
      <c r="BC590" s="3"/>
      <c r="BD590" s="3"/>
    </row>
    <row r="591" spans="1:56" ht="16.8" customHeight="1">
      <c r="A591" s="1">
        <v>590</v>
      </c>
      <c r="B591" s="1" t="s">
        <v>1816</v>
      </c>
      <c r="C591" s="1" t="s">
        <v>1920</v>
      </c>
      <c r="D591" s="1" t="s">
        <v>2259</v>
      </c>
      <c r="E591" s="1" t="s">
        <v>2259</v>
      </c>
      <c r="F591" s="1" t="s">
        <v>2260</v>
      </c>
      <c r="G591" s="1" t="s">
        <v>2261</v>
      </c>
      <c r="H591" s="1" t="s">
        <v>5043</v>
      </c>
      <c r="I591" s="18"/>
      <c r="J591" s="18"/>
      <c r="K591" s="18"/>
      <c r="L591" s="18"/>
      <c r="M591" s="2">
        <v>2500000</v>
      </c>
      <c r="N591" s="2">
        <v>2500000</v>
      </c>
      <c r="O591" s="2">
        <v>2500000</v>
      </c>
      <c r="P591" s="2" t="str">
        <f t="shared" si="36"/>
        <v/>
      </c>
      <c r="Q591" s="2"/>
      <c r="R591" s="2"/>
      <c r="S591" s="48"/>
      <c r="T591" s="2">
        <v>0</v>
      </c>
      <c r="U591" s="2">
        <v>0</v>
      </c>
      <c r="V591" s="1"/>
      <c r="W591" s="6"/>
      <c r="X591" s="1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>
        <f t="shared" si="37"/>
        <v>0</v>
      </c>
      <c r="AX591" s="3">
        <f t="shared" si="38"/>
        <v>0</v>
      </c>
      <c r="AY591" s="4">
        <f t="shared" si="39"/>
        <v>0</v>
      </c>
      <c r="BA591" s="4" t="s">
        <v>5726</v>
      </c>
      <c r="BB591" s="2"/>
      <c r="BC591" s="3"/>
      <c r="BD591" s="4"/>
    </row>
    <row r="592" spans="1:56" ht="16.8" customHeight="1">
      <c r="A592" s="1">
        <v>591</v>
      </c>
      <c r="B592" s="1" t="s">
        <v>1816</v>
      </c>
      <c r="C592" s="1" t="s">
        <v>1920</v>
      </c>
      <c r="D592" s="1" t="s">
        <v>2262</v>
      </c>
      <c r="E592" s="1" t="s">
        <v>2262</v>
      </c>
      <c r="F592" s="1" t="s">
        <v>2263</v>
      </c>
      <c r="G592" s="1" t="s">
        <v>2264</v>
      </c>
      <c r="H592" s="1" t="s">
        <v>5043</v>
      </c>
      <c r="I592" s="18"/>
      <c r="J592" s="18"/>
      <c r="K592" s="18"/>
      <c r="L592" s="18"/>
      <c r="M592" s="2">
        <v>83333</v>
      </c>
      <c r="N592" s="2">
        <v>83333</v>
      </c>
      <c r="O592" s="2"/>
      <c r="P592" s="2" t="str">
        <f t="shared" si="36"/>
        <v/>
      </c>
      <c r="Q592" s="2"/>
      <c r="R592" s="2"/>
      <c r="S592" s="48"/>
      <c r="T592" s="2">
        <v>0</v>
      </c>
      <c r="U592" s="2">
        <v>0</v>
      </c>
      <c r="V592" s="1"/>
      <c r="W592" s="6"/>
      <c r="X592" s="1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>
        <f t="shared" si="37"/>
        <v>0</v>
      </c>
      <c r="AX592" s="3">
        <f t="shared" si="38"/>
        <v>0</v>
      </c>
      <c r="AY592" s="4">
        <f t="shared" si="39"/>
        <v>0</v>
      </c>
      <c r="BA592" s="4" t="s">
        <v>5726</v>
      </c>
      <c r="BB592" s="2"/>
      <c r="BC592" s="3"/>
      <c r="BD592" s="4"/>
    </row>
    <row r="593" spans="1:56" ht="16.8" customHeight="1">
      <c r="A593" s="1">
        <v>592</v>
      </c>
      <c r="B593" s="1" t="s">
        <v>1816</v>
      </c>
      <c r="C593" s="1" t="s">
        <v>1920</v>
      </c>
      <c r="D593" s="1" t="s">
        <v>2265</v>
      </c>
      <c r="E593" s="1" t="s">
        <v>2265</v>
      </c>
      <c r="F593" s="1" t="s">
        <v>2266</v>
      </c>
      <c r="G593" s="1" t="s">
        <v>2267</v>
      </c>
      <c r="H593" s="1" t="s">
        <v>5043</v>
      </c>
      <c r="I593" s="18"/>
      <c r="J593" s="18"/>
      <c r="K593" s="18"/>
      <c r="L593" s="18"/>
      <c r="M593" s="2">
        <v>2800000</v>
      </c>
      <c r="N593" s="2">
        <v>2800000</v>
      </c>
      <c r="O593" s="2"/>
      <c r="P593" s="2" t="str">
        <f t="shared" si="36"/>
        <v/>
      </c>
      <c r="Q593" s="2"/>
      <c r="R593" s="2"/>
      <c r="S593" s="48"/>
      <c r="T593" s="2">
        <v>0</v>
      </c>
      <c r="U593" s="2">
        <v>0</v>
      </c>
      <c r="V593" s="1"/>
      <c r="W593" s="6"/>
      <c r="X593" s="1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>
        <f t="shared" si="37"/>
        <v>0</v>
      </c>
      <c r="AX593" s="3">
        <f t="shared" si="38"/>
        <v>0</v>
      </c>
      <c r="AY593" s="4">
        <f t="shared" si="39"/>
        <v>0</v>
      </c>
      <c r="BA593" s="4" t="s">
        <v>5726</v>
      </c>
      <c r="BB593" s="2"/>
      <c r="BC593" s="3"/>
      <c r="BD593" s="4"/>
    </row>
    <row r="594" spans="1:56" ht="16.8" customHeight="1">
      <c r="A594" s="1">
        <v>593</v>
      </c>
      <c r="B594" s="1" t="s">
        <v>1816</v>
      </c>
      <c r="C594" s="1" t="s">
        <v>1920</v>
      </c>
      <c r="D594" s="1" t="s">
        <v>2268</v>
      </c>
      <c r="E594" s="1" t="s">
        <v>2268</v>
      </c>
      <c r="F594" s="1" t="s">
        <v>2269</v>
      </c>
      <c r="G594" s="1" t="s">
        <v>2270</v>
      </c>
      <c r="H594" s="1" t="s">
        <v>5142</v>
      </c>
      <c r="I594" s="18" t="s">
        <v>4783</v>
      </c>
      <c r="J594" s="18" t="s">
        <v>5074</v>
      </c>
      <c r="K594" s="18" t="s">
        <v>4733</v>
      </c>
      <c r="L594" s="18" t="s">
        <v>4734</v>
      </c>
      <c r="M594" s="2">
        <v>2500000</v>
      </c>
      <c r="N594" s="2">
        <v>2500000</v>
      </c>
      <c r="O594" s="2"/>
      <c r="P594" s="2" t="str">
        <f t="shared" si="36"/>
        <v/>
      </c>
      <c r="Q594" s="2"/>
      <c r="R594" s="2"/>
      <c r="S594" s="48"/>
      <c r="T594" s="2">
        <v>30000000</v>
      </c>
      <c r="U594" s="2">
        <v>0</v>
      </c>
      <c r="V594" s="1" t="s">
        <v>2271</v>
      </c>
      <c r="W594" s="6" t="s">
        <v>2272</v>
      </c>
      <c r="X594" s="1" t="s">
        <v>1860</v>
      </c>
      <c r="Y594" s="3">
        <v>2500000</v>
      </c>
      <c r="Z594" s="3">
        <v>2500000</v>
      </c>
      <c r="AA594" s="3">
        <v>2500000</v>
      </c>
      <c r="AB594" s="3">
        <v>2500000</v>
      </c>
      <c r="AC594" s="3">
        <v>2500000</v>
      </c>
      <c r="AD594" s="3">
        <v>2500000</v>
      </c>
      <c r="AE594" s="3">
        <v>2500000</v>
      </c>
      <c r="AF594" s="3">
        <v>2500000</v>
      </c>
      <c r="AG594" s="3">
        <v>2500000</v>
      </c>
      <c r="AH594" s="3">
        <v>2500000</v>
      </c>
      <c r="AI594" s="3">
        <v>2500000</v>
      </c>
      <c r="AJ594" s="3">
        <v>2500000</v>
      </c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>
        <f t="shared" si="37"/>
        <v>30000000</v>
      </c>
      <c r="AX594" s="3">
        <f t="shared" si="38"/>
        <v>0</v>
      </c>
      <c r="AY594" s="4">
        <f t="shared" si="39"/>
        <v>12</v>
      </c>
      <c r="AZ594" s="8">
        <v>0</v>
      </c>
      <c r="BA594" s="4" t="s">
        <v>5726</v>
      </c>
      <c r="BB594" s="2"/>
      <c r="BC594" s="3"/>
      <c r="BD594" s="4"/>
    </row>
    <row r="595" spans="1:56" ht="16.8" customHeight="1">
      <c r="A595" s="1">
        <v>594</v>
      </c>
      <c r="B595" s="1" t="s">
        <v>1816</v>
      </c>
      <c r="C595" s="1" t="s">
        <v>1920</v>
      </c>
      <c r="D595" s="1" t="s">
        <v>2273</v>
      </c>
      <c r="E595" s="1" t="s">
        <v>2273</v>
      </c>
      <c r="F595" s="1" t="s">
        <v>2274</v>
      </c>
      <c r="G595" s="1" t="s">
        <v>2275</v>
      </c>
      <c r="H595" s="1" t="s">
        <v>5143</v>
      </c>
      <c r="I595" s="18" t="s">
        <v>4783</v>
      </c>
      <c r="J595" s="18" t="s">
        <v>5018</v>
      </c>
      <c r="K595" s="18" t="s">
        <v>4737</v>
      </c>
      <c r="L595" s="18" t="s">
        <v>4734</v>
      </c>
      <c r="M595" s="2">
        <v>3000000</v>
      </c>
      <c r="N595" s="2">
        <v>3000000</v>
      </c>
      <c r="O595" s="2">
        <v>3000000</v>
      </c>
      <c r="P595" s="2" t="str">
        <f t="shared" si="36"/>
        <v/>
      </c>
      <c r="Q595" s="2"/>
      <c r="R595" s="2"/>
      <c r="S595" s="48"/>
      <c r="T595" s="2">
        <v>0</v>
      </c>
      <c r="U595" s="2">
        <v>0</v>
      </c>
      <c r="V595" s="1" t="s">
        <v>2275</v>
      </c>
      <c r="W595" s="6" t="s">
        <v>2276</v>
      </c>
      <c r="X595" s="1" t="s">
        <v>324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>
        <v>3000000</v>
      </c>
      <c r="AL595" s="3">
        <v>3000000</v>
      </c>
      <c r="AM595" s="3">
        <v>3000000</v>
      </c>
      <c r="AN595" s="3">
        <v>3000000</v>
      </c>
      <c r="AO595" s="3">
        <v>3000000</v>
      </c>
      <c r="AP595" s="3">
        <v>3000000</v>
      </c>
      <c r="AQ595" s="3">
        <v>3000000</v>
      </c>
      <c r="AR595" s="3">
        <v>3000000</v>
      </c>
      <c r="AS595" s="3">
        <v>3000000</v>
      </c>
      <c r="AT595" s="3">
        <v>3000000</v>
      </c>
      <c r="AU595" s="3">
        <v>3000000</v>
      </c>
      <c r="AV595" s="3">
        <v>3000000</v>
      </c>
      <c r="AW595" s="3">
        <f t="shared" si="37"/>
        <v>0</v>
      </c>
      <c r="AX595" s="3">
        <f t="shared" si="38"/>
        <v>36000000</v>
      </c>
      <c r="AY595" s="4">
        <f t="shared" si="39"/>
        <v>12</v>
      </c>
      <c r="AZ595" s="8">
        <v>0</v>
      </c>
      <c r="BA595" s="4" t="s">
        <v>5726</v>
      </c>
      <c r="BB595" s="2"/>
      <c r="BC595" s="3"/>
      <c r="BD595" s="3"/>
    </row>
    <row r="596" spans="1:56" ht="16.8" customHeight="1">
      <c r="A596" s="1">
        <v>595</v>
      </c>
      <c r="B596" s="1" t="s">
        <v>1816</v>
      </c>
      <c r="C596" s="1" t="s">
        <v>1920</v>
      </c>
      <c r="D596" s="1" t="s">
        <v>2277</v>
      </c>
      <c r="E596" s="1" t="s">
        <v>2277</v>
      </c>
      <c r="F596" s="1" t="s">
        <v>2278</v>
      </c>
      <c r="G596" s="1" t="s">
        <v>2279</v>
      </c>
      <c r="H596" s="1" t="s">
        <v>5144</v>
      </c>
      <c r="I596" s="18" t="s">
        <v>4783</v>
      </c>
      <c r="J596" s="18" t="s">
        <v>5074</v>
      </c>
      <c r="K596" s="18" t="s">
        <v>4733</v>
      </c>
      <c r="L596" s="18" t="s">
        <v>4734</v>
      </c>
      <c r="M596" s="2">
        <v>1800000</v>
      </c>
      <c r="N596" s="2">
        <v>1800000</v>
      </c>
      <c r="O596" s="2"/>
      <c r="P596" s="2" t="str">
        <f t="shared" si="36"/>
        <v/>
      </c>
      <c r="Q596" s="2"/>
      <c r="R596" s="2"/>
      <c r="S596" s="48"/>
      <c r="T596" s="2">
        <v>23760000</v>
      </c>
      <c r="U596" s="2">
        <v>0</v>
      </c>
      <c r="V596" s="1" t="s">
        <v>2280</v>
      </c>
      <c r="W596" s="6" t="s">
        <v>2281</v>
      </c>
      <c r="X596" s="1" t="s">
        <v>2282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>
        <f t="shared" si="37"/>
        <v>0</v>
      </c>
      <c r="AX596" s="3">
        <f t="shared" si="38"/>
        <v>0</v>
      </c>
      <c r="AY596" s="4">
        <f t="shared" si="39"/>
        <v>0</v>
      </c>
      <c r="AZ596" s="8">
        <v>0</v>
      </c>
      <c r="BA596" s="4" t="s">
        <v>5726</v>
      </c>
      <c r="BB596" s="2"/>
      <c r="BC596" s="3"/>
      <c r="BD596" s="4"/>
    </row>
    <row r="597" spans="1:56" ht="16.8" customHeight="1">
      <c r="A597" s="1">
        <v>596</v>
      </c>
      <c r="B597" s="1" t="s">
        <v>1816</v>
      </c>
      <c r="C597" s="1" t="s">
        <v>1920</v>
      </c>
      <c r="D597" s="1" t="s">
        <v>2283</v>
      </c>
      <c r="E597" s="1" t="s">
        <v>2283</v>
      </c>
      <c r="F597" s="1" t="s">
        <v>2284</v>
      </c>
      <c r="G597" s="1" t="s">
        <v>2285</v>
      </c>
      <c r="H597" s="1" t="s">
        <v>5145</v>
      </c>
      <c r="I597" s="18" t="s">
        <v>4783</v>
      </c>
      <c r="J597" s="18" t="s">
        <v>5018</v>
      </c>
      <c r="K597" s="18" t="s">
        <v>4737</v>
      </c>
      <c r="L597" s="18" t="s">
        <v>4734</v>
      </c>
      <c r="M597" s="2">
        <v>2500000</v>
      </c>
      <c r="N597" s="2">
        <v>2500000</v>
      </c>
      <c r="O597" s="2"/>
      <c r="P597" s="2" t="str">
        <f t="shared" si="36"/>
        <v/>
      </c>
      <c r="Q597" s="2"/>
      <c r="R597" s="2"/>
      <c r="S597" s="48"/>
      <c r="T597" s="2">
        <v>0</v>
      </c>
      <c r="U597" s="2">
        <v>0</v>
      </c>
      <c r="V597" s="1" t="s">
        <v>2285</v>
      </c>
      <c r="W597" s="6" t="s">
        <v>2286</v>
      </c>
      <c r="X597" s="1" t="s">
        <v>154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>
        <v>2500000</v>
      </c>
      <c r="AL597" s="3">
        <v>2500000</v>
      </c>
      <c r="AM597" s="3">
        <v>2500000</v>
      </c>
      <c r="AN597" s="3">
        <v>2500000</v>
      </c>
      <c r="AO597" s="3">
        <v>2500000</v>
      </c>
      <c r="AP597" s="3">
        <v>2500000</v>
      </c>
      <c r="AQ597" s="3">
        <v>2500000</v>
      </c>
      <c r="AR597" s="3">
        <v>2500000</v>
      </c>
      <c r="AS597" s="3">
        <v>2500000</v>
      </c>
      <c r="AT597" s="3">
        <v>2500000</v>
      </c>
      <c r="AU597" s="3">
        <v>2500000</v>
      </c>
      <c r="AV597" s="3">
        <v>2500000</v>
      </c>
      <c r="AW597" s="3">
        <f t="shared" si="37"/>
        <v>0</v>
      </c>
      <c r="AX597" s="3">
        <f t="shared" si="38"/>
        <v>30000000</v>
      </c>
      <c r="AY597" s="4">
        <f t="shared" si="39"/>
        <v>12</v>
      </c>
      <c r="AZ597" s="8">
        <v>0</v>
      </c>
      <c r="BA597" s="4" t="s">
        <v>5726</v>
      </c>
      <c r="BB597" s="2"/>
      <c r="BC597" s="3"/>
      <c r="BD597" s="3"/>
    </row>
    <row r="598" spans="1:56" ht="16.8" customHeight="1">
      <c r="A598" s="1">
        <v>597</v>
      </c>
      <c r="B598" s="1" t="s">
        <v>1816</v>
      </c>
      <c r="C598" s="1" t="s">
        <v>1920</v>
      </c>
      <c r="D598" s="1" t="s">
        <v>2287</v>
      </c>
      <c r="E598" s="1" t="s">
        <v>2287</v>
      </c>
      <c r="F598" s="1" t="s">
        <v>2288</v>
      </c>
      <c r="G598" s="1" t="s">
        <v>2289</v>
      </c>
      <c r="H598" s="1" t="s">
        <v>5146</v>
      </c>
      <c r="I598" s="18" t="s">
        <v>4783</v>
      </c>
      <c r="J598" s="18" t="s">
        <v>5018</v>
      </c>
      <c r="K598" s="18" t="s">
        <v>5147</v>
      </c>
      <c r="L598" s="18" t="s">
        <v>4734</v>
      </c>
      <c r="M598" s="2">
        <v>4600000</v>
      </c>
      <c r="N598" s="2">
        <v>4600000</v>
      </c>
      <c r="O598" s="2"/>
      <c r="P598" s="2" t="str">
        <f t="shared" si="36"/>
        <v/>
      </c>
      <c r="Q598" s="2"/>
      <c r="R598" s="2"/>
      <c r="S598" s="48"/>
      <c r="T598" s="2">
        <v>0</v>
      </c>
      <c r="U598" s="2">
        <v>0</v>
      </c>
      <c r="V598" s="1" t="s">
        <v>2289</v>
      </c>
      <c r="W598" s="6" t="s">
        <v>2290</v>
      </c>
      <c r="X598" s="1" t="s">
        <v>2291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>
        <v>4600000</v>
      </c>
      <c r="AL598" s="3">
        <v>4600000</v>
      </c>
      <c r="AM598" s="3">
        <v>4600000</v>
      </c>
      <c r="AN598" s="3">
        <v>4600000</v>
      </c>
      <c r="AO598" s="3">
        <v>4600000</v>
      </c>
      <c r="AP598" s="3">
        <v>4600000</v>
      </c>
      <c r="AQ598" s="3">
        <v>4600000</v>
      </c>
      <c r="AR598" s="3">
        <v>4600000</v>
      </c>
      <c r="AS598" s="3">
        <v>4600000</v>
      </c>
      <c r="AT598" s="3">
        <v>4600000</v>
      </c>
      <c r="AU598" s="3">
        <v>4600000</v>
      </c>
      <c r="AV598" s="3">
        <v>4600000</v>
      </c>
      <c r="AW598" s="3">
        <f t="shared" si="37"/>
        <v>0</v>
      </c>
      <c r="AX598" s="3">
        <f t="shared" si="38"/>
        <v>55200000</v>
      </c>
      <c r="AY598" s="4">
        <f t="shared" si="39"/>
        <v>12</v>
      </c>
      <c r="AZ598" s="8">
        <v>0</v>
      </c>
      <c r="BA598" s="4" t="s">
        <v>5726</v>
      </c>
      <c r="BB598" s="2">
        <v>55200000</v>
      </c>
      <c r="BC598" s="3"/>
      <c r="BD598" s="3"/>
    </row>
    <row r="599" spans="1:56" ht="16.8" customHeight="1">
      <c r="A599" s="1">
        <v>598</v>
      </c>
      <c r="B599" s="1" t="s">
        <v>1816</v>
      </c>
      <c r="C599" s="1" t="s">
        <v>1920</v>
      </c>
      <c r="D599" s="1" t="s">
        <v>2292</v>
      </c>
      <c r="E599" s="1" t="s">
        <v>2292</v>
      </c>
      <c r="F599" s="1" t="s">
        <v>2293</v>
      </c>
      <c r="G599" s="1" t="s">
        <v>2294</v>
      </c>
      <c r="H599" s="1" t="s">
        <v>5148</v>
      </c>
      <c r="I599" s="18" t="s">
        <v>4783</v>
      </c>
      <c r="J599" s="18" t="s">
        <v>5074</v>
      </c>
      <c r="K599" s="18" t="s">
        <v>4733</v>
      </c>
      <c r="L599" s="18" t="s">
        <v>4734</v>
      </c>
      <c r="M599" s="2">
        <v>3000000</v>
      </c>
      <c r="N599" s="2">
        <v>3000000</v>
      </c>
      <c r="O599" s="2">
        <v>3000000</v>
      </c>
      <c r="P599" s="2" t="str">
        <f t="shared" si="36"/>
        <v/>
      </c>
      <c r="Q599" s="2"/>
      <c r="R599" s="2"/>
      <c r="S599" s="48"/>
      <c r="T599" s="2">
        <v>30000000</v>
      </c>
      <c r="U599" s="2">
        <v>0</v>
      </c>
      <c r="V599" s="1" t="s">
        <v>2294</v>
      </c>
      <c r="W599" s="6" t="s">
        <v>2295</v>
      </c>
      <c r="X599" s="1" t="s">
        <v>2296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>
        <f t="shared" si="37"/>
        <v>0</v>
      </c>
      <c r="AX599" s="3">
        <f t="shared" si="38"/>
        <v>0</v>
      </c>
      <c r="AY599" s="4">
        <f t="shared" si="39"/>
        <v>0</v>
      </c>
      <c r="AZ599" s="8" t="s">
        <v>5564</v>
      </c>
      <c r="BA599" s="4" t="s">
        <v>5726</v>
      </c>
      <c r="BB599" s="2"/>
      <c r="BC599" s="3"/>
      <c r="BD599" s="4"/>
    </row>
    <row r="600" spans="1:56" ht="16.8" customHeight="1">
      <c r="A600" s="1">
        <v>599</v>
      </c>
      <c r="B600" s="1" t="s">
        <v>1816</v>
      </c>
      <c r="C600" s="1" t="s">
        <v>1920</v>
      </c>
      <c r="D600" s="1" t="s">
        <v>2297</v>
      </c>
      <c r="E600" s="1" t="s">
        <v>2297</v>
      </c>
      <c r="F600" s="1" t="s">
        <v>2298</v>
      </c>
      <c r="G600" s="1" t="s">
        <v>2299</v>
      </c>
      <c r="H600" s="1" t="s">
        <v>5149</v>
      </c>
      <c r="I600" s="18" t="s">
        <v>4783</v>
      </c>
      <c r="J600" s="18" t="s">
        <v>5018</v>
      </c>
      <c r="K600" s="18" t="s">
        <v>4770</v>
      </c>
      <c r="L600" s="18" t="s">
        <v>4734</v>
      </c>
      <c r="M600" s="2">
        <v>3000000</v>
      </c>
      <c r="N600" s="2">
        <v>3000000</v>
      </c>
      <c r="O600" s="2"/>
      <c r="P600" s="2" t="str">
        <f t="shared" si="36"/>
        <v/>
      </c>
      <c r="Q600" s="2"/>
      <c r="R600" s="2"/>
      <c r="S600" s="48"/>
      <c r="T600" s="2">
        <v>0</v>
      </c>
      <c r="U600" s="2">
        <v>0</v>
      </c>
      <c r="V600" s="1" t="s">
        <v>2300</v>
      </c>
      <c r="W600" s="6" t="s">
        <v>2301</v>
      </c>
      <c r="X600" s="1" t="s">
        <v>154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>
        <v>3000000</v>
      </c>
      <c r="AL600" s="3">
        <v>3000000</v>
      </c>
      <c r="AM600" s="3">
        <v>3000000</v>
      </c>
      <c r="AN600" s="3">
        <v>3000000</v>
      </c>
      <c r="AO600" s="3">
        <v>3000000</v>
      </c>
      <c r="AP600" s="3">
        <v>3000000</v>
      </c>
      <c r="AQ600" s="3">
        <v>3000000</v>
      </c>
      <c r="AR600" s="3">
        <v>3000000</v>
      </c>
      <c r="AS600" s="3">
        <v>3000000</v>
      </c>
      <c r="AT600" s="3">
        <v>3000000</v>
      </c>
      <c r="AU600" s="3">
        <v>3000000</v>
      </c>
      <c r="AV600" s="3">
        <v>3000000</v>
      </c>
      <c r="AW600" s="3">
        <f t="shared" si="37"/>
        <v>0</v>
      </c>
      <c r="AX600" s="3">
        <f t="shared" si="38"/>
        <v>36000000</v>
      </c>
      <c r="AY600" s="4">
        <f t="shared" si="39"/>
        <v>12</v>
      </c>
      <c r="AZ600" s="8">
        <v>0</v>
      </c>
      <c r="BA600" s="4" t="s">
        <v>5726</v>
      </c>
      <c r="BB600" s="2">
        <v>36000000</v>
      </c>
      <c r="BC600" s="3"/>
      <c r="BD600" s="3"/>
    </row>
    <row r="601" spans="1:56" ht="16.8" customHeight="1">
      <c r="A601" s="1">
        <v>600</v>
      </c>
      <c r="B601" s="1" t="s">
        <v>1816</v>
      </c>
      <c r="C601" s="1" t="s">
        <v>1920</v>
      </c>
      <c r="D601" s="1" t="s">
        <v>2302</v>
      </c>
      <c r="E601" s="1" t="s">
        <v>2302</v>
      </c>
      <c r="F601" s="1" t="s">
        <v>2303</v>
      </c>
      <c r="G601" s="1" t="s">
        <v>2304</v>
      </c>
      <c r="H601" s="1" t="s">
        <v>5150</v>
      </c>
      <c r="I601" s="18" t="s">
        <v>4783</v>
      </c>
      <c r="J601" s="18" t="s">
        <v>5074</v>
      </c>
      <c r="K601" s="18" t="s">
        <v>4770</v>
      </c>
      <c r="L601" s="18" t="s">
        <v>4734</v>
      </c>
      <c r="M601" s="2">
        <v>3500000</v>
      </c>
      <c r="N601" s="2">
        <v>3500000</v>
      </c>
      <c r="O601" s="2"/>
      <c r="P601" s="2" t="str">
        <f t="shared" si="36"/>
        <v/>
      </c>
      <c r="Q601" s="2"/>
      <c r="R601" s="2"/>
      <c r="S601" s="48"/>
      <c r="T601" s="2">
        <v>42000000</v>
      </c>
      <c r="U601" s="2">
        <v>0</v>
      </c>
      <c r="V601" s="1" t="s">
        <v>2305</v>
      </c>
      <c r="W601" s="6" t="s">
        <v>2306</v>
      </c>
      <c r="X601" s="1" t="s">
        <v>2307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>
        <f t="shared" si="37"/>
        <v>0</v>
      </c>
      <c r="AX601" s="3">
        <f t="shared" si="38"/>
        <v>0</v>
      </c>
      <c r="AY601" s="4">
        <f t="shared" si="39"/>
        <v>0</v>
      </c>
      <c r="AZ601" s="8">
        <v>0</v>
      </c>
      <c r="BA601" s="4" t="s">
        <v>5726</v>
      </c>
      <c r="BB601" s="2"/>
      <c r="BC601" s="3"/>
      <c r="BD601" s="4"/>
    </row>
    <row r="602" spans="1:56" ht="16.8" customHeight="1">
      <c r="A602" s="1">
        <v>601</v>
      </c>
      <c r="B602" s="1" t="s">
        <v>1816</v>
      </c>
      <c r="C602" s="1" t="s">
        <v>1920</v>
      </c>
      <c r="D602" s="1" t="s">
        <v>2308</v>
      </c>
      <c r="E602" s="1" t="s">
        <v>2308</v>
      </c>
      <c r="F602" s="1" t="s">
        <v>2309</v>
      </c>
      <c r="G602" s="1" t="s">
        <v>2310</v>
      </c>
      <c r="H602" s="1" t="s">
        <v>5151</v>
      </c>
      <c r="I602" s="18" t="s">
        <v>4783</v>
      </c>
      <c r="J602" s="18" t="s">
        <v>5074</v>
      </c>
      <c r="K602" s="18" t="s">
        <v>4752</v>
      </c>
      <c r="L602" s="18" t="s">
        <v>4734</v>
      </c>
      <c r="M602" s="2">
        <v>2400000</v>
      </c>
      <c r="N602" s="2">
        <v>2400000</v>
      </c>
      <c r="O602" s="2"/>
      <c r="P602" s="2" t="str">
        <f t="shared" si="36"/>
        <v/>
      </c>
      <c r="Q602" s="2"/>
      <c r="R602" s="2"/>
      <c r="S602" s="48"/>
      <c r="T602" s="2">
        <v>26400000</v>
      </c>
      <c r="U602" s="2">
        <v>0</v>
      </c>
      <c r="V602" s="1" t="s">
        <v>2311</v>
      </c>
      <c r="W602" s="6" t="s">
        <v>2312</v>
      </c>
      <c r="X602" s="1" t="s">
        <v>154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>
        <f t="shared" si="37"/>
        <v>0</v>
      </c>
      <c r="AX602" s="3">
        <f t="shared" si="38"/>
        <v>0</v>
      </c>
      <c r="AY602" s="4">
        <f t="shared" si="39"/>
        <v>0</v>
      </c>
      <c r="AZ602" s="8">
        <v>0</v>
      </c>
      <c r="BA602" s="4" t="s">
        <v>5726</v>
      </c>
      <c r="BB602" s="2"/>
      <c r="BC602" s="3"/>
      <c r="BD602" s="4"/>
    </row>
    <row r="603" spans="1:56" ht="16.8" customHeight="1">
      <c r="A603" s="1">
        <v>602</v>
      </c>
      <c r="B603" s="1" t="s">
        <v>1816</v>
      </c>
      <c r="C603" s="1" t="s">
        <v>1920</v>
      </c>
      <c r="D603" s="1" t="s">
        <v>2313</v>
      </c>
      <c r="E603" s="1" t="s">
        <v>2313</v>
      </c>
      <c r="F603" s="1" t="s">
        <v>2314</v>
      </c>
      <c r="G603" s="1" t="s">
        <v>2315</v>
      </c>
      <c r="H603" s="1" t="s">
        <v>5152</v>
      </c>
      <c r="I603" s="18" t="s">
        <v>4783</v>
      </c>
      <c r="J603" s="18" t="s">
        <v>5074</v>
      </c>
      <c r="K603" s="18" t="s">
        <v>4752</v>
      </c>
      <c r="L603" s="18" t="s">
        <v>4734</v>
      </c>
      <c r="M603" s="2">
        <v>2500000</v>
      </c>
      <c r="N603" s="2">
        <v>2500000</v>
      </c>
      <c r="O603" s="2"/>
      <c r="P603" s="2" t="str">
        <f t="shared" si="36"/>
        <v/>
      </c>
      <c r="Q603" s="2"/>
      <c r="R603" s="2"/>
      <c r="S603" s="48"/>
      <c r="T603" s="2">
        <v>30000000</v>
      </c>
      <c r="U603" s="2">
        <v>0</v>
      </c>
      <c r="V603" s="1" t="s">
        <v>2316</v>
      </c>
      <c r="W603" s="6" t="s">
        <v>2317</v>
      </c>
      <c r="X603" s="1" t="s">
        <v>1860</v>
      </c>
      <c r="Y603" s="3">
        <v>2500000</v>
      </c>
      <c r="Z603" s="3">
        <v>2500000</v>
      </c>
      <c r="AA603" s="3">
        <v>2500000</v>
      </c>
      <c r="AB603" s="3">
        <v>2500000</v>
      </c>
      <c r="AC603" s="3">
        <v>2500000</v>
      </c>
      <c r="AD603" s="3">
        <v>2500000</v>
      </c>
      <c r="AE603" s="3">
        <v>2500000</v>
      </c>
      <c r="AF603" s="3">
        <v>2500000</v>
      </c>
      <c r="AG603" s="3">
        <v>2500000</v>
      </c>
      <c r="AH603" s="3">
        <v>2500000</v>
      </c>
      <c r="AI603" s="3">
        <v>2500000</v>
      </c>
      <c r="AJ603" s="3">
        <v>2500000</v>
      </c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>
        <f t="shared" si="37"/>
        <v>30000000</v>
      </c>
      <c r="AX603" s="3">
        <f t="shared" si="38"/>
        <v>0</v>
      </c>
      <c r="AY603" s="4">
        <f t="shared" si="39"/>
        <v>12</v>
      </c>
      <c r="AZ603" s="8" t="s">
        <v>5573</v>
      </c>
      <c r="BA603" s="4" t="s">
        <v>5726</v>
      </c>
      <c r="BB603" s="2"/>
      <c r="BC603" s="3"/>
      <c r="BD603" s="4"/>
    </row>
    <row r="604" spans="1:56" ht="16.8" customHeight="1">
      <c r="A604" s="1">
        <v>603</v>
      </c>
      <c r="B604" s="1" t="s">
        <v>1816</v>
      </c>
      <c r="C604" s="1" t="s">
        <v>1920</v>
      </c>
      <c r="D604" s="1" t="s">
        <v>2318</v>
      </c>
      <c r="E604" s="1" t="s">
        <v>2318</v>
      </c>
      <c r="F604" s="1" t="s">
        <v>2319</v>
      </c>
      <c r="G604" s="1" t="s">
        <v>2320</v>
      </c>
      <c r="H604" s="1" t="s">
        <v>5153</v>
      </c>
      <c r="I604" s="18" t="s">
        <v>4783</v>
      </c>
      <c r="J604" s="18" t="s">
        <v>5074</v>
      </c>
      <c r="K604" s="18" t="s">
        <v>4737</v>
      </c>
      <c r="L604" s="18" t="s">
        <v>4734</v>
      </c>
      <c r="M604" s="2">
        <v>5000000</v>
      </c>
      <c r="N604" s="2">
        <v>5000000</v>
      </c>
      <c r="O604" s="2"/>
      <c r="P604" s="2" t="str">
        <f t="shared" si="36"/>
        <v/>
      </c>
      <c r="Q604" s="2"/>
      <c r="R604" s="2"/>
      <c r="S604" s="48"/>
      <c r="T604" s="2">
        <v>45000000</v>
      </c>
      <c r="U604" s="2">
        <v>15000000</v>
      </c>
      <c r="V604" s="1"/>
      <c r="W604" s="6"/>
      <c r="X604" s="1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>
        <f t="shared" si="37"/>
        <v>0</v>
      </c>
      <c r="AX604" s="3">
        <f t="shared" si="38"/>
        <v>0</v>
      </c>
      <c r="AY604" s="4">
        <f t="shared" si="39"/>
        <v>0</v>
      </c>
      <c r="AZ604" s="8" t="s">
        <v>5574</v>
      </c>
      <c r="BA604" s="4" t="s">
        <v>5726</v>
      </c>
      <c r="BB604" s="2"/>
      <c r="BC604" s="3"/>
      <c r="BD604" s="4"/>
    </row>
    <row r="605" spans="1:56" ht="16.8" customHeight="1">
      <c r="A605" s="1">
        <v>604</v>
      </c>
      <c r="B605" s="1" t="s">
        <v>1816</v>
      </c>
      <c r="C605" s="1" t="s">
        <v>1920</v>
      </c>
      <c r="D605" s="1" t="s">
        <v>2321</v>
      </c>
      <c r="E605" s="1" t="s">
        <v>2321</v>
      </c>
      <c r="F605" s="1" t="s">
        <v>2322</v>
      </c>
      <c r="G605" s="1" t="s">
        <v>2323</v>
      </c>
      <c r="H605" s="1" t="s">
        <v>5154</v>
      </c>
      <c r="I605" s="18" t="s">
        <v>4783</v>
      </c>
      <c r="J605" s="18" t="s">
        <v>5018</v>
      </c>
      <c r="K605" s="18" t="s">
        <v>4768</v>
      </c>
      <c r="L605" s="18" t="s">
        <v>4734</v>
      </c>
      <c r="M605" s="2">
        <v>2800000</v>
      </c>
      <c r="N605" s="2">
        <v>2800000</v>
      </c>
      <c r="O605" s="2"/>
      <c r="P605" s="2" t="str">
        <f t="shared" si="36"/>
        <v/>
      </c>
      <c r="Q605" s="2"/>
      <c r="R605" s="2"/>
      <c r="S605" s="48"/>
      <c r="T605" s="2">
        <v>0</v>
      </c>
      <c r="U605" s="2">
        <v>0</v>
      </c>
      <c r="V605" s="1" t="s">
        <v>2323</v>
      </c>
      <c r="W605" s="6" t="s">
        <v>2324</v>
      </c>
      <c r="X605" s="1" t="s">
        <v>2325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>
        <v>2800000</v>
      </c>
      <c r="AL605" s="3">
        <v>2800000</v>
      </c>
      <c r="AM605" s="3">
        <v>2800000</v>
      </c>
      <c r="AN605" s="3">
        <v>2800000</v>
      </c>
      <c r="AO605" s="3">
        <v>2800000</v>
      </c>
      <c r="AP605" s="3">
        <v>2800000</v>
      </c>
      <c r="AQ605" s="3">
        <v>2800000</v>
      </c>
      <c r="AR605" s="3">
        <v>2800000</v>
      </c>
      <c r="AS605" s="3">
        <v>2800000</v>
      </c>
      <c r="AT605" s="3">
        <v>2800000</v>
      </c>
      <c r="AU605" s="3">
        <v>2800000</v>
      </c>
      <c r="AV605" s="3">
        <v>2800000</v>
      </c>
      <c r="AW605" s="3">
        <f t="shared" si="37"/>
        <v>0</v>
      </c>
      <c r="AX605" s="3">
        <f t="shared" si="38"/>
        <v>33600000</v>
      </c>
      <c r="AY605" s="4">
        <f t="shared" si="39"/>
        <v>12</v>
      </c>
      <c r="AZ605" s="8">
        <v>0</v>
      </c>
      <c r="BA605" s="4" t="s">
        <v>5726</v>
      </c>
      <c r="BB605" s="2">
        <v>33600000</v>
      </c>
      <c r="BC605" s="3"/>
      <c r="BD605" s="3"/>
    </row>
    <row r="606" spans="1:56" ht="16.8" customHeight="1">
      <c r="A606" s="1">
        <v>605</v>
      </c>
      <c r="B606" s="1" t="s">
        <v>1816</v>
      </c>
      <c r="C606" s="1" t="s">
        <v>1920</v>
      </c>
      <c r="D606" s="1" t="s">
        <v>2326</v>
      </c>
      <c r="E606" s="1" t="s">
        <v>2326</v>
      </c>
      <c r="F606" s="1" t="s">
        <v>2327</v>
      </c>
      <c r="G606" s="1" t="s">
        <v>2328</v>
      </c>
      <c r="H606" s="1" t="s">
        <v>5155</v>
      </c>
      <c r="I606" s="18" t="s">
        <v>4783</v>
      </c>
      <c r="J606" s="18" t="s">
        <v>5018</v>
      </c>
      <c r="K606" s="18" t="s">
        <v>5147</v>
      </c>
      <c r="L606" s="18" t="s">
        <v>4734</v>
      </c>
      <c r="M606" s="2">
        <v>2500000</v>
      </c>
      <c r="N606" s="2">
        <v>2500000</v>
      </c>
      <c r="O606" s="2"/>
      <c r="P606" s="2" t="str">
        <f t="shared" si="36"/>
        <v/>
      </c>
      <c r="Q606" s="2"/>
      <c r="R606" s="2"/>
      <c r="S606" s="48"/>
      <c r="T606" s="2">
        <v>0</v>
      </c>
      <c r="U606" s="2">
        <v>0</v>
      </c>
      <c r="V606" s="1"/>
      <c r="W606" s="6"/>
      <c r="X606" s="1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>
        <v>2272727</v>
      </c>
      <c r="AL606" s="3">
        <v>2272727</v>
      </c>
      <c r="AM606" s="3">
        <v>2272727</v>
      </c>
      <c r="AN606" s="3">
        <v>2272727</v>
      </c>
      <c r="AO606" s="3">
        <v>2272727</v>
      </c>
      <c r="AP606" s="3">
        <v>2272727</v>
      </c>
      <c r="AQ606" s="3">
        <v>2272727</v>
      </c>
      <c r="AR606" s="3">
        <v>2272727</v>
      </c>
      <c r="AS606" s="3">
        <v>2272727</v>
      </c>
      <c r="AT606" s="3">
        <v>2272727</v>
      </c>
      <c r="AU606" s="3">
        <v>2272727</v>
      </c>
      <c r="AV606" s="3">
        <v>2272730</v>
      </c>
      <c r="AW606" s="3">
        <f t="shared" si="37"/>
        <v>0</v>
      </c>
      <c r="AX606" s="3">
        <f t="shared" si="38"/>
        <v>27272727</v>
      </c>
      <c r="AY606" s="4">
        <f t="shared" si="39"/>
        <v>12</v>
      </c>
      <c r="AZ606" s="8">
        <v>0</v>
      </c>
      <c r="BA606" s="4" t="s">
        <v>5726</v>
      </c>
      <c r="BB606" s="2">
        <v>27272727</v>
      </c>
      <c r="BC606" s="3"/>
      <c r="BD606" s="3"/>
    </row>
    <row r="607" spans="1:56" ht="16.8" customHeight="1">
      <c r="A607" s="1">
        <v>606</v>
      </c>
      <c r="B607" s="1" t="s">
        <v>1816</v>
      </c>
      <c r="C607" s="1" t="s">
        <v>1920</v>
      </c>
      <c r="D607" s="1" t="s">
        <v>2329</v>
      </c>
      <c r="E607" s="1" t="s">
        <v>2329</v>
      </c>
      <c r="F607" s="1" t="s">
        <v>2330</v>
      </c>
      <c r="G607" s="1" t="s">
        <v>2331</v>
      </c>
      <c r="H607" s="1" t="s">
        <v>5156</v>
      </c>
      <c r="I607" s="18" t="s">
        <v>4783</v>
      </c>
      <c r="J607" s="18" t="s">
        <v>5018</v>
      </c>
      <c r="K607" s="18" t="s">
        <v>4737</v>
      </c>
      <c r="L607" s="18" t="s">
        <v>4734</v>
      </c>
      <c r="M607" s="2">
        <v>2000000</v>
      </c>
      <c r="N607" s="2">
        <v>2000000</v>
      </c>
      <c r="O607" s="2"/>
      <c r="P607" s="2" t="str">
        <f t="shared" si="36"/>
        <v/>
      </c>
      <c r="Q607" s="2"/>
      <c r="R607" s="2"/>
      <c r="S607" s="48"/>
      <c r="T607" s="2">
        <v>0</v>
      </c>
      <c r="U607" s="2">
        <v>0</v>
      </c>
      <c r="V607" s="1" t="s">
        <v>2331</v>
      </c>
      <c r="W607" s="6" t="s">
        <v>2332</v>
      </c>
      <c r="X607" s="1" t="s">
        <v>324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>
        <v>2000000</v>
      </c>
      <c r="AL607" s="3">
        <v>2000000</v>
      </c>
      <c r="AM607" s="3">
        <v>2000000</v>
      </c>
      <c r="AN607" s="3">
        <v>2000000</v>
      </c>
      <c r="AO607" s="3">
        <v>2000000</v>
      </c>
      <c r="AP607" s="3">
        <v>2000000</v>
      </c>
      <c r="AQ607" s="3">
        <v>2000000</v>
      </c>
      <c r="AR607" s="3">
        <v>2000000</v>
      </c>
      <c r="AS607" s="3">
        <v>2000000</v>
      </c>
      <c r="AT607" s="3">
        <v>2000000</v>
      </c>
      <c r="AU607" s="3">
        <v>2000000</v>
      </c>
      <c r="AV607" s="3">
        <v>2000000</v>
      </c>
      <c r="AW607" s="3">
        <f t="shared" si="37"/>
        <v>0</v>
      </c>
      <c r="AX607" s="3">
        <f t="shared" si="38"/>
        <v>24000000</v>
      </c>
      <c r="AY607" s="4">
        <f t="shared" si="39"/>
        <v>12</v>
      </c>
      <c r="AZ607" s="8" t="s">
        <v>5495</v>
      </c>
      <c r="BA607" s="4" t="s">
        <v>5726</v>
      </c>
      <c r="BB607" s="2"/>
      <c r="BC607" s="3"/>
      <c r="BD607" s="3"/>
    </row>
    <row r="608" spans="1:56" ht="16.8" customHeight="1">
      <c r="A608" s="1">
        <v>607</v>
      </c>
      <c r="B608" s="1" t="s">
        <v>1816</v>
      </c>
      <c r="C608" s="1" t="s">
        <v>1920</v>
      </c>
      <c r="D608" s="1" t="s">
        <v>2333</v>
      </c>
      <c r="E608" s="1" t="s">
        <v>2333</v>
      </c>
      <c r="F608" s="1" t="s">
        <v>2334</v>
      </c>
      <c r="G608" s="1" t="s">
        <v>2300</v>
      </c>
      <c r="H608" s="1" t="s">
        <v>5157</v>
      </c>
      <c r="I608" s="18" t="s">
        <v>4783</v>
      </c>
      <c r="J608" s="18" t="s">
        <v>5018</v>
      </c>
      <c r="K608" s="18" t="s">
        <v>4884</v>
      </c>
      <c r="L608" s="18" t="s">
        <v>4734</v>
      </c>
      <c r="M608" s="2">
        <v>4545455</v>
      </c>
      <c r="N608" s="2">
        <v>4545455</v>
      </c>
      <c r="O608" s="2"/>
      <c r="P608" s="2" t="str">
        <f t="shared" si="36"/>
        <v/>
      </c>
      <c r="Q608" s="2"/>
      <c r="R608" s="2"/>
      <c r="S608" s="48"/>
      <c r="T608" s="2">
        <v>0</v>
      </c>
      <c r="U608" s="2">
        <v>0</v>
      </c>
      <c r="V608" s="1"/>
      <c r="W608" s="6"/>
      <c r="X608" s="1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>
        <v>4545455</v>
      </c>
      <c r="AL608" s="3">
        <v>4545455</v>
      </c>
      <c r="AM608" s="3">
        <v>4545455</v>
      </c>
      <c r="AN608" s="3">
        <v>4545455</v>
      </c>
      <c r="AO608" s="3">
        <v>4545455</v>
      </c>
      <c r="AP608" s="3">
        <v>4545455</v>
      </c>
      <c r="AQ608" s="3">
        <v>4545455</v>
      </c>
      <c r="AR608" s="3">
        <v>4545455</v>
      </c>
      <c r="AS608" s="3">
        <v>4545455</v>
      </c>
      <c r="AT608" s="3">
        <v>4545455</v>
      </c>
      <c r="AU608" s="3">
        <v>4545455</v>
      </c>
      <c r="AV608" s="3">
        <v>4545450</v>
      </c>
      <c r="AW608" s="3">
        <f t="shared" si="37"/>
        <v>0</v>
      </c>
      <c r="AX608" s="3">
        <f t="shared" si="38"/>
        <v>54545455</v>
      </c>
      <c r="AY608" s="4">
        <f t="shared" si="39"/>
        <v>12</v>
      </c>
      <c r="AZ608" s="8">
        <v>0</v>
      </c>
      <c r="BA608" s="4" t="s">
        <v>5726</v>
      </c>
      <c r="BB608" s="2">
        <v>54545455</v>
      </c>
      <c r="BC608" s="3"/>
      <c r="BD608" s="3"/>
    </row>
    <row r="609" spans="1:56" ht="16.8" customHeight="1">
      <c r="A609" s="1">
        <v>608</v>
      </c>
      <c r="B609" s="1" t="s">
        <v>1816</v>
      </c>
      <c r="C609" s="1" t="s">
        <v>1920</v>
      </c>
      <c r="D609" s="1" t="s">
        <v>2335</v>
      </c>
      <c r="E609" s="1" t="s">
        <v>2335</v>
      </c>
      <c r="F609" s="1" t="s">
        <v>2336</v>
      </c>
      <c r="G609" s="1" t="s">
        <v>2337</v>
      </c>
      <c r="H609" s="1" t="s">
        <v>5158</v>
      </c>
      <c r="I609" s="18" t="s">
        <v>4783</v>
      </c>
      <c r="J609" s="18" t="s">
        <v>5018</v>
      </c>
      <c r="K609" s="18" t="s">
        <v>4884</v>
      </c>
      <c r="L609" s="18" t="s">
        <v>4734</v>
      </c>
      <c r="M609" s="2">
        <v>2200000</v>
      </c>
      <c r="N609" s="2">
        <v>2200000</v>
      </c>
      <c r="O609" s="2"/>
      <c r="P609" s="2" t="str">
        <f t="shared" si="36"/>
        <v/>
      </c>
      <c r="Q609" s="2"/>
      <c r="R609" s="2"/>
      <c r="S609" s="48"/>
      <c r="T609" s="2">
        <v>0</v>
      </c>
      <c r="U609" s="2">
        <v>0</v>
      </c>
      <c r="V609" s="1" t="s">
        <v>2337</v>
      </c>
      <c r="W609" s="6" t="s">
        <v>2338</v>
      </c>
      <c r="X609" s="1" t="s">
        <v>1873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>
        <v>2200000</v>
      </c>
      <c r="AL609" s="3">
        <v>2200000</v>
      </c>
      <c r="AM609" s="3">
        <v>2200000</v>
      </c>
      <c r="AN609" s="3">
        <v>2200000</v>
      </c>
      <c r="AO609" s="3">
        <v>2200000</v>
      </c>
      <c r="AP609" s="3">
        <v>2200000</v>
      </c>
      <c r="AQ609" s="3">
        <v>2200000</v>
      </c>
      <c r="AR609" s="3">
        <v>2200000</v>
      </c>
      <c r="AS609" s="3">
        <v>2200000</v>
      </c>
      <c r="AT609" s="3">
        <v>2200000</v>
      </c>
      <c r="AU609" s="3">
        <v>2200000</v>
      </c>
      <c r="AV609" s="3">
        <v>2200000</v>
      </c>
      <c r="AW609" s="3">
        <f t="shared" si="37"/>
        <v>0</v>
      </c>
      <c r="AX609" s="3">
        <f t="shared" si="38"/>
        <v>26400000</v>
      </c>
      <c r="AY609" s="4">
        <f t="shared" si="39"/>
        <v>12</v>
      </c>
      <c r="AZ609" s="8" t="s">
        <v>5495</v>
      </c>
      <c r="BA609" s="4" t="s">
        <v>5726</v>
      </c>
      <c r="BB609" s="2"/>
      <c r="BC609" s="3"/>
      <c r="BD609" s="3"/>
    </row>
    <row r="610" spans="1:56" ht="16.8" customHeight="1">
      <c r="A610" s="1">
        <v>609</v>
      </c>
      <c r="B610" s="1" t="s">
        <v>1816</v>
      </c>
      <c r="C610" s="1" t="s">
        <v>1920</v>
      </c>
      <c r="D610" s="1" t="s">
        <v>2339</v>
      </c>
      <c r="E610" s="1" t="s">
        <v>2339</v>
      </c>
      <c r="F610" s="1" t="s">
        <v>2340</v>
      </c>
      <c r="G610" s="1" t="s">
        <v>2341</v>
      </c>
      <c r="H610" s="1" t="s">
        <v>5159</v>
      </c>
      <c r="I610" s="18" t="s">
        <v>4783</v>
      </c>
      <c r="J610" s="18" t="s">
        <v>4783</v>
      </c>
      <c r="K610" s="18" t="s">
        <v>4733</v>
      </c>
      <c r="L610" s="18" t="s">
        <v>4734</v>
      </c>
      <c r="M610" s="2">
        <v>1800000</v>
      </c>
      <c r="N610" s="2">
        <v>1800000</v>
      </c>
      <c r="O610" s="2"/>
      <c r="P610" s="2" t="str">
        <f t="shared" si="36"/>
        <v/>
      </c>
      <c r="Q610" s="2"/>
      <c r="R610" s="2"/>
      <c r="S610" s="48"/>
      <c r="T610" s="2">
        <v>5400000</v>
      </c>
      <c r="U610" s="2">
        <v>0</v>
      </c>
      <c r="V610" s="1" t="s">
        <v>2341</v>
      </c>
      <c r="W610" s="6" t="s">
        <v>2342</v>
      </c>
      <c r="X610" s="1" t="s">
        <v>1860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>
        <v>1800000</v>
      </c>
      <c r="AI610" s="3">
        <v>1800000</v>
      </c>
      <c r="AJ610" s="3">
        <v>1800000</v>
      </c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>
        <f t="shared" si="37"/>
        <v>5400000</v>
      </c>
      <c r="AX610" s="3">
        <f t="shared" si="38"/>
        <v>0</v>
      </c>
      <c r="AY610" s="4">
        <f t="shared" si="39"/>
        <v>3</v>
      </c>
      <c r="AZ610" s="8">
        <v>0</v>
      </c>
      <c r="BA610" s="4" t="s">
        <v>5726</v>
      </c>
      <c r="BB610" s="2"/>
      <c r="BC610" s="3"/>
      <c r="BD610" s="4"/>
    </row>
    <row r="611" spans="1:56" ht="16.8" customHeight="1">
      <c r="A611" s="1">
        <v>610</v>
      </c>
      <c r="B611" s="1" t="s">
        <v>1816</v>
      </c>
      <c r="C611" s="1" t="s">
        <v>1920</v>
      </c>
      <c r="D611" s="1" t="s">
        <v>2343</v>
      </c>
      <c r="E611" s="1" t="s">
        <v>2343</v>
      </c>
      <c r="F611" s="1" t="s">
        <v>2344</v>
      </c>
      <c r="G611" s="1" t="s">
        <v>2052</v>
      </c>
      <c r="H611" s="1" t="s">
        <v>5160</v>
      </c>
      <c r="I611" s="18" t="s">
        <v>4783</v>
      </c>
      <c r="J611" s="18" t="s">
        <v>5018</v>
      </c>
      <c r="K611" s="18" t="s">
        <v>5003</v>
      </c>
      <c r="L611" s="18" t="s">
        <v>4734</v>
      </c>
      <c r="M611" s="2">
        <v>6000000</v>
      </c>
      <c r="N611" s="2">
        <v>6000000</v>
      </c>
      <c r="O611" s="2"/>
      <c r="P611" s="2" t="str">
        <f t="shared" si="36"/>
        <v/>
      </c>
      <c r="Q611" s="2"/>
      <c r="R611" s="2"/>
      <c r="S611" s="48"/>
      <c r="T611" s="2">
        <v>0</v>
      </c>
      <c r="U611" s="2">
        <v>0</v>
      </c>
      <c r="V611" s="1"/>
      <c r="W611" s="6"/>
      <c r="X611" s="1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>
        <v>6000000</v>
      </c>
      <c r="AL611" s="3">
        <v>6000000</v>
      </c>
      <c r="AM611" s="3">
        <v>6000000</v>
      </c>
      <c r="AN611" s="3">
        <v>6000000</v>
      </c>
      <c r="AO611" s="3">
        <v>6000000</v>
      </c>
      <c r="AP611" s="3">
        <v>6000000</v>
      </c>
      <c r="AQ611" s="3"/>
      <c r="AR611" s="3"/>
      <c r="AS611" s="3"/>
      <c r="AT611" s="3"/>
      <c r="AU611" s="3"/>
      <c r="AV611" s="3"/>
      <c r="AW611" s="3">
        <f t="shared" si="37"/>
        <v>0</v>
      </c>
      <c r="AX611" s="3">
        <f t="shared" si="38"/>
        <v>36000000</v>
      </c>
      <c r="AY611" s="4">
        <f t="shared" si="39"/>
        <v>6</v>
      </c>
      <c r="AZ611" s="8">
        <v>0</v>
      </c>
      <c r="BA611" s="4" t="s">
        <v>5726</v>
      </c>
      <c r="BB611" s="2">
        <v>36000000</v>
      </c>
      <c r="BC611" s="3"/>
      <c r="BD611" s="3"/>
    </row>
    <row r="612" spans="1:56" ht="16.8" customHeight="1">
      <c r="A612" s="1">
        <v>611</v>
      </c>
      <c r="B612" s="1" t="s">
        <v>1816</v>
      </c>
      <c r="C612" s="1" t="s">
        <v>1920</v>
      </c>
      <c r="D612" s="1" t="s">
        <v>2345</v>
      </c>
      <c r="E612" s="1" t="s">
        <v>2345</v>
      </c>
      <c r="F612" s="1" t="s">
        <v>2346</v>
      </c>
      <c r="G612" s="1" t="s">
        <v>2347</v>
      </c>
      <c r="H612" s="1" t="s">
        <v>5161</v>
      </c>
      <c r="I612" s="18" t="s">
        <v>4783</v>
      </c>
      <c r="J612" s="18" t="s">
        <v>4783</v>
      </c>
      <c r="K612" s="18" t="s">
        <v>4733</v>
      </c>
      <c r="L612" s="18" t="s">
        <v>4734</v>
      </c>
      <c r="M612" s="2">
        <v>1600000</v>
      </c>
      <c r="N612" s="2">
        <v>1600000</v>
      </c>
      <c r="O612" s="2"/>
      <c r="P612" s="2" t="str">
        <f t="shared" si="36"/>
        <v/>
      </c>
      <c r="Q612" s="2"/>
      <c r="R612" s="2"/>
      <c r="S612" s="48"/>
      <c r="T612" s="2">
        <v>4800000</v>
      </c>
      <c r="U612" s="2">
        <v>0</v>
      </c>
      <c r="V612" s="1" t="s">
        <v>2347</v>
      </c>
      <c r="W612" s="6" t="s">
        <v>2348</v>
      </c>
      <c r="X612" s="1" t="s">
        <v>1860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>
        <v>1600000</v>
      </c>
      <c r="AI612" s="3">
        <v>1600000</v>
      </c>
      <c r="AJ612" s="3">
        <v>1600000</v>
      </c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>
        <f t="shared" si="37"/>
        <v>4800000</v>
      </c>
      <c r="AX612" s="3">
        <f t="shared" si="38"/>
        <v>0</v>
      </c>
      <c r="AY612" s="4">
        <f t="shared" si="39"/>
        <v>3</v>
      </c>
      <c r="AZ612" s="8">
        <v>0</v>
      </c>
      <c r="BA612" s="4" t="s">
        <v>5726</v>
      </c>
      <c r="BB612" s="2"/>
      <c r="BC612" s="3"/>
      <c r="BD612" s="4"/>
    </row>
    <row r="613" spans="1:56" ht="16.8" customHeight="1">
      <c r="A613" s="1">
        <v>612</v>
      </c>
      <c r="B613" s="1" t="s">
        <v>1816</v>
      </c>
      <c r="C613" s="1" t="s">
        <v>1920</v>
      </c>
      <c r="D613" s="1" t="s">
        <v>2349</v>
      </c>
      <c r="E613" s="1" t="s">
        <v>2349</v>
      </c>
      <c r="F613" s="1" t="s">
        <v>2350</v>
      </c>
      <c r="G613" s="1" t="s">
        <v>2351</v>
      </c>
      <c r="H613" s="1" t="s">
        <v>5162</v>
      </c>
      <c r="I613" s="18" t="s">
        <v>4783</v>
      </c>
      <c r="J613" s="18" t="s">
        <v>4783</v>
      </c>
      <c r="K613" s="18" t="s">
        <v>4938</v>
      </c>
      <c r="L613" s="18" t="s">
        <v>4734</v>
      </c>
      <c r="M613" s="2">
        <v>1600000</v>
      </c>
      <c r="N613" s="2">
        <v>1600000</v>
      </c>
      <c r="O613" s="2"/>
      <c r="P613" s="2" t="str">
        <f t="shared" si="36"/>
        <v/>
      </c>
      <c r="Q613" s="2"/>
      <c r="R613" s="2"/>
      <c r="S613" s="48"/>
      <c r="T613" s="2">
        <v>4800000</v>
      </c>
      <c r="U613" s="2">
        <v>0</v>
      </c>
      <c r="V613" s="1" t="s">
        <v>2351</v>
      </c>
      <c r="W613" s="6" t="s">
        <v>2352</v>
      </c>
      <c r="X613" s="1" t="s">
        <v>2353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>
        <v>1600000</v>
      </c>
      <c r="AI613" s="3">
        <v>1600000</v>
      </c>
      <c r="AJ613" s="3">
        <v>1600000</v>
      </c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>
        <f t="shared" si="37"/>
        <v>4800000</v>
      </c>
      <c r="AX613" s="3">
        <f t="shared" si="38"/>
        <v>0</v>
      </c>
      <c r="AY613" s="4">
        <f t="shared" si="39"/>
        <v>3</v>
      </c>
      <c r="AZ613" s="8">
        <v>0</v>
      </c>
      <c r="BA613" s="4" t="s">
        <v>5726</v>
      </c>
      <c r="BB613" s="2"/>
      <c r="BC613" s="3"/>
      <c r="BD613" s="4"/>
    </row>
    <row r="614" spans="1:56" ht="16.8" customHeight="1">
      <c r="A614" s="1">
        <v>613</v>
      </c>
      <c r="B614" s="1" t="s">
        <v>1816</v>
      </c>
      <c r="C614" s="1" t="s">
        <v>1920</v>
      </c>
      <c r="D614" s="1" t="s">
        <v>2354</v>
      </c>
      <c r="E614" s="1" t="s">
        <v>2354</v>
      </c>
      <c r="F614" s="1" t="s">
        <v>2355</v>
      </c>
      <c r="G614" s="1" t="s">
        <v>479</v>
      </c>
      <c r="H614" s="1" t="s">
        <v>5163</v>
      </c>
      <c r="I614" s="18" t="s">
        <v>4783</v>
      </c>
      <c r="J614" s="18" t="s">
        <v>4783</v>
      </c>
      <c r="K614" s="18" t="s">
        <v>4752</v>
      </c>
      <c r="L614" s="18" t="s">
        <v>4734</v>
      </c>
      <c r="M614" s="2">
        <v>1700000</v>
      </c>
      <c r="N614" s="2">
        <v>1700000</v>
      </c>
      <c r="O614" s="2"/>
      <c r="P614" s="2" t="str">
        <f t="shared" si="36"/>
        <v/>
      </c>
      <c r="Q614" s="2"/>
      <c r="R614" s="2"/>
      <c r="S614" s="48"/>
      <c r="T614" s="2">
        <v>5100000</v>
      </c>
      <c r="U614" s="2">
        <v>0</v>
      </c>
      <c r="V614" s="1" t="s">
        <v>479</v>
      </c>
      <c r="W614" s="6" t="s">
        <v>2356</v>
      </c>
      <c r="X614" s="1" t="s">
        <v>1830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>
        <v>1700000</v>
      </c>
      <c r="AI614" s="3">
        <v>1700000</v>
      </c>
      <c r="AJ614" s="3">
        <v>1700000</v>
      </c>
      <c r="AK614" s="3">
        <v>1700000</v>
      </c>
      <c r="AL614" s="3">
        <v>1700000</v>
      </c>
      <c r="AM614" s="3">
        <v>1700000</v>
      </c>
      <c r="AN614" s="3">
        <v>1700000</v>
      </c>
      <c r="AO614" s="3">
        <v>1700000</v>
      </c>
      <c r="AP614" s="3">
        <v>1700000</v>
      </c>
      <c r="AQ614" s="3">
        <v>1700000</v>
      </c>
      <c r="AR614" s="3">
        <v>1700000</v>
      </c>
      <c r="AS614" s="3">
        <v>1700000</v>
      </c>
      <c r="AT614" s="3">
        <v>1700000</v>
      </c>
      <c r="AU614" s="3">
        <v>1700000</v>
      </c>
      <c r="AV614" s="3">
        <v>1700000</v>
      </c>
      <c r="AW614" s="3">
        <f t="shared" si="37"/>
        <v>5100000</v>
      </c>
      <c r="AX614" s="3">
        <f t="shared" si="38"/>
        <v>20400000</v>
      </c>
      <c r="AY614" s="4">
        <f t="shared" si="39"/>
        <v>15</v>
      </c>
      <c r="AZ614" s="8">
        <v>0</v>
      </c>
      <c r="BA614" s="4" t="s">
        <v>5726</v>
      </c>
      <c r="BB614" s="2">
        <v>20400000</v>
      </c>
      <c r="BC614" s="3"/>
      <c r="BD614" s="3"/>
    </row>
    <row r="615" spans="1:56" ht="16.8" customHeight="1">
      <c r="A615" s="1">
        <v>614</v>
      </c>
      <c r="B615" s="1" t="s">
        <v>1816</v>
      </c>
      <c r="C615" s="1" t="s">
        <v>1920</v>
      </c>
      <c r="D615" s="1" t="s">
        <v>2357</v>
      </c>
      <c r="E615" s="1" t="s">
        <v>2357</v>
      </c>
      <c r="F615" s="1" t="s">
        <v>2358</v>
      </c>
      <c r="G615" s="1" t="s">
        <v>2359</v>
      </c>
      <c r="H615" s="1" t="s">
        <v>5164</v>
      </c>
      <c r="I615" s="18" t="s">
        <v>4783</v>
      </c>
      <c r="J615" s="18" t="s">
        <v>4783</v>
      </c>
      <c r="K615" s="18" t="s">
        <v>4752</v>
      </c>
      <c r="L615" s="18" t="s">
        <v>4734</v>
      </c>
      <c r="M615" s="2">
        <v>1600000</v>
      </c>
      <c r="N615" s="2">
        <v>1600000</v>
      </c>
      <c r="O615" s="2"/>
      <c r="P615" s="2" t="str">
        <f t="shared" si="36"/>
        <v/>
      </c>
      <c r="Q615" s="2"/>
      <c r="R615" s="2"/>
      <c r="S615" s="48"/>
      <c r="T615" s="2">
        <v>4800000</v>
      </c>
      <c r="U615" s="2">
        <v>0</v>
      </c>
      <c r="V615" s="1" t="s">
        <v>2359</v>
      </c>
      <c r="W615" s="6" t="s">
        <v>2360</v>
      </c>
      <c r="X615" s="1" t="s">
        <v>1860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>
        <v>1600000</v>
      </c>
      <c r="AI615" s="3">
        <v>1600000</v>
      </c>
      <c r="AJ615" s="3">
        <v>1600000</v>
      </c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>
        <f t="shared" si="37"/>
        <v>4800000</v>
      </c>
      <c r="AX615" s="3">
        <f t="shared" si="38"/>
        <v>0</v>
      </c>
      <c r="AY615" s="4">
        <f t="shared" si="39"/>
        <v>3</v>
      </c>
      <c r="AZ615" s="8">
        <v>0</v>
      </c>
      <c r="BA615" s="4" t="s">
        <v>5726</v>
      </c>
      <c r="BB615" s="2"/>
      <c r="BC615" s="3"/>
      <c r="BD615" s="4"/>
    </row>
    <row r="616" spans="1:56" ht="16.8" customHeight="1">
      <c r="A616" s="1">
        <v>615</v>
      </c>
      <c r="B616" s="1" t="s">
        <v>1816</v>
      </c>
      <c r="C616" s="1" t="s">
        <v>1920</v>
      </c>
      <c r="D616" s="1" t="s">
        <v>2361</v>
      </c>
      <c r="E616" s="1" t="s">
        <v>2361</v>
      </c>
      <c r="F616" s="1" t="s">
        <v>2362</v>
      </c>
      <c r="G616" s="1" t="s">
        <v>2341</v>
      </c>
      <c r="H616" s="1" t="s">
        <v>5165</v>
      </c>
      <c r="I616" s="18" t="s">
        <v>4783</v>
      </c>
      <c r="J616" s="18" t="s">
        <v>4783</v>
      </c>
      <c r="K616" s="18" t="s">
        <v>4733</v>
      </c>
      <c r="L616" s="18" t="s">
        <v>4734</v>
      </c>
      <c r="M616" s="2">
        <v>1800000</v>
      </c>
      <c r="N616" s="2">
        <v>1800000</v>
      </c>
      <c r="O616" s="2"/>
      <c r="P616" s="2" t="str">
        <f t="shared" si="36"/>
        <v/>
      </c>
      <c r="Q616" s="2"/>
      <c r="R616" s="2"/>
      <c r="S616" s="48"/>
      <c r="T616" s="2">
        <v>5400000</v>
      </c>
      <c r="U616" s="2">
        <v>0</v>
      </c>
      <c r="V616" s="1" t="s">
        <v>2341</v>
      </c>
      <c r="W616" s="6" t="s">
        <v>2342</v>
      </c>
      <c r="X616" s="1" t="s">
        <v>1860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>
        <v>1800000</v>
      </c>
      <c r="AI616" s="3">
        <v>1800000</v>
      </c>
      <c r="AJ616" s="3">
        <v>1800000</v>
      </c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>
        <f t="shared" si="37"/>
        <v>5400000</v>
      </c>
      <c r="AX616" s="3">
        <f t="shared" si="38"/>
        <v>0</v>
      </c>
      <c r="AY616" s="4">
        <f t="shared" si="39"/>
        <v>3</v>
      </c>
      <c r="AZ616" s="8">
        <v>0</v>
      </c>
      <c r="BA616" s="4" t="s">
        <v>5726</v>
      </c>
      <c r="BB616" s="2"/>
      <c r="BC616" s="3"/>
      <c r="BD616" s="4"/>
    </row>
    <row r="617" spans="1:56" ht="16.8" customHeight="1">
      <c r="A617" s="1">
        <v>616</v>
      </c>
      <c r="B617" s="1" t="s">
        <v>1816</v>
      </c>
      <c r="C617" s="1" t="s">
        <v>1920</v>
      </c>
      <c r="D617" s="1" t="s">
        <v>2363</v>
      </c>
      <c r="E617" s="1" t="s">
        <v>2363</v>
      </c>
      <c r="F617" s="1" t="s">
        <v>2364</v>
      </c>
      <c r="G617" s="1" t="s">
        <v>2365</v>
      </c>
      <c r="H617" s="1" t="s">
        <v>5166</v>
      </c>
      <c r="I617" s="18" t="s">
        <v>4783</v>
      </c>
      <c r="J617" s="18" t="s">
        <v>4783</v>
      </c>
      <c r="K617" s="18" t="s">
        <v>4733</v>
      </c>
      <c r="L617" s="18" t="s">
        <v>4734</v>
      </c>
      <c r="M617" s="2">
        <v>1680000</v>
      </c>
      <c r="N617" s="2">
        <v>1680000</v>
      </c>
      <c r="O617" s="2"/>
      <c r="P617" s="2" t="str">
        <f t="shared" si="36"/>
        <v/>
      </c>
      <c r="Q617" s="2"/>
      <c r="R617" s="2"/>
      <c r="S617" s="48"/>
      <c r="T617" s="2">
        <v>5040000</v>
      </c>
      <c r="U617" s="2">
        <v>0</v>
      </c>
      <c r="V617" s="1" t="s">
        <v>2365</v>
      </c>
      <c r="W617" s="6" t="s">
        <v>2366</v>
      </c>
      <c r="X617" s="1" t="s">
        <v>1964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>
        <v>1680000</v>
      </c>
      <c r="AI617" s="3">
        <v>1680000</v>
      </c>
      <c r="AJ617" s="3">
        <v>1680000</v>
      </c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>
        <f t="shared" si="37"/>
        <v>5040000</v>
      </c>
      <c r="AX617" s="3">
        <f t="shared" si="38"/>
        <v>0</v>
      </c>
      <c r="AY617" s="4">
        <f t="shared" si="39"/>
        <v>3</v>
      </c>
      <c r="AZ617" s="8">
        <v>0</v>
      </c>
      <c r="BA617" s="4" t="s">
        <v>5726</v>
      </c>
      <c r="BB617" s="2"/>
      <c r="BC617" s="3"/>
      <c r="BD617" s="4"/>
    </row>
    <row r="618" spans="1:56" ht="16.8" customHeight="1">
      <c r="A618" s="1">
        <v>617</v>
      </c>
      <c r="B618" s="1" t="s">
        <v>1816</v>
      </c>
      <c r="C618" s="1" t="s">
        <v>1920</v>
      </c>
      <c r="D618" s="1" t="s">
        <v>2367</v>
      </c>
      <c r="E618" s="1" t="s">
        <v>2367</v>
      </c>
      <c r="F618" s="1" t="s">
        <v>2368</v>
      </c>
      <c r="G618" s="1" t="s">
        <v>2369</v>
      </c>
      <c r="H618" s="1" t="s">
        <v>5167</v>
      </c>
      <c r="I618" s="18" t="s">
        <v>4783</v>
      </c>
      <c r="J618" s="18" t="s">
        <v>5074</v>
      </c>
      <c r="K618" s="18" t="s">
        <v>4752</v>
      </c>
      <c r="L618" s="18" t="s">
        <v>4734</v>
      </c>
      <c r="M618" s="2">
        <v>1840000</v>
      </c>
      <c r="N618" s="2">
        <v>1840000</v>
      </c>
      <c r="O618" s="2"/>
      <c r="P618" s="2" t="str">
        <f t="shared" si="36"/>
        <v/>
      </c>
      <c r="Q618" s="2"/>
      <c r="R618" s="2"/>
      <c r="S618" s="48"/>
      <c r="T618" s="2">
        <v>4800000</v>
      </c>
      <c r="U618" s="2">
        <v>0</v>
      </c>
      <c r="V618" s="1" t="s">
        <v>2369</v>
      </c>
      <c r="W618" s="6" t="s">
        <v>2370</v>
      </c>
      <c r="X618" s="1" t="s">
        <v>1830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>
        <f t="shared" si="37"/>
        <v>0</v>
      </c>
      <c r="AX618" s="3">
        <f t="shared" si="38"/>
        <v>0</v>
      </c>
      <c r="AY618" s="4">
        <f t="shared" si="39"/>
        <v>0</v>
      </c>
      <c r="AZ618" s="8">
        <v>0</v>
      </c>
      <c r="BA618" s="4" t="s">
        <v>5726</v>
      </c>
      <c r="BB618" s="2"/>
      <c r="BC618" s="3"/>
      <c r="BD618" s="4"/>
    </row>
    <row r="619" spans="1:56" ht="16.8" customHeight="1">
      <c r="A619" s="1">
        <v>618</v>
      </c>
      <c r="B619" s="1" t="s">
        <v>1816</v>
      </c>
      <c r="C619" s="1" t="s">
        <v>1920</v>
      </c>
      <c r="D619" s="1" t="s">
        <v>2371</v>
      </c>
      <c r="E619" s="1" t="s">
        <v>2371</v>
      </c>
      <c r="F619" s="1" t="s">
        <v>2372</v>
      </c>
      <c r="G619" s="1" t="s">
        <v>2373</v>
      </c>
      <c r="H619" s="1" t="s">
        <v>5168</v>
      </c>
      <c r="I619" s="18" t="s">
        <v>4783</v>
      </c>
      <c r="J619" s="18" t="s">
        <v>4783</v>
      </c>
      <c r="K619" s="18" t="s">
        <v>5050</v>
      </c>
      <c r="L619" s="18" t="s">
        <v>4734</v>
      </c>
      <c r="M619" s="2">
        <v>1500000</v>
      </c>
      <c r="N619" s="2">
        <v>1500000</v>
      </c>
      <c r="O619" s="2"/>
      <c r="P619" s="2" t="str">
        <f t="shared" si="36"/>
        <v/>
      </c>
      <c r="Q619" s="2"/>
      <c r="R619" s="2"/>
      <c r="S619" s="48"/>
      <c r="T619" s="2">
        <v>4500000</v>
      </c>
      <c r="U619" s="2">
        <v>0</v>
      </c>
      <c r="V619" s="1" t="s">
        <v>2373</v>
      </c>
      <c r="W619" s="6" t="s">
        <v>2374</v>
      </c>
      <c r="X619" s="1" t="s">
        <v>1830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>
        <v>1500000</v>
      </c>
      <c r="AI619" s="3">
        <v>1500000</v>
      </c>
      <c r="AJ619" s="3">
        <v>1500000</v>
      </c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>
        <f t="shared" si="37"/>
        <v>4500000</v>
      </c>
      <c r="AX619" s="3">
        <f t="shared" si="38"/>
        <v>0</v>
      </c>
      <c r="AY619" s="4">
        <f t="shared" si="39"/>
        <v>3</v>
      </c>
      <c r="AZ619" s="8">
        <v>0</v>
      </c>
      <c r="BA619" s="4" t="s">
        <v>5726</v>
      </c>
      <c r="BB619" s="2"/>
      <c r="BC619" s="3"/>
      <c r="BD619" s="4"/>
    </row>
    <row r="620" spans="1:56" ht="16.8" customHeight="1">
      <c r="A620" s="1">
        <v>619</v>
      </c>
      <c r="B620" s="1" t="s">
        <v>1816</v>
      </c>
      <c r="C620" s="1" t="s">
        <v>1920</v>
      </c>
      <c r="D620" s="1" t="s">
        <v>2375</v>
      </c>
      <c r="E620" s="1" t="s">
        <v>2375</v>
      </c>
      <c r="F620" s="1" t="s">
        <v>2376</v>
      </c>
      <c r="G620" s="1" t="s">
        <v>2377</v>
      </c>
      <c r="H620" s="1" t="s">
        <v>5169</v>
      </c>
      <c r="I620" s="18" t="s">
        <v>4783</v>
      </c>
      <c r="J620" s="18" t="s">
        <v>4783</v>
      </c>
      <c r="K620" s="18" t="s">
        <v>4733</v>
      </c>
      <c r="L620" s="18" t="s">
        <v>4734</v>
      </c>
      <c r="M620" s="2">
        <v>1500000</v>
      </c>
      <c r="N620" s="2">
        <v>1500000</v>
      </c>
      <c r="O620" s="2"/>
      <c r="P620" s="2" t="str">
        <f t="shared" si="36"/>
        <v/>
      </c>
      <c r="Q620" s="2"/>
      <c r="R620" s="2"/>
      <c r="S620" s="48"/>
      <c r="T620" s="2">
        <v>4500000</v>
      </c>
      <c r="U620" s="2">
        <v>0</v>
      </c>
      <c r="V620" s="1" t="s">
        <v>2377</v>
      </c>
      <c r="W620" s="6" t="s">
        <v>2378</v>
      </c>
      <c r="X620" s="1" t="s">
        <v>1860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>
        <v>1500000</v>
      </c>
      <c r="AI620" s="3">
        <v>1500000</v>
      </c>
      <c r="AJ620" s="3">
        <v>1500000</v>
      </c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>
        <f t="shared" si="37"/>
        <v>4500000</v>
      </c>
      <c r="AX620" s="3">
        <f t="shared" si="38"/>
        <v>0</v>
      </c>
      <c r="AY620" s="4">
        <f t="shared" si="39"/>
        <v>3</v>
      </c>
      <c r="AZ620" s="8">
        <v>0</v>
      </c>
      <c r="BA620" s="4" t="s">
        <v>5726</v>
      </c>
      <c r="BB620" s="2"/>
      <c r="BC620" s="3"/>
      <c r="BD620" s="4"/>
    </row>
    <row r="621" spans="1:56" ht="16.8" customHeight="1">
      <c r="A621" s="1">
        <v>620</v>
      </c>
      <c r="B621" s="1" t="s">
        <v>1816</v>
      </c>
      <c r="C621" s="1" t="s">
        <v>1920</v>
      </c>
      <c r="D621" s="1" t="s">
        <v>2379</v>
      </c>
      <c r="E621" s="1" t="s">
        <v>2379</v>
      </c>
      <c r="F621" s="1" t="s">
        <v>2380</v>
      </c>
      <c r="G621" s="1" t="s">
        <v>2381</v>
      </c>
      <c r="H621" s="1" t="s">
        <v>5170</v>
      </c>
      <c r="I621" s="18" t="s">
        <v>4783</v>
      </c>
      <c r="J621" s="18" t="s">
        <v>4783</v>
      </c>
      <c r="K621" s="18" t="s">
        <v>4752</v>
      </c>
      <c r="L621" s="18" t="s">
        <v>4734</v>
      </c>
      <c r="M621" s="2">
        <v>1500000</v>
      </c>
      <c r="N621" s="2">
        <v>1500000</v>
      </c>
      <c r="O621" s="2"/>
      <c r="P621" s="2" t="str">
        <f t="shared" si="36"/>
        <v/>
      </c>
      <c r="Q621" s="2"/>
      <c r="R621" s="2"/>
      <c r="S621" s="48"/>
      <c r="T621" s="2">
        <v>4500000</v>
      </c>
      <c r="U621" s="2">
        <v>0</v>
      </c>
      <c r="V621" s="1" t="s">
        <v>2381</v>
      </c>
      <c r="W621" s="6" t="s">
        <v>2382</v>
      </c>
      <c r="X621" s="1" t="s">
        <v>1964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>
        <v>1500000</v>
      </c>
      <c r="AI621" s="3">
        <v>1500000</v>
      </c>
      <c r="AJ621" s="3">
        <v>1500000</v>
      </c>
      <c r="AK621" s="3">
        <v>1500000</v>
      </c>
      <c r="AL621" s="3">
        <v>1500000</v>
      </c>
      <c r="AM621" s="3">
        <v>1500000</v>
      </c>
      <c r="AN621" s="3">
        <v>1500000</v>
      </c>
      <c r="AO621" s="3">
        <v>1500000</v>
      </c>
      <c r="AP621" s="3">
        <v>1500000</v>
      </c>
      <c r="AQ621" s="3"/>
      <c r="AR621" s="3"/>
      <c r="AS621" s="3"/>
      <c r="AT621" s="3"/>
      <c r="AU621" s="3"/>
      <c r="AV621" s="3"/>
      <c r="AW621" s="3">
        <f t="shared" si="37"/>
        <v>4500000</v>
      </c>
      <c r="AX621" s="3">
        <f t="shared" si="38"/>
        <v>9000000</v>
      </c>
      <c r="AY621" s="4">
        <f t="shared" si="39"/>
        <v>9</v>
      </c>
      <c r="AZ621" s="8">
        <v>0</v>
      </c>
      <c r="BA621" s="4" t="s">
        <v>5715</v>
      </c>
      <c r="BB621" s="2"/>
      <c r="BC621" s="3"/>
      <c r="BD621" s="3"/>
    </row>
    <row r="622" spans="1:56" ht="16.8" customHeight="1">
      <c r="A622" s="1">
        <v>621</v>
      </c>
      <c r="B622" s="1" t="s">
        <v>1816</v>
      </c>
      <c r="C622" s="1" t="s">
        <v>1817</v>
      </c>
      <c r="D622" s="1" t="s">
        <v>2383</v>
      </c>
      <c r="E622" s="1" t="s">
        <v>2383</v>
      </c>
      <c r="F622" s="1" t="s">
        <v>2384</v>
      </c>
      <c r="G622" s="1" t="s">
        <v>2385</v>
      </c>
      <c r="H622" s="1" t="s">
        <v>5171</v>
      </c>
      <c r="I622" s="18" t="s">
        <v>4783</v>
      </c>
      <c r="J622" s="18" t="s">
        <v>5018</v>
      </c>
      <c r="K622" s="18" t="s">
        <v>4733</v>
      </c>
      <c r="L622" s="18" t="s">
        <v>4734</v>
      </c>
      <c r="M622" s="2">
        <v>2500000</v>
      </c>
      <c r="N622" s="2">
        <v>2500000</v>
      </c>
      <c r="O622" s="2"/>
      <c r="P622" s="2" t="str">
        <f t="shared" si="36"/>
        <v/>
      </c>
      <c r="Q622" s="2"/>
      <c r="R622" s="2"/>
      <c r="S622" s="48"/>
      <c r="T622" s="2">
        <v>0</v>
      </c>
      <c r="U622" s="2">
        <v>0</v>
      </c>
      <c r="V622" s="1" t="s">
        <v>2386</v>
      </c>
      <c r="W622" s="6" t="s">
        <v>2387</v>
      </c>
      <c r="X622" s="1" t="s">
        <v>324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>
        <v>2500000</v>
      </c>
      <c r="AL622" s="3">
        <v>2500000</v>
      </c>
      <c r="AM622" s="3">
        <v>2500000</v>
      </c>
      <c r="AN622" s="3">
        <v>2500000</v>
      </c>
      <c r="AO622" s="3">
        <v>2500000</v>
      </c>
      <c r="AP622" s="3">
        <v>2500000</v>
      </c>
      <c r="AQ622" s="3">
        <v>2500000</v>
      </c>
      <c r="AR622" s="3">
        <v>2500000</v>
      </c>
      <c r="AS622" s="3">
        <v>2500000</v>
      </c>
      <c r="AT622" s="3">
        <v>2500000</v>
      </c>
      <c r="AU622" s="3">
        <v>2500000</v>
      </c>
      <c r="AV622" s="3">
        <v>2500000</v>
      </c>
      <c r="AW622" s="3">
        <f t="shared" si="37"/>
        <v>0</v>
      </c>
      <c r="AX622" s="3">
        <f t="shared" si="38"/>
        <v>30000000</v>
      </c>
      <c r="AY622" s="4">
        <f t="shared" si="39"/>
        <v>12</v>
      </c>
      <c r="AZ622" s="8" t="s">
        <v>5575</v>
      </c>
      <c r="BA622" s="4" t="s">
        <v>5726</v>
      </c>
      <c r="BB622" s="2">
        <v>30000000</v>
      </c>
      <c r="BC622" s="3"/>
      <c r="BD622" s="3"/>
    </row>
    <row r="623" spans="1:56" ht="16.8" customHeight="1">
      <c r="A623" s="1">
        <v>622</v>
      </c>
      <c r="B623" s="1" t="s">
        <v>1816</v>
      </c>
      <c r="C623" s="1" t="s">
        <v>1817</v>
      </c>
      <c r="D623" s="1" t="s">
        <v>2388</v>
      </c>
      <c r="E623" s="1" t="s">
        <v>2388</v>
      </c>
      <c r="F623" s="1" t="s">
        <v>2389</v>
      </c>
      <c r="G623" s="1" t="s">
        <v>2390</v>
      </c>
      <c r="H623" s="1" t="s">
        <v>5043</v>
      </c>
      <c r="I623" s="18"/>
      <c r="J623" s="18"/>
      <c r="K623" s="18"/>
      <c r="L623" s="18"/>
      <c r="M623" s="2">
        <v>2000000</v>
      </c>
      <c r="N623" s="2">
        <v>2000000</v>
      </c>
      <c r="O623" s="2"/>
      <c r="P623" s="2" t="str">
        <f t="shared" si="36"/>
        <v/>
      </c>
      <c r="Q623" s="2"/>
      <c r="R623" s="2"/>
      <c r="S623" s="48"/>
      <c r="T623" s="2">
        <v>0</v>
      </c>
      <c r="U623" s="2">
        <v>0</v>
      </c>
      <c r="V623" s="1"/>
      <c r="W623" s="6"/>
      <c r="X623" s="1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>
        <f t="shared" si="37"/>
        <v>0</v>
      </c>
      <c r="AX623" s="3">
        <f t="shared" si="38"/>
        <v>0</v>
      </c>
      <c r="AY623" s="4">
        <f t="shared" si="39"/>
        <v>0</v>
      </c>
      <c r="BA623" s="4" t="s">
        <v>5726</v>
      </c>
      <c r="BB623" s="2"/>
      <c r="BC623" s="3"/>
      <c r="BD623" s="4"/>
    </row>
    <row r="624" spans="1:56" ht="16.8" customHeight="1">
      <c r="A624" s="1">
        <v>623</v>
      </c>
      <c r="B624" s="1" t="s">
        <v>1816</v>
      </c>
      <c r="C624" s="1" t="s">
        <v>1817</v>
      </c>
      <c r="D624" s="1" t="s">
        <v>2391</v>
      </c>
      <c r="E624" s="1" t="s">
        <v>2391</v>
      </c>
      <c r="F624" s="1" t="s">
        <v>2392</v>
      </c>
      <c r="G624" s="1" t="s">
        <v>2393</v>
      </c>
      <c r="H624" s="1" t="s">
        <v>5172</v>
      </c>
      <c r="I624" s="18" t="s">
        <v>4783</v>
      </c>
      <c r="J624" s="18" t="s">
        <v>5018</v>
      </c>
      <c r="K624" s="18" t="s">
        <v>4733</v>
      </c>
      <c r="L624" s="18" t="s">
        <v>4734</v>
      </c>
      <c r="M624" s="2">
        <v>2800000</v>
      </c>
      <c r="N624" s="2">
        <v>2800000</v>
      </c>
      <c r="O624" s="2"/>
      <c r="P624" s="2" t="str">
        <f t="shared" si="36"/>
        <v/>
      </c>
      <c r="Q624" s="2"/>
      <c r="R624" s="2"/>
      <c r="S624" s="48"/>
      <c r="T624" s="2">
        <v>0</v>
      </c>
      <c r="U624" s="2">
        <v>0</v>
      </c>
      <c r="V624" s="1" t="s">
        <v>2394</v>
      </c>
      <c r="W624" s="6" t="s">
        <v>2395</v>
      </c>
      <c r="X624" s="1" t="s">
        <v>324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>
        <v>2800000</v>
      </c>
      <c r="AL624" s="3">
        <v>2800000</v>
      </c>
      <c r="AM624" s="3">
        <v>2800000</v>
      </c>
      <c r="AN624" s="3">
        <v>2800000</v>
      </c>
      <c r="AO624" s="3">
        <v>2800000</v>
      </c>
      <c r="AP624" s="3">
        <v>2800000</v>
      </c>
      <c r="AQ624" s="3">
        <v>2800000</v>
      </c>
      <c r="AR624" s="3">
        <v>2800000</v>
      </c>
      <c r="AS624" s="3">
        <v>2800000</v>
      </c>
      <c r="AT624" s="3">
        <v>2800000</v>
      </c>
      <c r="AU624" s="3">
        <v>2800000</v>
      </c>
      <c r="AV624" s="3">
        <v>2800000</v>
      </c>
      <c r="AW624" s="3">
        <f t="shared" si="37"/>
        <v>0</v>
      </c>
      <c r="AX624" s="3">
        <f t="shared" si="38"/>
        <v>33600000</v>
      </c>
      <c r="AY624" s="4">
        <f t="shared" si="39"/>
        <v>12</v>
      </c>
      <c r="AZ624" s="8" t="s">
        <v>5576</v>
      </c>
      <c r="BA624" s="4" t="s">
        <v>5726</v>
      </c>
      <c r="BB624" s="2">
        <v>33600000</v>
      </c>
      <c r="BC624" s="3"/>
      <c r="BD624" s="3"/>
    </row>
    <row r="625" spans="1:56" ht="16.8" customHeight="1">
      <c r="A625" s="1">
        <v>624</v>
      </c>
      <c r="B625" s="1" t="s">
        <v>1816</v>
      </c>
      <c r="C625" s="1" t="s">
        <v>1817</v>
      </c>
      <c r="D625" s="1" t="s">
        <v>2396</v>
      </c>
      <c r="E625" s="1" t="s">
        <v>2396</v>
      </c>
      <c r="F625" s="1" t="s">
        <v>2397</v>
      </c>
      <c r="G625" s="1" t="s">
        <v>2398</v>
      </c>
      <c r="H625" s="1" t="s">
        <v>5043</v>
      </c>
      <c r="I625" s="18"/>
      <c r="J625" s="18"/>
      <c r="K625" s="18"/>
      <c r="L625" s="18"/>
      <c r="M625" s="2">
        <v>2300000</v>
      </c>
      <c r="N625" s="2">
        <v>2300000</v>
      </c>
      <c r="O625" s="2"/>
      <c r="P625" s="2" t="str">
        <f t="shared" si="36"/>
        <v/>
      </c>
      <c r="Q625" s="2"/>
      <c r="R625" s="2"/>
      <c r="S625" s="48"/>
      <c r="T625" s="2">
        <v>0</v>
      </c>
      <c r="U625" s="2">
        <v>0</v>
      </c>
      <c r="V625" s="1"/>
      <c r="W625" s="6"/>
      <c r="X625" s="1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>
        <f t="shared" si="37"/>
        <v>0</v>
      </c>
      <c r="AX625" s="3">
        <f t="shared" si="38"/>
        <v>0</v>
      </c>
      <c r="AY625" s="4">
        <f t="shared" si="39"/>
        <v>0</v>
      </c>
      <c r="BA625" s="4" t="s">
        <v>5726</v>
      </c>
      <c r="BB625" s="2"/>
      <c r="BC625" s="3"/>
      <c r="BD625" s="4"/>
    </row>
    <row r="626" spans="1:56" ht="16.8" customHeight="1">
      <c r="A626" s="1">
        <v>625</v>
      </c>
      <c r="B626" s="1" t="s">
        <v>1816</v>
      </c>
      <c r="C626" s="1" t="s">
        <v>1817</v>
      </c>
      <c r="D626" s="1" t="s">
        <v>2399</v>
      </c>
      <c r="E626" s="1" t="s">
        <v>2399</v>
      </c>
      <c r="F626" s="1" t="s">
        <v>2400</v>
      </c>
      <c r="G626" s="1" t="s">
        <v>2401</v>
      </c>
      <c r="H626" s="1" t="s">
        <v>5043</v>
      </c>
      <c r="I626" s="18"/>
      <c r="J626" s="18"/>
      <c r="K626" s="18"/>
      <c r="L626" s="18"/>
      <c r="M626" s="2">
        <v>1500000</v>
      </c>
      <c r="N626" s="2">
        <v>1500000</v>
      </c>
      <c r="O626" s="2"/>
      <c r="P626" s="2" t="str">
        <f t="shared" si="36"/>
        <v/>
      </c>
      <c r="Q626" s="2"/>
      <c r="R626" s="2"/>
      <c r="S626" s="48"/>
      <c r="T626" s="2">
        <v>0</v>
      </c>
      <c r="U626" s="2">
        <v>0</v>
      </c>
      <c r="V626" s="1"/>
      <c r="W626" s="6"/>
      <c r="X626" s="1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>
        <f t="shared" si="37"/>
        <v>0</v>
      </c>
      <c r="AX626" s="3">
        <f t="shared" si="38"/>
        <v>0</v>
      </c>
      <c r="AY626" s="4">
        <f t="shared" si="39"/>
        <v>0</v>
      </c>
      <c r="BA626" s="4" t="s">
        <v>5726</v>
      </c>
      <c r="BB626" s="2"/>
      <c r="BC626" s="3"/>
      <c r="BD626" s="4"/>
    </row>
    <row r="627" spans="1:56" ht="16.8" customHeight="1">
      <c r="A627" s="1">
        <v>626</v>
      </c>
      <c r="B627" s="1" t="s">
        <v>1816</v>
      </c>
      <c r="C627" s="1" t="s">
        <v>1817</v>
      </c>
      <c r="D627" s="1" t="s">
        <v>2402</v>
      </c>
      <c r="E627" s="1" t="s">
        <v>2402</v>
      </c>
      <c r="F627" s="1" t="s">
        <v>2403</v>
      </c>
      <c r="G627" s="1" t="s">
        <v>2404</v>
      </c>
      <c r="H627" s="1" t="s">
        <v>5043</v>
      </c>
      <c r="I627" s="18"/>
      <c r="J627" s="18"/>
      <c r="K627" s="18"/>
      <c r="L627" s="18"/>
      <c r="M627" s="2">
        <v>1000000</v>
      </c>
      <c r="N627" s="2">
        <v>1000000</v>
      </c>
      <c r="O627" s="2"/>
      <c r="P627" s="2" t="str">
        <f t="shared" si="36"/>
        <v/>
      </c>
      <c r="Q627" s="2"/>
      <c r="R627" s="2"/>
      <c r="S627" s="48"/>
      <c r="T627" s="2">
        <v>0</v>
      </c>
      <c r="U627" s="2">
        <v>0</v>
      </c>
      <c r="V627" s="1"/>
      <c r="W627" s="6"/>
      <c r="X627" s="1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>
        <f t="shared" si="37"/>
        <v>0</v>
      </c>
      <c r="AX627" s="3">
        <f t="shared" si="38"/>
        <v>0</v>
      </c>
      <c r="AY627" s="4">
        <f t="shared" si="39"/>
        <v>0</v>
      </c>
      <c r="BA627" s="4" t="s">
        <v>5726</v>
      </c>
      <c r="BB627" s="2"/>
      <c r="BC627" s="3"/>
      <c r="BD627" s="4"/>
    </row>
    <row r="628" spans="1:56" ht="16.8" customHeight="1">
      <c r="A628" s="1">
        <v>627</v>
      </c>
      <c r="B628" s="1" t="s">
        <v>1816</v>
      </c>
      <c r="C628" s="1" t="s">
        <v>1817</v>
      </c>
      <c r="D628" s="1" t="s">
        <v>2405</v>
      </c>
      <c r="E628" s="1" t="s">
        <v>2405</v>
      </c>
      <c r="F628" s="1" t="s">
        <v>2406</v>
      </c>
      <c r="G628" s="1" t="s">
        <v>2407</v>
      </c>
      <c r="H628" s="1" t="s">
        <v>5043</v>
      </c>
      <c r="I628" s="18"/>
      <c r="J628" s="18"/>
      <c r="K628" s="18"/>
      <c r="L628" s="18"/>
      <c r="M628" s="2">
        <v>1500000</v>
      </c>
      <c r="N628" s="2">
        <v>1500000</v>
      </c>
      <c r="O628" s="2"/>
      <c r="P628" s="2" t="str">
        <f t="shared" si="36"/>
        <v/>
      </c>
      <c r="Q628" s="2"/>
      <c r="R628" s="2"/>
      <c r="S628" s="48"/>
      <c r="T628" s="2">
        <v>0</v>
      </c>
      <c r="U628" s="2">
        <v>0</v>
      </c>
      <c r="V628" s="1"/>
      <c r="W628" s="6"/>
      <c r="X628" s="1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>
        <f t="shared" si="37"/>
        <v>0</v>
      </c>
      <c r="AX628" s="3">
        <f t="shared" si="38"/>
        <v>0</v>
      </c>
      <c r="AY628" s="4">
        <f t="shared" si="39"/>
        <v>0</v>
      </c>
      <c r="BA628" s="4" t="s">
        <v>5726</v>
      </c>
      <c r="BB628" s="2"/>
      <c r="BC628" s="3"/>
      <c r="BD628" s="4"/>
    </row>
    <row r="629" spans="1:56" ht="16.8" customHeight="1">
      <c r="A629" s="1">
        <v>628</v>
      </c>
      <c r="B629" s="1" t="s">
        <v>1816</v>
      </c>
      <c r="C629" s="1" t="s">
        <v>1817</v>
      </c>
      <c r="D629" s="1" t="s">
        <v>2408</v>
      </c>
      <c r="E629" s="1" t="s">
        <v>2408</v>
      </c>
      <c r="F629" s="1" t="s">
        <v>2409</v>
      </c>
      <c r="G629" s="1" t="s">
        <v>2410</v>
      </c>
      <c r="H629" s="1" t="s">
        <v>5043</v>
      </c>
      <c r="I629" s="18"/>
      <c r="J629" s="18"/>
      <c r="K629" s="18"/>
      <c r="L629" s="18"/>
      <c r="M629" s="2">
        <v>1500000</v>
      </c>
      <c r="N629" s="2">
        <v>1500000</v>
      </c>
      <c r="O629" s="2"/>
      <c r="P629" s="2" t="str">
        <f t="shared" si="36"/>
        <v/>
      </c>
      <c r="Q629" s="2"/>
      <c r="R629" s="2"/>
      <c r="S629" s="48"/>
      <c r="T629" s="2">
        <v>0</v>
      </c>
      <c r="U629" s="2">
        <v>0</v>
      </c>
      <c r="V629" s="1"/>
      <c r="W629" s="6"/>
      <c r="X629" s="1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>
        <f t="shared" si="37"/>
        <v>0</v>
      </c>
      <c r="AX629" s="3">
        <f t="shared" si="38"/>
        <v>0</v>
      </c>
      <c r="AY629" s="4">
        <f t="shared" si="39"/>
        <v>0</v>
      </c>
      <c r="BA629" s="4" t="s">
        <v>5726</v>
      </c>
      <c r="BB629" s="2"/>
      <c r="BC629" s="3"/>
      <c r="BD629" s="4"/>
    </row>
    <row r="630" spans="1:56" ht="16.8" customHeight="1">
      <c r="A630" s="1">
        <v>629</v>
      </c>
      <c r="B630" s="1" t="s">
        <v>1816</v>
      </c>
      <c r="C630" s="1" t="s">
        <v>1817</v>
      </c>
      <c r="D630" s="1" t="s">
        <v>2411</v>
      </c>
      <c r="E630" s="1" t="s">
        <v>2411</v>
      </c>
      <c r="F630" s="1" t="s">
        <v>2412</v>
      </c>
      <c r="G630" s="1" t="s">
        <v>2413</v>
      </c>
      <c r="H630" s="1" t="s">
        <v>5020</v>
      </c>
      <c r="I630" s="18" t="s">
        <v>4783</v>
      </c>
      <c r="J630" s="18" t="s">
        <v>5018</v>
      </c>
      <c r="K630" s="18" t="s">
        <v>4737</v>
      </c>
      <c r="L630" s="18" t="s">
        <v>4734</v>
      </c>
      <c r="M630" s="2">
        <v>2500000</v>
      </c>
      <c r="N630" s="2">
        <v>2500000</v>
      </c>
      <c r="O630" s="2">
        <v>2500000</v>
      </c>
      <c r="P630" s="2" t="str">
        <f t="shared" si="36"/>
        <v/>
      </c>
      <c r="Q630" s="2"/>
      <c r="R630" s="2"/>
      <c r="S630" s="48"/>
      <c r="T630" s="2">
        <v>0</v>
      </c>
      <c r="U630" s="2">
        <v>0</v>
      </c>
      <c r="V630" s="1" t="s">
        <v>2413</v>
      </c>
      <c r="W630" s="6" t="s">
        <v>2414</v>
      </c>
      <c r="X630" s="1" t="s">
        <v>2415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>
        <v>2500000</v>
      </c>
      <c r="AL630" s="3">
        <v>2500000</v>
      </c>
      <c r="AM630" s="3">
        <v>2500000</v>
      </c>
      <c r="AN630" s="3">
        <v>2500000</v>
      </c>
      <c r="AO630" s="3">
        <v>2500000</v>
      </c>
      <c r="AP630" s="3">
        <v>2500000</v>
      </c>
      <c r="AQ630" s="3">
        <v>2500000</v>
      </c>
      <c r="AR630" s="3">
        <v>2500000</v>
      </c>
      <c r="AS630" s="3">
        <v>2500000</v>
      </c>
      <c r="AT630" s="3">
        <v>2500000</v>
      </c>
      <c r="AU630" s="3">
        <v>2500000</v>
      </c>
      <c r="AV630" s="3">
        <v>2500000</v>
      </c>
      <c r="AW630" s="3">
        <f t="shared" si="37"/>
        <v>0</v>
      </c>
      <c r="AX630" s="3">
        <f t="shared" si="38"/>
        <v>30000000</v>
      </c>
      <c r="AY630" s="4">
        <f t="shared" si="39"/>
        <v>12</v>
      </c>
      <c r="AZ630" s="8">
        <v>0</v>
      </c>
      <c r="BA630" s="4" t="s">
        <v>5726</v>
      </c>
      <c r="BB630" s="2">
        <v>30000000</v>
      </c>
      <c r="BC630" s="3"/>
      <c r="BD630" s="3"/>
    </row>
    <row r="631" spans="1:56" ht="16.8" customHeight="1">
      <c r="A631" s="1">
        <v>630</v>
      </c>
      <c r="B631" s="1" t="s">
        <v>1816</v>
      </c>
      <c r="C631" s="1" t="s">
        <v>1817</v>
      </c>
      <c r="D631" s="1" t="s">
        <v>2416</v>
      </c>
      <c r="E631" s="1" t="s">
        <v>2416</v>
      </c>
      <c r="F631" s="1" t="s">
        <v>2417</v>
      </c>
      <c r="G631" s="1" t="s">
        <v>2418</v>
      </c>
      <c r="H631" s="1" t="s">
        <v>5043</v>
      </c>
      <c r="I631" s="18"/>
      <c r="J631" s="18"/>
      <c r="K631" s="18"/>
      <c r="L631" s="18"/>
      <c r="M631" s="2">
        <v>1800000</v>
      </c>
      <c r="N631" s="2">
        <v>1800000</v>
      </c>
      <c r="O631" s="2"/>
      <c r="P631" s="2" t="str">
        <f t="shared" si="36"/>
        <v/>
      </c>
      <c r="Q631" s="2"/>
      <c r="R631" s="2"/>
      <c r="S631" s="48"/>
      <c r="T631" s="2">
        <v>0</v>
      </c>
      <c r="U631" s="2">
        <v>0</v>
      </c>
      <c r="V631" s="1" t="s">
        <v>2418</v>
      </c>
      <c r="W631" s="6" t="s">
        <v>2419</v>
      </c>
      <c r="X631" s="1" t="s">
        <v>101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>
        <v>1500000</v>
      </c>
      <c r="AL631" s="3">
        <v>1500000</v>
      </c>
      <c r="AM631" s="3">
        <v>1500000</v>
      </c>
      <c r="AN631" s="3">
        <v>1500000</v>
      </c>
      <c r="AO631" s="3">
        <v>1500000</v>
      </c>
      <c r="AP631" s="3">
        <v>1500000</v>
      </c>
      <c r="AQ631" s="3"/>
      <c r="AR631" s="3"/>
      <c r="AS631" s="3"/>
      <c r="AT631" s="3"/>
      <c r="AU631" s="3"/>
      <c r="AV631" s="3"/>
      <c r="AW631" s="3">
        <f t="shared" si="37"/>
        <v>0</v>
      </c>
      <c r="AX631" s="3">
        <f t="shared" si="38"/>
        <v>9000000</v>
      </c>
      <c r="AY631" s="4">
        <f t="shared" si="39"/>
        <v>6</v>
      </c>
      <c r="BA631" s="4" t="s">
        <v>5715</v>
      </c>
      <c r="BB631" s="2"/>
      <c r="BC631" s="3"/>
      <c r="BD631" s="3"/>
    </row>
    <row r="632" spans="1:56" ht="16.8" customHeight="1">
      <c r="A632" s="1">
        <v>631</v>
      </c>
      <c r="B632" s="1" t="s">
        <v>1816</v>
      </c>
      <c r="C632" s="1" t="s">
        <v>1817</v>
      </c>
      <c r="D632" s="1" t="s">
        <v>2420</v>
      </c>
      <c r="E632" s="1" t="s">
        <v>2420</v>
      </c>
      <c r="F632" s="1" t="s">
        <v>2421</v>
      </c>
      <c r="G632" s="1" t="s">
        <v>2422</v>
      </c>
      <c r="H632" s="1" t="s">
        <v>5043</v>
      </c>
      <c r="I632" s="18"/>
      <c r="J632" s="18"/>
      <c r="K632" s="18"/>
      <c r="L632" s="18"/>
      <c r="M632" s="2">
        <v>1900000</v>
      </c>
      <c r="N632" s="2">
        <v>1900000</v>
      </c>
      <c r="O632" s="2"/>
      <c r="P632" s="2" t="str">
        <f t="shared" si="36"/>
        <v/>
      </c>
      <c r="Q632" s="2">
        <v>1900000</v>
      </c>
      <c r="R632" s="2"/>
      <c r="S632" s="48">
        <v>46023</v>
      </c>
      <c r="T632" s="2">
        <v>0</v>
      </c>
      <c r="U632" s="2">
        <v>0</v>
      </c>
      <c r="V632" s="1"/>
      <c r="W632" s="6"/>
      <c r="X632" s="1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>
        <f t="shared" si="37"/>
        <v>0</v>
      </c>
      <c r="AX632" s="3">
        <f t="shared" si="38"/>
        <v>0</v>
      </c>
      <c r="AY632" s="4">
        <f t="shared" si="39"/>
        <v>0</v>
      </c>
      <c r="BA632" s="4" t="s">
        <v>5726</v>
      </c>
      <c r="BB632" s="2"/>
      <c r="BC632" s="3"/>
      <c r="BD632" s="4"/>
    </row>
    <row r="633" spans="1:56" ht="16.8" customHeight="1">
      <c r="A633" s="1">
        <v>632</v>
      </c>
      <c r="B633" s="1" t="s">
        <v>1816</v>
      </c>
      <c r="C633" s="1" t="s">
        <v>1817</v>
      </c>
      <c r="D633" s="1" t="s">
        <v>2423</v>
      </c>
      <c r="E633" s="1" t="s">
        <v>2423</v>
      </c>
      <c r="F633" s="1" t="s">
        <v>2424</v>
      </c>
      <c r="G633" s="1" t="s">
        <v>2425</v>
      </c>
      <c r="H633" s="1" t="s">
        <v>5043</v>
      </c>
      <c r="I633" s="18"/>
      <c r="J633" s="18"/>
      <c r="K633" s="18"/>
      <c r="L633" s="18"/>
      <c r="M633" s="2">
        <v>2300000</v>
      </c>
      <c r="N633" s="2">
        <v>2300000</v>
      </c>
      <c r="O633" s="2"/>
      <c r="P633" s="2" t="str">
        <f t="shared" si="36"/>
        <v/>
      </c>
      <c r="Q633" s="2"/>
      <c r="R633" s="2"/>
      <c r="S633" s="48"/>
      <c r="T633" s="2">
        <v>0</v>
      </c>
      <c r="U633" s="2">
        <v>0</v>
      </c>
      <c r="V633" s="1" t="s">
        <v>2426</v>
      </c>
      <c r="W633" s="6" t="s">
        <v>2427</v>
      </c>
      <c r="X633" s="1" t="s">
        <v>333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>
        <v>2300000</v>
      </c>
      <c r="AL633" s="3">
        <v>2300000</v>
      </c>
      <c r="AM633" s="3">
        <v>2300000</v>
      </c>
      <c r="AN633" s="3">
        <v>2300000</v>
      </c>
      <c r="AO633" s="3">
        <v>2300000</v>
      </c>
      <c r="AP633" s="3">
        <v>2300000</v>
      </c>
      <c r="AQ633" s="3"/>
      <c r="AR633" s="3"/>
      <c r="AS633" s="3"/>
      <c r="AT633" s="3"/>
      <c r="AU633" s="3"/>
      <c r="AV633" s="3"/>
      <c r="AW633" s="3">
        <f t="shared" si="37"/>
        <v>0</v>
      </c>
      <c r="AX633" s="3">
        <f t="shared" si="38"/>
        <v>13800000</v>
      </c>
      <c r="AY633" s="4">
        <f t="shared" si="39"/>
        <v>6</v>
      </c>
      <c r="BA633" s="4" t="s">
        <v>5715</v>
      </c>
      <c r="BB633" s="2"/>
      <c r="BC633" s="3"/>
      <c r="BD633" s="4"/>
    </row>
    <row r="634" spans="1:56" ht="16.8" customHeight="1">
      <c r="A634" s="1">
        <v>633</v>
      </c>
      <c r="B634" s="1" t="s">
        <v>1816</v>
      </c>
      <c r="C634" s="1" t="s">
        <v>1817</v>
      </c>
      <c r="D634" s="1" t="s">
        <v>2428</v>
      </c>
      <c r="E634" s="1" t="s">
        <v>2428</v>
      </c>
      <c r="F634" s="1" t="s">
        <v>2429</v>
      </c>
      <c r="G634" s="1" t="s">
        <v>2430</v>
      </c>
      <c r="H634" s="1" t="s">
        <v>5043</v>
      </c>
      <c r="I634" s="18"/>
      <c r="J634" s="18"/>
      <c r="K634" s="18"/>
      <c r="L634" s="18"/>
      <c r="M634" s="2">
        <v>2300000</v>
      </c>
      <c r="N634" s="2">
        <v>2300000</v>
      </c>
      <c r="O634" s="2"/>
      <c r="P634" s="2" t="str">
        <f t="shared" si="36"/>
        <v/>
      </c>
      <c r="Q634" s="2"/>
      <c r="R634" s="2"/>
      <c r="S634" s="48"/>
      <c r="T634" s="2">
        <v>0</v>
      </c>
      <c r="U634" s="2">
        <v>0</v>
      </c>
      <c r="V634" s="1"/>
      <c r="W634" s="6"/>
      <c r="X634" s="1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>
        <f t="shared" si="37"/>
        <v>0</v>
      </c>
      <c r="AX634" s="3">
        <f t="shared" si="38"/>
        <v>0</v>
      </c>
      <c r="AY634" s="4">
        <f t="shared" si="39"/>
        <v>0</v>
      </c>
      <c r="BA634" s="4" t="s">
        <v>5726</v>
      </c>
      <c r="BB634" s="2"/>
      <c r="BC634" s="3"/>
      <c r="BD634" s="4"/>
    </row>
    <row r="635" spans="1:56" ht="16.8" customHeight="1">
      <c r="A635" s="1">
        <v>634</v>
      </c>
      <c r="B635" s="1" t="s">
        <v>1816</v>
      </c>
      <c r="C635" s="1" t="s">
        <v>1817</v>
      </c>
      <c r="D635" s="1" t="s">
        <v>2431</v>
      </c>
      <c r="E635" s="1" t="s">
        <v>2431</v>
      </c>
      <c r="F635" s="1" t="s">
        <v>2432</v>
      </c>
      <c r="G635" s="1" t="s">
        <v>2433</v>
      </c>
      <c r="H635" s="1" t="s">
        <v>5043</v>
      </c>
      <c r="I635" s="18"/>
      <c r="J635" s="18"/>
      <c r="K635" s="18"/>
      <c r="L635" s="18"/>
      <c r="M635" s="2">
        <v>2300000</v>
      </c>
      <c r="N635" s="2">
        <v>2300000</v>
      </c>
      <c r="O635" s="2"/>
      <c r="P635" s="2" t="str">
        <f t="shared" si="36"/>
        <v/>
      </c>
      <c r="Q635" s="2"/>
      <c r="R635" s="2"/>
      <c r="S635" s="48"/>
      <c r="T635" s="2">
        <v>0</v>
      </c>
      <c r="U635" s="2">
        <v>0</v>
      </c>
      <c r="V635" s="1" t="s">
        <v>2433</v>
      </c>
      <c r="W635" s="6" t="s">
        <v>2434</v>
      </c>
      <c r="X635" s="1" t="s">
        <v>2258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>
        <v>2300000</v>
      </c>
      <c r="AL635" s="3">
        <v>2300000</v>
      </c>
      <c r="AM635" s="3">
        <v>2300000</v>
      </c>
      <c r="AN635" s="3">
        <v>2300000</v>
      </c>
      <c r="AO635" s="3">
        <v>2300000</v>
      </c>
      <c r="AP635" s="3">
        <v>2300000</v>
      </c>
      <c r="AQ635" s="3"/>
      <c r="AR635" s="3"/>
      <c r="AS635" s="3"/>
      <c r="AT635" s="3"/>
      <c r="AU635" s="3"/>
      <c r="AV635" s="3"/>
      <c r="AW635" s="3">
        <f t="shared" si="37"/>
        <v>0</v>
      </c>
      <c r="AX635" s="3">
        <f t="shared" si="38"/>
        <v>13800000</v>
      </c>
      <c r="AY635" s="4">
        <f t="shared" si="39"/>
        <v>6</v>
      </c>
      <c r="BA635" s="4" t="s">
        <v>5715</v>
      </c>
      <c r="BB635" s="2"/>
      <c r="BC635" s="3"/>
      <c r="BD635" s="4"/>
    </row>
    <row r="636" spans="1:56" ht="16.8" customHeight="1">
      <c r="A636" s="1">
        <v>635</v>
      </c>
      <c r="B636" s="1" t="s">
        <v>1816</v>
      </c>
      <c r="C636" s="1" t="s">
        <v>1817</v>
      </c>
      <c r="D636" s="1" t="s">
        <v>2435</v>
      </c>
      <c r="E636" s="1" t="s">
        <v>2435</v>
      </c>
      <c r="F636" s="1" t="s">
        <v>2436</v>
      </c>
      <c r="G636" s="1" t="s">
        <v>2437</v>
      </c>
      <c r="H636" s="1" t="s">
        <v>5043</v>
      </c>
      <c r="I636" s="18"/>
      <c r="J636" s="18"/>
      <c r="K636" s="18"/>
      <c r="L636" s="18"/>
      <c r="M636" s="2">
        <v>2000000</v>
      </c>
      <c r="N636" s="2">
        <v>2000000</v>
      </c>
      <c r="O636" s="2"/>
      <c r="P636" s="2" t="str">
        <f t="shared" si="36"/>
        <v/>
      </c>
      <c r="Q636" s="2"/>
      <c r="R636" s="2"/>
      <c r="S636" s="48"/>
      <c r="T636" s="2">
        <v>0</v>
      </c>
      <c r="U636" s="2">
        <v>0</v>
      </c>
      <c r="V636" s="1" t="s">
        <v>2437</v>
      </c>
      <c r="W636" s="6" t="s">
        <v>2438</v>
      </c>
      <c r="X636" s="1" t="s">
        <v>101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>
        <v>2000000</v>
      </c>
      <c r="AL636" s="3">
        <v>2000000</v>
      </c>
      <c r="AM636" s="3">
        <v>2000000</v>
      </c>
      <c r="AN636" s="3">
        <v>2000000</v>
      </c>
      <c r="AO636" s="3">
        <v>2000000</v>
      </c>
      <c r="AP636" s="3">
        <v>2000000</v>
      </c>
      <c r="AQ636" s="3"/>
      <c r="AR636" s="3"/>
      <c r="AS636" s="3"/>
      <c r="AT636" s="3"/>
      <c r="AU636" s="3"/>
      <c r="AV636" s="3"/>
      <c r="AW636" s="3">
        <f t="shared" si="37"/>
        <v>0</v>
      </c>
      <c r="AX636" s="3">
        <f t="shared" si="38"/>
        <v>12000000</v>
      </c>
      <c r="AY636" s="4">
        <f t="shared" si="39"/>
        <v>6</v>
      </c>
      <c r="BA636" s="4" t="s">
        <v>5715</v>
      </c>
      <c r="BB636" s="2"/>
      <c r="BC636" s="3"/>
      <c r="BD636" s="4"/>
    </row>
    <row r="637" spans="1:56" ht="16.8" customHeight="1">
      <c r="A637" s="1">
        <v>636</v>
      </c>
      <c r="B637" s="1" t="s">
        <v>1816</v>
      </c>
      <c r="C637" s="1" t="s">
        <v>1817</v>
      </c>
      <c r="D637" s="1" t="s">
        <v>2439</v>
      </c>
      <c r="E637" s="1" t="s">
        <v>2439</v>
      </c>
      <c r="F637" s="1" t="s">
        <v>2440</v>
      </c>
      <c r="G637" s="1" t="s">
        <v>2441</v>
      </c>
      <c r="H637" s="1" t="s">
        <v>5173</v>
      </c>
      <c r="I637" s="18" t="s">
        <v>4783</v>
      </c>
      <c r="J637" s="18" t="s">
        <v>5018</v>
      </c>
      <c r="K637" s="18" t="s">
        <v>5174</v>
      </c>
      <c r="L637" s="18" t="s">
        <v>4734</v>
      </c>
      <c r="M637" s="2">
        <v>2000000</v>
      </c>
      <c r="N637" s="2">
        <v>2000000</v>
      </c>
      <c r="O637" s="2"/>
      <c r="P637" s="2" t="str">
        <f t="shared" si="36"/>
        <v/>
      </c>
      <c r="Q637" s="2"/>
      <c r="R637" s="2"/>
      <c r="S637" s="48"/>
      <c r="T637" s="2">
        <v>0</v>
      </c>
      <c r="U637" s="2">
        <v>0</v>
      </c>
      <c r="V637" s="1" t="s">
        <v>2442</v>
      </c>
      <c r="W637" s="6" t="s">
        <v>2443</v>
      </c>
      <c r="X637" s="1" t="s">
        <v>2444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>
        <v>2000000</v>
      </c>
      <c r="AL637" s="3">
        <v>2000000</v>
      </c>
      <c r="AM637" s="3">
        <v>2000000</v>
      </c>
      <c r="AN637" s="3">
        <v>2000000</v>
      </c>
      <c r="AO637" s="3">
        <v>2000000</v>
      </c>
      <c r="AP637" s="3">
        <v>2000000</v>
      </c>
      <c r="AQ637" s="3"/>
      <c r="AR637" s="3"/>
      <c r="AS637" s="3"/>
      <c r="AT637" s="3"/>
      <c r="AU637" s="3"/>
      <c r="AV637" s="3"/>
      <c r="AW637" s="3">
        <f t="shared" si="37"/>
        <v>0</v>
      </c>
      <c r="AX637" s="3">
        <f t="shared" si="38"/>
        <v>12000000</v>
      </c>
      <c r="AY637" s="4">
        <f t="shared" si="39"/>
        <v>6</v>
      </c>
      <c r="AZ637" s="8" t="s">
        <v>5577</v>
      </c>
      <c r="BA637" s="4" t="s">
        <v>5726</v>
      </c>
      <c r="BB637" s="2"/>
      <c r="BC637" s="3"/>
      <c r="BD637" s="3"/>
    </row>
    <row r="638" spans="1:56" ht="16.8" customHeight="1">
      <c r="A638" s="1">
        <v>637</v>
      </c>
      <c r="B638" s="1" t="s">
        <v>1816</v>
      </c>
      <c r="C638" s="1" t="s">
        <v>1817</v>
      </c>
      <c r="D638" s="1" t="s">
        <v>2445</v>
      </c>
      <c r="E638" s="1" t="s">
        <v>2445</v>
      </c>
      <c r="F638" s="1" t="s">
        <v>2446</v>
      </c>
      <c r="G638" s="1" t="s">
        <v>2447</v>
      </c>
      <c r="H638" s="1" t="s">
        <v>5043</v>
      </c>
      <c r="I638" s="18"/>
      <c r="J638" s="18"/>
      <c r="K638" s="18"/>
      <c r="L638" s="18"/>
      <c r="M638" s="2">
        <v>2300000</v>
      </c>
      <c r="N638" s="2">
        <v>2300000</v>
      </c>
      <c r="O638" s="2"/>
      <c r="P638" s="2" t="str">
        <f t="shared" si="36"/>
        <v/>
      </c>
      <c r="Q638" s="2"/>
      <c r="R638" s="2"/>
      <c r="S638" s="48"/>
      <c r="T638" s="2">
        <v>0</v>
      </c>
      <c r="U638" s="2">
        <v>0</v>
      </c>
      <c r="V638" s="1"/>
      <c r="W638" s="6"/>
      <c r="X638" s="1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>
        <f t="shared" si="37"/>
        <v>0</v>
      </c>
      <c r="AX638" s="3">
        <f t="shared" si="38"/>
        <v>0</v>
      </c>
      <c r="AY638" s="4">
        <f t="shared" si="39"/>
        <v>0</v>
      </c>
      <c r="BA638" s="4" t="s">
        <v>5726</v>
      </c>
      <c r="BB638" s="2"/>
      <c r="BC638" s="3"/>
      <c r="BD638" s="4"/>
    </row>
    <row r="639" spans="1:56" ht="16.8" customHeight="1">
      <c r="A639" s="1">
        <v>638</v>
      </c>
      <c r="B639" s="1" t="s">
        <v>1816</v>
      </c>
      <c r="C639" s="1" t="s">
        <v>1817</v>
      </c>
      <c r="D639" s="1" t="s">
        <v>2448</v>
      </c>
      <c r="E639" s="1" t="s">
        <v>2448</v>
      </c>
      <c r="F639" s="1" t="s">
        <v>2449</v>
      </c>
      <c r="G639" s="1" t="s">
        <v>2450</v>
      </c>
      <c r="H639" s="1" t="s">
        <v>5033</v>
      </c>
      <c r="I639" s="18" t="s">
        <v>4783</v>
      </c>
      <c r="J639" s="18" t="s">
        <v>5018</v>
      </c>
      <c r="K639" s="18" t="s">
        <v>5174</v>
      </c>
      <c r="L639" s="18" t="s">
        <v>4734</v>
      </c>
      <c r="M639" s="2">
        <v>2000000</v>
      </c>
      <c r="N639" s="2">
        <v>2000000</v>
      </c>
      <c r="O639" s="2"/>
      <c r="P639" s="2" t="str">
        <f t="shared" si="36"/>
        <v/>
      </c>
      <c r="Q639" s="2"/>
      <c r="R639" s="2"/>
      <c r="S639" s="48"/>
      <c r="T639" s="2">
        <v>0</v>
      </c>
      <c r="U639" s="2">
        <v>0</v>
      </c>
      <c r="V639" s="1" t="s">
        <v>2451</v>
      </c>
      <c r="W639" s="6" t="s">
        <v>2452</v>
      </c>
      <c r="X639" s="1" t="s">
        <v>154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>
        <v>2000000</v>
      </c>
      <c r="AL639" s="3">
        <v>2000000</v>
      </c>
      <c r="AM639" s="3">
        <v>2000000</v>
      </c>
      <c r="AN639" s="3">
        <v>2000000</v>
      </c>
      <c r="AO639" s="3">
        <v>2000000</v>
      </c>
      <c r="AP639" s="3">
        <v>2000000</v>
      </c>
      <c r="AQ639" s="3"/>
      <c r="AR639" s="3"/>
      <c r="AS639" s="3"/>
      <c r="AT639" s="3"/>
      <c r="AU639" s="3"/>
      <c r="AV639" s="3"/>
      <c r="AW639" s="3">
        <f t="shared" si="37"/>
        <v>0</v>
      </c>
      <c r="AX639" s="3">
        <f t="shared" si="38"/>
        <v>12000000</v>
      </c>
      <c r="AY639" s="4">
        <f t="shared" si="39"/>
        <v>6</v>
      </c>
      <c r="AZ639" s="8" t="s">
        <v>5577</v>
      </c>
      <c r="BA639" s="4" t="s">
        <v>5726</v>
      </c>
      <c r="BB639" s="2"/>
      <c r="BC639" s="3"/>
      <c r="BD639" s="3"/>
    </row>
    <row r="640" spans="1:56" ht="16.8" customHeight="1">
      <c r="A640" s="1">
        <v>639</v>
      </c>
      <c r="B640" s="1" t="s">
        <v>1816</v>
      </c>
      <c r="C640" s="1" t="s">
        <v>1817</v>
      </c>
      <c r="D640" s="1" t="s">
        <v>2453</v>
      </c>
      <c r="E640" s="1" t="s">
        <v>2453</v>
      </c>
      <c r="F640" s="1" t="s">
        <v>2454</v>
      </c>
      <c r="G640" s="1" t="s">
        <v>2455</v>
      </c>
      <c r="H640" s="1" t="s">
        <v>5175</v>
      </c>
      <c r="I640" s="18" t="s">
        <v>4783</v>
      </c>
      <c r="J640" s="18" t="s">
        <v>5018</v>
      </c>
      <c r="K640" s="18" t="s">
        <v>5174</v>
      </c>
      <c r="L640" s="18" t="s">
        <v>4734</v>
      </c>
      <c r="M640" s="2">
        <v>2000000</v>
      </c>
      <c r="N640" s="2">
        <v>2000000</v>
      </c>
      <c r="O640" s="2"/>
      <c r="P640" s="2" t="str">
        <f t="shared" si="36"/>
        <v/>
      </c>
      <c r="Q640" s="2"/>
      <c r="R640" s="2"/>
      <c r="S640" s="48"/>
      <c r="T640" s="2">
        <v>0</v>
      </c>
      <c r="U640" s="2">
        <v>0</v>
      </c>
      <c r="V640" s="1" t="s">
        <v>2455</v>
      </c>
      <c r="W640" s="6" t="s">
        <v>2456</v>
      </c>
      <c r="X640" s="1" t="s">
        <v>324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>
        <v>2000000</v>
      </c>
      <c r="AL640" s="3">
        <v>2000000</v>
      </c>
      <c r="AM640" s="3">
        <v>2000000</v>
      </c>
      <c r="AN640" s="3">
        <v>2000000</v>
      </c>
      <c r="AO640" s="3">
        <v>2000000</v>
      </c>
      <c r="AP640" s="3">
        <v>2000000</v>
      </c>
      <c r="AQ640" s="3"/>
      <c r="AR640" s="3"/>
      <c r="AS640" s="3"/>
      <c r="AT640" s="3"/>
      <c r="AU640" s="3"/>
      <c r="AV640" s="3"/>
      <c r="AW640" s="3">
        <f t="shared" si="37"/>
        <v>0</v>
      </c>
      <c r="AX640" s="3">
        <f t="shared" si="38"/>
        <v>12000000</v>
      </c>
      <c r="AY640" s="4">
        <f t="shared" si="39"/>
        <v>6</v>
      </c>
      <c r="AZ640" s="8">
        <v>0</v>
      </c>
      <c r="BA640" s="4" t="s">
        <v>5726</v>
      </c>
      <c r="BB640" s="2"/>
      <c r="BC640" s="3"/>
      <c r="BD640" s="3"/>
    </row>
    <row r="641" spans="1:56" ht="16.8" customHeight="1">
      <c r="A641" s="1">
        <v>640</v>
      </c>
      <c r="B641" s="1" t="s">
        <v>1816</v>
      </c>
      <c r="C641" s="1" t="s">
        <v>1817</v>
      </c>
      <c r="D641" s="1" t="s">
        <v>2457</v>
      </c>
      <c r="E641" s="1" t="s">
        <v>2457</v>
      </c>
      <c r="F641" s="1" t="s">
        <v>2458</v>
      </c>
      <c r="G641" s="1" t="s">
        <v>2459</v>
      </c>
      <c r="H641" s="1" t="s">
        <v>5043</v>
      </c>
      <c r="I641" s="18"/>
      <c r="J641" s="18"/>
      <c r="K641" s="18"/>
      <c r="L641" s="18"/>
      <c r="M641" s="2">
        <v>1000000</v>
      </c>
      <c r="N641" s="2">
        <v>1000000</v>
      </c>
      <c r="O641" s="2"/>
      <c r="P641" s="2" t="str">
        <f t="shared" si="36"/>
        <v/>
      </c>
      <c r="Q641" s="2"/>
      <c r="R641" s="2"/>
      <c r="S641" s="48"/>
      <c r="T641" s="2">
        <v>0</v>
      </c>
      <c r="U641" s="2">
        <v>0</v>
      </c>
      <c r="V641" s="1"/>
      <c r="W641" s="6"/>
      <c r="X641" s="1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>
        <f t="shared" si="37"/>
        <v>0</v>
      </c>
      <c r="AX641" s="3">
        <f t="shared" si="38"/>
        <v>0</v>
      </c>
      <c r="AY641" s="4">
        <f t="shared" si="39"/>
        <v>0</v>
      </c>
      <c r="BA641" s="4" t="s">
        <v>5726</v>
      </c>
      <c r="BB641" s="2"/>
      <c r="BC641" s="3"/>
      <c r="BD641" s="4"/>
    </row>
    <row r="642" spans="1:56" ht="16.8" customHeight="1">
      <c r="A642" s="1">
        <v>641</v>
      </c>
      <c r="B642" s="1" t="s">
        <v>1816</v>
      </c>
      <c r="C642" s="1" t="s">
        <v>1817</v>
      </c>
      <c r="D642" s="1" t="s">
        <v>2460</v>
      </c>
      <c r="E642" s="1" t="s">
        <v>2460</v>
      </c>
      <c r="F642" s="1" t="s">
        <v>2461</v>
      </c>
      <c r="G642" s="1" t="s">
        <v>2450</v>
      </c>
      <c r="H642" s="1" t="s">
        <v>5176</v>
      </c>
      <c r="I642" s="18" t="s">
        <v>4783</v>
      </c>
      <c r="J642" s="18" t="s">
        <v>5018</v>
      </c>
      <c r="K642" s="18" t="s">
        <v>5174</v>
      </c>
      <c r="L642" s="18" t="s">
        <v>4734</v>
      </c>
      <c r="M642" s="2">
        <v>2000000</v>
      </c>
      <c r="N642" s="2">
        <v>2000000</v>
      </c>
      <c r="O642" s="2"/>
      <c r="P642" s="2" t="str">
        <f t="shared" ref="P642:P705" si="40">IF(OR(M642="",N642="",M642=N642),"",N642-M642)</f>
        <v/>
      </c>
      <c r="Q642" s="2"/>
      <c r="R642" s="2"/>
      <c r="S642" s="48"/>
      <c r="T642" s="2">
        <v>0</v>
      </c>
      <c r="U642" s="2">
        <v>0</v>
      </c>
      <c r="V642" s="1" t="s">
        <v>2451</v>
      </c>
      <c r="W642" s="6" t="s">
        <v>2452</v>
      </c>
      <c r="X642" s="1" t="s">
        <v>154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>
        <v>2000000</v>
      </c>
      <c r="AL642" s="3">
        <v>2000000</v>
      </c>
      <c r="AM642" s="3">
        <v>2000000</v>
      </c>
      <c r="AN642" s="3">
        <v>2000000</v>
      </c>
      <c r="AO642" s="3">
        <v>2000000</v>
      </c>
      <c r="AP642" s="3">
        <v>2000000</v>
      </c>
      <c r="AQ642" s="3"/>
      <c r="AR642" s="3"/>
      <c r="AS642" s="3"/>
      <c r="AT642" s="3"/>
      <c r="AU642" s="3"/>
      <c r="AV642" s="3"/>
      <c r="AW642" s="3">
        <f t="shared" ref="AW642:AW705" si="41">SUM(Y642:AJ642)</f>
        <v>0</v>
      </c>
      <c r="AX642" s="3">
        <f t="shared" ref="AX642:AX705" si="42">SUM(AK642:AV642)</f>
        <v>12000000</v>
      </c>
      <c r="AY642" s="4">
        <f t="shared" ref="AY642:AY705" si="43">COUNT(Y642:AV642)</f>
        <v>6</v>
      </c>
      <c r="AZ642" s="8" t="s">
        <v>5577</v>
      </c>
      <c r="BA642" s="4" t="s">
        <v>5726</v>
      </c>
      <c r="BB642" s="2"/>
      <c r="BC642" s="3"/>
      <c r="BD642" s="3"/>
    </row>
    <row r="643" spans="1:56" ht="16.8" customHeight="1">
      <c r="A643" s="1">
        <v>642</v>
      </c>
      <c r="B643" s="1" t="s">
        <v>1816</v>
      </c>
      <c r="C643" s="1" t="s">
        <v>1817</v>
      </c>
      <c r="D643" s="1" t="s">
        <v>2462</v>
      </c>
      <c r="E643" s="1" t="s">
        <v>2462</v>
      </c>
      <c r="F643" s="1" t="s">
        <v>2463</v>
      </c>
      <c r="G643" s="1" t="s">
        <v>2464</v>
      </c>
      <c r="H643" s="1" t="s">
        <v>5177</v>
      </c>
      <c r="I643" s="18" t="s">
        <v>4783</v>
      </c>
      <c r="J643" s="18" t="s">
        <v>5018</v>
      </c>
      <c r="K643" s="18" t="s">
        <v>5174</v>
      </c>
      <c r="L643" s="18" t="s">
        <v>4734</v>
      </c>
      <c r="M643" s="2">
        <v>2000000</v>
      </c>
      <c r="N643" s="2">
        <v>2000000</v>
      </c>
      <c r="O643" s="2"/>
      <c r="P643" s="2" t="str">
        <f t="shared" si="40"/>
        <v/>
      </c>
      <c r="Q643" s="2"/>
      <c r="R643" s="2"/>
      <c r="S643" s="48"/>
      <c r="T643" s="2">
        <v>0</v>
      </c>
      <c r="U643" s="2">
        <v>0</v>
      </c>
      <c r="V643" s="1" t="s">
        <v>1882</v>
      </c>
      <c r="W643" s="6" t="s">
        <v>2465</v>
      </c>
      <c r="X643" s="1" t="s">
        <v>154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>
        <v>2000000</v>
      </c>
      <c r="AL643" s="3">
        <v>2000000</v>
      </c>
      <c r="AM643" s="3">
        <v>2000000</v>
      </c>
      <c r="AN643" s="3">
        <v>2000000</v>
      </c>
      <c r="AO643" s="3">
        <v>2000000</v>
      </c>
      <c r="AP643" s="3">
        <v>2000000</v>
      </c>
      <c r="AQ643" s="3"/>
      <c r="AR643" s="3"/>
      <c r="AS643" s="3"/>
      <c r="AT643" s="3"/>
      <c r="AU643" s="3"/>
      <c r="AV643" s="3"/>
      <c r="AW643" s="3">
        <f t="shared" si="41"/>
        <v>0</v>
      </c>
      <c r="AX643" s="3">
        <f t="shared" si="42"/>
        <v>12000000</v>
      </c>
      <c r="AY643" s="4">
        <f t="shared" si="43"/>
        <v>6</v>
      </c>
      <c r="AZ643" s="8">
        <v>0</v>
      </c>
      <c r="BA643" s="4" t="s">
        <v>5726</v>
      </c>
      <c r="BB643" s="2"/>
      <c r="BC643" s="3"/>
      <c r="BD643" s="3"/>
    </row>
    <row r="644" spans="1:56" ht="16.8" customHeight="1">
      <c r="A644" s="1">
        <v>643</v>
      </c>
      <c r="B644" s="1" t="s">
        <v>1816</v>
      </c>
      <c r="C644" s="1" t="s">
        <v>1817</v>
      </c>
      <c r="D644" s="1" t="s">
        <v>2466</v>
      </c>
      <c r="E644" s="1" t="s">
        <v>2466</v>
      </c>
      <c r="F644" s="1" t="s">
        <v>2467</v>
      </c>
      <c r="G644" s="1" t="s">
        <v>2468</v>
      </c>
      <c r="H644" s="1" t="s">
        <v>5043</v>
      </c>
      <c r="I644" s="18"/>
      <c r="J644" s="18"/>
      <c r="K644" s="18"/>
      <c r="L644" s="18"/>
      <c r="M644" s="2">
        <v>2000000</v>
      </c>
      <c r="N644" s="2">
        <v>2000000</v>
      </c>
      <c r="O644" s="2"/>
      <c r="P644" s="2" t="str">
        <f t="shared" si="40"/>
        <v/>
      </c>
      <c r="Q644" s="2"/>
      <c r="R644" s="2"/>
      <c r="S644" s="48"/>
      <c r="T644" s="2">
        <v>0</v>
      </c>
      <c r="U644" s="2">
        <v>0</v>
      </c>
      <c r="V644" s="1" t="s">
        <v>2468</v>
      </c>
      <c r="W644" s="6" t="s">
        <v>2469</v>
      </c>
      <c r="X644" s="1" t="s">
        <v>2470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>
        <v>2000000</v>
      </c>
      <c r="AL644" s="3">
        <v>2000000</v>
      </c>
      <c r="AM644" s="3">
        <v>2000000</v>
      </c>
      <c r="AN644" s="3">
        <v>2000000</v>
      </c>
      <c r="AO644" s="3">
        <v>2000000</v>
      </c>
      <c r="AP644" s="3">
        <v>2000000</v>
      </c>
      <c r="AQ644" s="3"/>
      <c r="AR644" s="3"/>
      <c r="AS644" s="3"/>
      <c r="AT644" s="3"/>
      <c r="AU644" s="3"/>
      <c r="AV644" s="3"/>
      <c r="AW644" s="3">
        <f t="shared" si="41"/>
        <v>0</v>
      </c>
      <c r="AX644" s="3">
        <f t="shared" si="42"/>
        <v>12000000</v>
      </c>
      <c r="AY644" s="4">
        <f t="shared" si="43"/>
        <v>6</v>
      </c>
      <c r="BA644" s="4" t="s">
        <v>5715</v>
      </c>
      <c r="BB644" s="2"/>
      <c r="BC644" s="3"/>
      <c r="BD644" s="4"/>
    </row>
    <row r="645" spans="1:56" ht="16.8" customHeight="1">
      <c r="A645" s="1">
        <v>644</v>
      </c>
      <c r="B645" s="1" t="s">
        <v>1816</v>
      </c>
      <c r="C645" s="1" t="s">
        <v>1817</v>
      </c>
      <c r="D645" s="1" t="s">
        <v>2471</v>
      </c>
      <c r="E645" s="1" t="s">
        <v>2471</v>
      </c>
      <c r="F645" s="1" t="s">
        <v>2472</v>
      </c>
      <c r="G645" s="1" t="s">
        <v>2473</v>
      </c>
      <c r="H645" s="1" t="s">
        <v>5043</v>
      </c>
      <c r="I645" s="18"/>
      <c r="J645" s="18"/>
      <c r="K645" s="18"/>
      <c r="L645" s="18"/>
      <c r="M645" s="2">
        <v>2000000</v>
      </c>
      <c r="N645" s="2">
        <v>2000000</v>
      </c>
      <c r="O645" s="2"/>
      <c r="P645" s="2" t="str">
        <f t="shared" si="40"/>
        <v/>
      </c>
      <c r="Q645" s="2"/>
      <c r="R645" s="2"/>
      <c r="S645" s="48"/>
      <c r="T645" s="2">
        <v>0</v>
      </c>
      <c r="U645" s="2">
        <v>0</v>
      </c>
      <c r="V645" s="1"/>
      <c r="W645" s="6"/>
      <c r="X645" s="1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>
        <f t="shared" si="41"/>
        <v>0</v>
      </c>
      <c r="AX645" s="3">
        <f t="shared" si="42"/>
        <v>0</v>
      </c>
      <c r="AY645" s="4">
        <f t="shared" si="43"/>
        <v>0</v>
      </c>
      <c r="BA645" s="4" t="s">
        <v>5726</v>
      </c>
      <c r="BB645" s="2"/>
      <c r="BC645" s="3"/>
      <c r="BD645" s="4"/>
    </row>
    <row r="646" spans="1:56" ht="16.8" customHeight="1">
      <c r="A646" s="1">
        <v>645</v>
      </c>
      <c r="B646" s="1" t="s">
        <v>1816</v>
      </c>
      <c r="C646" s="1" t="s">
        <v>1817</v>
      </c>
      <c r="D646" s="1" t="s">
        <v>2474</v>
      </c>
      <c r="E646" s="1" t="s">
        <v>2474</v>
      </c>
      <c r="F646" s="1" t="s">
        <v>2475</v>
      </c>
      <c r="G646" s="1" t="s">
        <v>2476</v>
      </c>
      <c r="H646" s="1" t="s">
        <v>5178</v>
      </c>
      <c r="I646" s="18" t="s">
        <v>4783</v>
      </c>
      <c r="J646" s="18" t="s">
        <v>5018</v>
      </c>
      <c r="K646" s="18" t="s">
        <v>5174</v>
      </c>
      <c r="L646" s="18" t="s">
        <v>4734</v>
      </c>
      <c r="M646" s="2">
        <v>2000000</v>
      </c>
      <c r="N646" s="2">
        <v>2000000</v>
      </c>
      <c r="O646" s="2"/>
      <c r="P646" s="2" t="str">
        <f t="shared" si="40"/>
        <v/>
      </c>
      <c r="Q646" s="2"/>
      <c r="R646" s="2"/>
      <c r="S646" s="48"/>
      <c r="T646" s="2">
        <v>0</v>
      </c>
      <c r="U646" s="2">
        <v>0</v>
      </c>
      <c r="V646" s="1" t="s">
        <v>2442</v>
      </c>
      <c r="W646" s="6" t="s">
        <v>2443</v>
      </c>
      <c r="X646" s="1" t="s">
        <v>2444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>
        <v>2000000</v>
      </c>
      <c r="AL646" s="3">
        <v>2000000</v>
      </c>
      <c r="AM646" s="3">
        <v>2000000</v>
      </c>
      <c r="AN646" s="3">
        <v>2000000</v>
      </c>
      <c r="AO646" s="3">
        <v>2000000</v>
      </c>
      <c r="AP646" s="3">
        <v>2000000</v>
      </c>
      <c r="AQ646" s="3"/>
      <c r="AR646" s="3"/>
      <c r="AS646" s="3"/>
      <c r="AT646" s="3"/>
      <c r="AU646" s="3"/>
      <c r="AV646" s="3"/>
      <c r="AW646" s="3">
        <f t="shared" si="41"/>
        <v>0</v>
      </c>
      <c r="AX646" s="3">
        <f t="shared" si="42"/>
        <v>12000000</v>
      </c>
      <c r="AY646" s="4">
        <f t="shared" si="43"/>
        <v>6</v>
      </c>
      <c r="AZ646" s="8" t="s">
        <v>5578</v>
      </c>
      <c r="BA646" s="4" t="s">
        <v>5726</v>
      </c>
      <c r="BB646" s="2"/>
      <c r="BC646" s="3"/>
      <c r="BD646" s="3"/>
    </row>
    <row r="647" spans="1:56" ht="16.8" customHeight="1">
      <c r="A647" s="1">
        <v>646</v>
      </c>
      <c r="B647" s="1" t="s">
        <v>1816</v>
      </c>
      <c r="C647" s="1" t="s">
        <v>2049</v>
      </c>
      <c r="D647" s="1" t="s">
        <v>2477</v>
      </c>
      <c r="E647" s="1" t="s">
        <v>2477</v>
      </c>
      <c r="F647" s="1" t="s">
        <v>2478</v>
      </c>
      <c r="G647" s="1" t="s">
        <v>2479</v>
      </c>
      <c r="H647" s="1" t="s">
        <v>5043</v>
      </c>
      <c r="I647" s="18"/>
      <c r="J647" s="18"/>
      <c r="K647" s="18"/>
      <c r="L647" s="18"/>
      <c r="M647" s="2">
        <v>2000000</v>
      </c>
      <c r="N647" s="2">
        <v>2000000</v>
      </c>
      <c r="O647" s="2"/>
      <c r="P647" s="2" t="str">
        <f t="shared" si="40"/>
        <v/>
      </c>
      <c r="Q647" s="2"/>
      <c r="R647" s="2"/>
      <c r="S647" s="48"/>
      <c r="T647" s="2">
        <v>0</v>
      </c>
      <c r="U647" s="2">
        <v>0</v>
      </c>
      <c r="V647" s="1"/>
      <c r="W647" s="6"/>
      <c r="X647" s="1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>
        <f t="shared" si="41"/>
        <v>0</v>
      </c>
      <c r="AX647" s="3">
        <f t="shared" si="42"/>
        <v>0</v>
      </c>
      <c r="AY647" s="4">
        <f t="shared" si="43"/>
        <v>0</v>
      </c>
      <c r="BA647" s="4" t="s">
        <v>5726</v>
      </c>
      <c r="BB647" s="2"/>
      <c r="BC647" s="3"/>
      <c r="BD647" s="4"/>
    </row>
    <row r="648" spans="1:56" ht="16.8" customHeight="1">
      <c r="A648" s="1">
        <v>647</v>
      </c>
      <c r="B648" s="1" t="s">
        <v>1816</v>
      </c>
      <c r="C648" s="1" t="s">
        <v>2049</v>
      </c>
      <c r="D648" s="1" t="s">
        <v>2480</v>
      </c>
      <c r="E648" s="1" t="s">
        <v>2480</v>
      </c>
      <c r="F648" s="1" t="s">
        <v>2481</v>
      </c>
      <c r="G648" s="1" t="s">
        <v>2482</v>
      </c>
      <c r="H648" s="1" t="s">
        <v>5043</v>
      </c>
      <c r="I648" s="18"/>
      <c r="J648" s="18"/>
      <c r="K648" s="18"/>
      <c r="L648" s="18"/>
      <c r="M648" s="2">
        <v>1500000</v>
      </c>
      <c r="N648" s="2">
        <v>1500000</v>
      </c>
      <c r="O648" s="2"/>
      <c r="P648" s="2" t="str">
        <f t="shared" si="40"/>
        <v/>
      </c>
      <c r="Q648" s="2"/>
      <c r="R648" s="2"/>
      <c r="S648" s="48"/>
      <c r="T648" s="2">
        <v>0</v>
      </c>
      <c r="U648" s="2">
        <v>0</v>
      </c>
      <c r="V648" s="1"/>
      <c r="W648" s="6"/>
      <c r="X648" s="1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>
        <f t="shared" si="41"/>
        <v>0</v>
      </c>
      <c r="AX648" s="3">
        <f t="shared" si="42"/>
        <v>0</v>
      </c>
      <c r="AY648" s="4">
        <f t="shared" si="43"/>
        <v>0</v>
      </c>
      <c r="BA648" s="4" t="s">
        <v>5726</v>
      </c>
      <c r="BB648" s="2"/>
      <c r="BC648" s="3"/>
      <c r="BD648" s="4"/>
    </row>
    <row r="649" spans="1:56" ht="16.8" customHeight="1">
      <c r="A649" s="1">
        <v>648</v>
      </c>
      <c r="B649" s="1" t="s">
        <v>1816</v>
      </c>
      <c r="C649" s="1" t="s">
        <v>2049</v>
      </c>
      <c r="D649" s="1" t="s">
        <v>2483</v>
      </c>
      <c r="E649" s="1" t="s">
        <v>2483</v>
      </c>
      <c r="F649" s="1" t="s">
        <v>2484</v>
      </c>
      <c r="G649" s="1" t="s">
        <v>2485</v>
      </c>
      <c r="H649" s="1" t="s">
        <v>5043</v>
      </c>
      <c r="I649" s="18"/>
      <c r="J649" s="18"/>
      <c r="K649" s="18"/>
      <c r="L649" s="18"/>
      <c r="M649" s="2">
        <v>1500000</v>
      </c>
      <c r="N649" s="2">
        <v>1500000</v>
      </c>
      <c r="O649" s="2"/>
      <c r="P649" s="2" t="str">
        <f t="shared" si="40"/>
        <v/>
      </c>
      <c r="Q649" s="2"/>
      <c r="R649" s="2"/>
      <c r="S649" s="48"/>
      <c r="T649" s="2">
        <v>0</v>
      </c>
      <c r="U649" s="2">
        <v>0</v>
      </c>
      <c r="V649" s="1"/>
      <c r="W649" s="6"/>
      <c r="X649" s="1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>
        <f t="shared" si="41"/>
        <v>0</v>
      </c>
      <c r="AX649" s="3">
        <f t="shared" si="42"/>
        <v>0</v>
      </c>
      <c r="AY649" s="4">
        <f t="shared" si="43"/>
        <v>0</v>
      </c>
      <c r="BA649" s="4" t="s">
        <v>5726</v>
      </c>
      <c r="BB649" s="2"/>
      <c r="BC649" s="3"/>
      <c r="BD649" s="4"/>
    </row>
    <row r="650" spans="1:56" ht="16.8" customHeight="1">
      <c r="A650" s="1">
        <v>649</v>
      </c>
      <c r="B650" s="1" t="s">
        <v>1816</v>
      </c>
      <c r="C650" s="1" t="s">
        <v>2049</v>
      </c>
      <c r="D650" s="1" t="s">
        <v>2486</v>
      </c>
      <c r="E650" s="1" t="s">
        <v>2486</v>
      </c>
      <c r="F650" s="1" t="s">
        <v>2487</v>
      </c>
      <c r="G650" s="1" t="s">
        <v>2488</v>
      </c>
      <c r="H650" s="1" t="s">
        <v>5179</v>
      </c>
      <c r="I650" s="18" t="s">
        <v>4783</v>
      </c>
      <c r="J650" s="18" t="s">
        <v>5074</v>
      </c>
      <c r="K650" s="18" t="s">
        <v>4733</v>
      </c>
      <c r="L650" s="18" t="s">
        <v>4734</v>
      </c>
      <c r="M650" s="2">
        <v>2000000</v>
      </c>
      <c r="N650" s="2">
        <v>2000000</v>
      </c>
      <c r="O650" s="2"/>
      <c r="P650" s="2" t="str">
        <f t="shared" si="40"/>
        <v/>
      </c>
      <c r="Q650" s="2"/>
      <c r="R650" s="2"/>
      <c r="S650" s="48"/>
      <c r="T650" s="2">
        <v>18000000</v>
      </c>
      <c r="U650" s="2">
        <v>0</v>
      </c>
      <c r="V650" s="1" t="s">
        <v>2489</v>
      </c>
      <c r="W650" s="6" t="s">
        <v>2490</v>
      </c>
      <c r="X650" s="1" t="s">
        <v>1830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>
        <f t="shared" si="41"/>
        <v>0</v>
      </c>
      <c r="AX650" s="3">
        <f t="shared" si="42"/>
        <v>0</v>
      </c>
      <c r="AY650" s="4">
        <f t="shared" si="43"/>
        <v>0</v>
      </c>
      <c r="AZ650" s="8" t="s">
        <v>5579</v>
      </c>
      <c r="BA650" s="4" t="s">
        <v>5726</v>
      </c>
      <c r="BB650" s="2"/>
      <c r="BC650" s="3"/>
      <c r="BD650" s="4"/>
    </row>
    <row r="651" spans="1:56" ht="16.8" customHeight="1">
      <c r="A651" s="1">
        <v>650</v>
      </c>
      <c r="B651" s="1" t="s">
        <v>1816</v>
      </c>
      <c r="C651" s="1" t="s">
        <v>2049</v>
      </c>
      <c r="D651" s="1" t="s">
        <v>2491</v>
      </c>
      <c r="E651" s="1" t="s">
        <v>2491</v>
      </c>
      <c r="F651" s="1" t="s">
        <v>2492</v>
      </c>
      <c r="G651" s="1" t="s">
        <v>2493</v>
      </c>
      <c r="H651" s="1" t="s">
        <v>5180</v>
      </c>
      <c r="I651" s="18" t="s">
        <v>4783</v>
      </c>
      <c r="J651" s="18" t="s">
        <v>5074</v>
      </c>
      <c r="K651" s="18" t="s">
        <v>4733</v>
      </c>
      <c r="L651" s="18" t="s">
        <v>4734</v>
      </c>
      <c r="M651" s="2">
        <v>2000000</v>
      </c>
      <c r="N651" s="2">
        <v>2000000</v>
      </c>
      <c r="O651" s="2"/>
      <c r="P651" s="2" t="str">
        <f t="shared" si="40"/>
        <v/>
      </c>
      <c r="Q651" s="2"/>
      <c r="R651" s="2"/>
      <c r="S651" s="48"/>
      <c r="T651" s="2">
        <v>18000000</v>
      </c>
      <c r="U651" s="2">
        <v>0</v>
      </c>
      <c r="V651" s="1" t="s">
        <v>2494</v>
      </c>
      <c r="W651" s="6" t="s">
        <v>2495</v>
      </c>
      <c r="X651" s="1" t="s">
        <v>333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>
        <v>3500000</v>
      </c>
      <c r="AL651" s="3">
        <v>3500000</v>
      </c>
      <c r="AM651" s="3">
        <v>3500000</v>
      </c>
      <c r="AN651" s="3">
        <v>3500000</v>
      </c>
      <c r="AO651" s="3">
        <v>3500000</v>
      </c>
      <c r="AP651" s="3">
        <v>3500000</v>
      </c>
      <c r="AQ651" s="3">
        <v>3500000</v>
      </c>
      <c r="AR651" s="3">
        <v>3500000</v>
      </c>
      <c r="AS651" s="3">
        <v>3500000</v>
      </c>
      <c r="AT651" s="3">
        <v>3500000</v>
      </c>
      <c r="AU651" s="3">
        <v>3500000</v>
      </c>
      <c r="AV651" s="3">
        <v>3500000</v>
      </c>
      <c r="AW651" s="3">
        <f t="shared" si="41"/>
        <v>0</v>
      </c>
      <c r="AX651" s="3">
        <f t="shared" si="42"/>
        <v>42000000</v>
      </c>
      <c r="AY651" s="4">
        <f t="shared" si="43"/>
        <v>12</v>
      </c>
      <c r="AZ651" s="8" t="s">
        <v>5580</v>
      </c>
      <c r="BA651" s="4" t="s">
        <v>5726</v>
      </c>
      <c r="BB651" s="2"/>
      <c r="BC651" s="3"/>
      <c r="BD651" s="3"/>
    </row>
    <row r="652" spans="1:56" ht="16.8" customHeight="1">
      <c r="A652" s="1">
        <v>651</v>
      </c>
      <c r="B652" s="1" t="s">
        <v>1816</v>
      </c>
      <c r="C652" s="1" t="s">
        <v>2049</v>
      </c>
      <c r="D652" s="1" t="s">
        <v>2496</v>
      </c>
      <c r="E652" s="1" t="s">
        <v>2496</v>
      </c>
      <c r="F652" s="1" t="s">
        <v>2497</v>
      </c>
      <c r="G652" s="1" t="s">
        <v>2498</v>
      </c>
      <c r="H652" s="1" t="s">
        <v>5181</v>
      </c>
      <c r="I652" s="18" t="s">
        <v>4783</v>
      </c>
      <c r="J652" s="18" t="s">
        <v>5074</v>
      </c>
      <c r="K652" s="18" t="s">
        <v>4733</v>
      </c>
      <c r="L652" s="18" t="s">
        <v>4734</v>
      </c>
      <c r="M652" s="2">
        <v>1800000</v>
      </c>
      <c r="N652" s="2">
        <v>1800000</v>
      </c>
      <c r="O652" s="2"/>
      <c r="P652" s="2" t="str">
        <f t="shared" si="40"/>
        <v/>
      </c>
      <c r="Q652" s="2"/>
      <c r="R652" s="2"/>
      <c r="S652" s="48"/>
      <c r="T652" s="2">
        <v>18000000</v>
      </c>
      <c r="U652" s="2">
        <v>0</v>
      </c>
      <c r="V652" s="1" t="s">
        <v>2499</v>
      </c>
      <c r="W652" s="6" t="s">
        <v>2500</v>
      </c>
      <c r="X652" s="1" t="s">
        <v>1860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>
        <f t="shared" si="41"/>
        <v>0</v>
      </c>
      <c r="AX652" s="3">
        <f t="shared" si="42"/>
        <v>0</v>
      </c>
      <c r="AY652" s="4">
        <f t="shared" si="43"/>
        <v>0</v>
      </c>
      <c r="AZ652" s="8">
        <v>0</v>
      </c>
      <c r="BA652" s="4" t="s">
        <v>5726</v>
      </c>
      <c r="BB652" s="2"/>
      <c r="BC652" s="3"/>
      <c r="BD652" s="4"/>
    </row>
    <row r="653" spans="1:56" ht="16.8" customHeight="1">
      <c r="A653" s="1">
        <v>652</v>
      </c>
      <c r="B653" s="1" t="s">
        <v>1816</v>
      </c>
      <c r="C653" s="1" t="s">
        <v>2049</v>
      </c>
      <c r="D653" s="1" t="s">
        <v>2501</v>
      </c>
      <c r="E653" s="1" t="s">
        <v>2501</v>
      </c>
      <c r="F653" s="1" t="s">
        <v>2502</v>
      </c>
      <c r="G653" s="1" t="s">
        <v>2503</v>
      </c>
      <c r="H653" s="1" t="s">
        <v>5182</v>
      </c>
      <c r="I653" s="18" t="s">
        <v>4783</v>
      </c>
      <c r="J653" s="18" t="s">
        <v>5074</v>
      </c>
      <c r="K653" s="18" t="s">
        <v>4733</v>
      </c>
      <c r="L653" s="18" t="s">
        <v>4734</v>
      </c>
      <c r="M653" s="2">
        <v>2000000</v>
      </c>
      <c r="N653" s="2">
        <v>2000000</v>
      </c>
      <c r="O653" s="2"/>
      <c r="P653" s="2" t="str">
        <f t="shared" si="40"/>
        <v/>
      </c>
      <c r="Q653" s="2"/>
      <c r="R653" s="2"/>
      <c r="S653" s="48"/>
      <c r="T653" s="2">
        <v>18000000</v>
      </c>
      <c r="U653" s="2">
        <v>0</v>
      </c>
      <c r="V653" s="1" t="s">
        <v>2504</v>
      </c>
      <c r="W653" s="6" t="s">
        <v>2505</v>
      </c>
      <c r="X653" s="1" t="s">
        <v>2506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>
        <f t="shared" si="41"/>
        <v>0</v>
      </c>
      <c r="AX653" s="3">
        <f t="shared" si="42"/>
        <v>0</v>
      </c>
      <c r="AY653" s="4">
        <f t="shared" si="43"/>
        <v>0</v>
      </c>
      <c r="AZ653" s="8" t="s">
        <v>5581</v>
      </c>
      <c r="BA653" s="4" t="s">
        <v>5726</v>
      </c>
      <c r="BB653" s="2"/>
      <c r="BC653" s="3"/>
      <c r="BD653" s="4"/>
    </row>
    <row r="654" spans="1:56" ht="16.8" customHeight="1">
      <c r="A654" s="1">
        <v>653</v>
      </c>
      <c r="B654" s="1" t="s">
        <v>1816</v>
      </c>
      <c r="C654" s="1" t="s">
        <v>2049</v>
      </c>
      <c r="D654" s="1" t="s">
        <v>2507</v>
      </c>
      <c r="E654" s="1" t="s">
        <v>2507</v>
      </c>
      <c r="F654" s="1" t="s">
        <v>2508</v>
      </c>
      <c r="G654" s="1" t="s">
        <v>2509</v>
      </c>
      <c r="H654" s="1" t="s">
        <v>5183</v>
      </c>
      <c r="I654" s="18" t="s">
        <v>4783</v>
      </c>
      <c r="J654" s="18" t="s">
        <v>5074</v>
      </c>
      <c r="K654" s="18" t="s">
        <v>4733</v>
      </c>
      <c r="L654" s="18"/>
      <c r="M654" s="2">
        <v>2000000</v>
      </c>
      <c r="N654" s="2">
        <v>2000000</v>
      </c>
      <c r="O654" s="2"/>
      <c r="P654" s="2" t="str">
        <f t="shared" si="40"/>
        <v/>
      </c>
      <c r="Q654" s="2"/>
      <c r="R654" s="2"/>
      <c r="S654" s="48"/>
      <c r="T654" s="2">
        <v>24000000</v>
      </c>
      <c r="U654" s="2">
        <v>0</v>
      </c>
      <c r="V654" s="1" t="s">
        <v>2509</v>
      </c>
      <c r="W654" s="6" t="s">
        <v>2510</v>
      </c>
      <c r="X654" s="1" t="s">
        <v>1830</v>
      </c>
      <c r="Y654" s="3">
        <v>2000000</v>
      </c>
      <c r="Z654" s="3">
        <v>2000000</v>
      </c>
      <c r="AA654" s="3">
        <v>2000000</v>
      </c>
      <c r="AB654" s="3">
        <v>2000000</v>
      </c>
      <c r="AC654" s="3">
        <v>2000000</v>
      </c>
      <c r="AD654" s="3">
        <v>2000000</v>
      </c>
      <c r="AE654" s="3">
        <v>2000000</v>
      </c>
      <c r="AF654" s="3">
        <v>2000000</v>
      </c>
      <c r="AG654" s="3">
        <v>2000000</v>
      </c>
      <c r="AH654" s="3">
        <v>2000000</v>
      </c>
      <c r="AI654" s="3">
        <v>2000000</v>
      </c>
      <c r="AJ654" s="3">
        <v>2000000</v>
      </c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>
        <f t="shared" si="41"/>
        <v>24000000</v>
      </c>
      <c r="AX654" s="3">
        <f t="shared" si="42"/>
        <v>0</v>
      </c>
      <c r="AY654" s="4">
        <f t="shared" si="43"/>
        <v>12</v>
      </c>
      <c r="BA654" s="4" t="s">
        <v>5726</v>
      </c>
      <c r="BB654" s="2"/>
      <c r="BC654" s="3"/>
      <c r="BD654" s="4"/>
    </row>
    <row r="655" spans="1:56" ht="16.8" customHeight="1">
      <c r="A655" s="1">
        <v>654</v>
      </c>
      <c r="B655" s="1" t="s">
        <v>1816</v>
      </c>
      <c r="C655" s="1" t="s">
        <v>2049</v>
      </c>
      <c r="D655" s="1" t="s">
        <v>2511</v>
      </c>
      <c r="E655" s="1" t="s">
        <v>2511</v>
      </c>
      <c r="F655" s="1" t="s">
        <v>2512</v>
      </c>
      <c r="G655" s="1" t="s">
        <v>2513</v>
      </c>
      <c r="H655" s="1" t="s">
        <v>5043</v>
      </c>
      <c r="I655" s="18"/>
      <c r="J655" s="18"/>
      <c r="K655" s="18"/>
      <c r="L655" s="18"/>
      <c r="M655" s="2">
        <v>2500000</v>
      </c>
      <c r="N655" s="2">
        <v>2500000</v>
      </c>
      <c r="O655" s="2"/>
      <c r="P655" s="2" t="str">
        <f t="shared" si="40"/>
        <v/>
      </c>
      <c r="Q655" s="2"/>
      <c r="R655" s="2"/>
      <c r="S655" s="48"/>
      <c r="T655" s="2">
        <v>0</v>
      </c>
      <c r="U655" s="2">
        <v>0</v>
      </c>
      <c r="V655" s="1" t="s">
        <v>2514</v>
      </c>
      <c r="W655" s="6" t="s">
        <v>2515</v>
      </c>
      <c r="X655" s="1" t="s">
        <v>101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>
        <v>2500000</v>
      </c>
      <c r="AL655" s="3">
        <v>2500000</v>
      </c>
      <c r="AM655" s="3">
        <v>2500000</v>
      </c>
      <c r="AN655" s="3">
        <v>2500000</v>
      </c>
      <c r="AO655" s="3">
        <v>2500000</v>
      </c>
      <c r="AP655" s="3">
        <v>2500000</v>
      </c>
      <c r="AQ655" s="3"/>
      <c r="AR655" s="3"/>
      <c r="AS655" s="3"/>
      <c r="AT655" s="3"/>
      <c r="AU655" s="3"/>
      <c r="AV655" s="3"/>
      <c r="AW655" s="3">
        <f t="shared" si="41"/>
        <v>0</v>
      </c>
      <c r="AX655" s="3">
        <f t="shared" si="42"/>
        <v>15000000</v>
      </c>
      <c r="AY655" s="4">
        <f t="shared" si="43"/>
        <v>6</v>
      </c>
      <c r="BA655" s="4" t="s">
        <v>5726</v>
      </c>
      <c r="BB655" s="2"/>
      <c r="BC655" s="3"/>
      <c r="BD655" s="3"/>
    </row>
    <row r="656" spans="1:56" ht="16.8" customHeight="1">
      <c r="A656" s="1">
        <v>655</v>
      </c>
      <c r="B656" s="1" t="s">
        <v>1816</v>
      </c>
      <c r="C656" s="1" t="s">
        <v>2049</v>
      </c>
      <c r="D656" s="1" t="s">
        <v>2516</v>
      </c>
      <c r="E656" s="1" t="s">
        <v>2516</v>
      </c>
      <c r="F656" s="1" t="s">
        <v>2517</v>
      </c>
      <c r="G656" s="1" t="s">
        <v>2518</v>
      </c>
      <c r="H656" s="1" t="s">
        <v>5184</v>
      </c>
      <c r="I656" s="18" t="s">
        <v>4783</v>
      </c>
      <c r="J656" s="18" t="s">
        <v>5018</v>
      </c>
      <c r="K656" s="18" t="s">
        <v>4737</v>
      </c>
      <c r="L656" s="18" t="s">
        <v>4734</v>
      </c>
      <c r="M656" s="2">
        <v>1000000</v>
      </c>
      <c r="N656" s="2">
        <v>1000000</v>
      </c>
      <c r="O656" s="2"/>
      <c r="P656" s="2" t="str">
        <f t="shared" si="40"/>
        <v/>
      </c>
      <c r="Q656" s="2"/>
      <c r="R656" s="2"/>
      <c r="S656" s="48"/>
      <c r="T656" s="2">
        <v>0</v>
      </c>
      <c r="U656" s="2">
        <v>0</v>
      </c>
      <c r="V656" s="1" t="s">
        <v>2519</v>
      </c>
      <c r="W656" s="6" t="s">
        <v>2520</v>
      </c>
      <c r="X656" s="1" t="s">
        <v>1627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>
        <v>1000000</v>
      </c>
      <c r="AL656" s="3">
        <v>1000000</v>
      </c>
      <c r="AM656" s="3">
        <v>1000000</v>
      </c>
      <c r="AN656" s="3">
        <v>1000000</v>
      </c>
      <c r="AO656" s="3">
        <v>1000000</v>
      </c>
      <c r="AP656" s="3">
        <v>1000000</v>
      </c>
      <c r="AQ656" s="3">
        <v>1000000</v>
      </c>
      <c r="AR656" s="3">
        <v>1000000</v>
      </c>
      <c r="AS656" s="3">
        <v>1000000</v>
      </c>
      <c r="AT656" s="3">
        <v>1000000</v>
      </c>
      <c r="AU656" s="3">
        <v>1000000</v>
      </c>
      <c r="AV656" s="3">
        <v>1000000</v>
      </c>
      <c r="AW656" s="3">
        <f t="shared" si="41"/>
        <v>0</v>
      </c>
      <c r="AX656" s="3">
        <f t="shared" si="42"/>
        <v>12000000</v>
      </c>
      <c r="AY656" s="4">
        <f t="shared" si="43"/>
        <v>12</v>
      </c>
      <c r="AZ656" s="8" t="s">
        <v>5489</v>
      </c>
      <c r="BA656" s="4" t="s">
        <v>5726</v>
      </c>
      <c r="BB656" s="2"/>
      <c r="BC656" s="3"/>
      <c r="BD656" s="3"/>
    </row>
    <row r="657" spans="1:56" ht="16.8" customHeight="1">
      <c r="A657" s="1">
        <v>656</v>
      </c>
      <c r="B657" s="1" t="s">
        <v>1816</v>
      </c>
      <c r="C657" s="1" t="s">
        <v>2049</v>
      </c>
      <c r="D657" s="1" t="s">
        <v>2521</v>
      </c>
      <c r="E657" s="1" t="s">
        <v>2521</v>
      </c>
      <c r="F657" s="1" t="s">
        <v>2522</v>
      </c>
      <c r="G657" s="1" t="s">
        <v>2523</v>
      </c>
      <c r="H657" s="1" t="s">
        <v>5185</v>
      </c>
      <c r="I657" s="18" t="s">
        <v>4783</v>
      </c>
      <c r="J657" s="18" t="s">
        <v>5018</v>
      </c>
      <c r="K657" s="18" t="s">
        <v>4742</v>
      </c>
      <c r="L657" s="18" t="s">
        <v>4734</v>
      </c>
      <c r="M657" s="2">
        <v>1800000</v>
      </c>
      <c r="N657" s="2">
        <v>1800000</v>
      </c>
      <c r="O657" s="2"/>
      <c r="P657" s="2" t="str">
        <f t="shared" si="40"/>
        <v/>
      </c>
      <c r="Q657" s="2"/>
      <c r="R657" s="2"/>
      <c r="S657" s="48"/>
      <c r="T657" s="2">
        <v>0</v>
      </c>
      <c r="U657" s="2">
        <v>0</v>
      </c>
      <c r="V657" s="1" t="s">
        <v>2523</v>
      </c>
      <c r="W657" s="6" t="s">
        <v>2524</v>
      </c>
      <c r="X657" s="1" t="s">
        <v>324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>
        <v>1800000</v>
      </c>
      <c r="AL657" s="3">
        <v>1800000</v>
      </c>
      <c r="AM657" s="3">
        <v>1800000</v>
      </c>
      <c r="AN657" s="3">
        <v>1800000</v>
      </c>
      <c r="AO657" s="3">
        <v>1800000</v>
      </c>
      <c r="AP657" s="3">
        <v>1800000</v>
      </c>
      <c r="AQ657" s="3">
        <v>1800000</v>
      </c>
      <c r="AR657" s="3">
        <v>1800000</v>
      </c>
      <c r="AS657" s="3">
        <v>1800000</v>
      </c>
      <c r="AT657" s="3">
        <v>1800000</v>
      </c>
      <c r="AU657" s="3">
        <v>1800000</v>
      </c>
      <c r="AV657" s="3">
        <v>1800000</v>
      </c>
      <c r="AW657" s="3">
        <f t="shared" si="41"/>
        <v>0</v>
      </c>
      <c r="AX657" s="3">
        <f t="shared" si="42"/>
        <v>21600000</v>
      </c>
      <c r="AY657" s="4">
        <f t="shared" si="43"/>
        <v>12</v>
      </c>
      <c r="AZ657" s="8">
        <v>0</v>
      </c>
      <c r="BA657" s="4" t="s">
        <v>5726</v>
      </c>
      <c r="BB657" s="2"/>
      <c r="BC657" s="3"/>
      <c r="BD657" s="3"/>
    </row>
    <row r="658" spans="1:56" ht="16.8" customHeight="1">
      <c r="A658" s="1">
        <v>657</v>
      </c>
      <c r="B658" s="1" t="s">
        <v>1816</v>
      </c>
      <c r="C658" s="1" t="s">
        <v>2049</v>
      </c>
      <c r="D658" s="1" t="s">
        <v>2525</v>
      </c>
      <c r="E658" s="1" t="s">
        <v>2525</v>
      </c>
      <c r="F658" s="1" t="s">
        <v>2526</v>
      </c>
      <c r="G658" s="1" t="s">
        <v>2527</v>
      </c>
      <c r="H658" s="1" t="s">
        <v>5186</v>
      </c>
      <c r="I658" s="18" t="s">
        <v>4783</v>
      </c>
      <c r="J658" s="18" t="s">
        <v>4783</v>
      </c>
      <c r="K658" s="18" t="s">
        <v>4733</v>
      </c>
      <c r="L658" s="18" t="s">
        <v>4734</v>
      </c>
      <c r="M658" s="2">
        <v>2000000</v>
      </c>
      <c r="N658" s="2">
        <v>2000000</v>
      </c>
      <c r="O658" s="2"/>
      <c r="P658" s="2" t="str">
        <f t="shared" si="40"/>
        <v/>
      </c>
      <c r="Q658" s="2"/>
      <c r="R658" s="2"/>
      <c r="S658" s="48"/>
      <c r="T658" s="2">
        <v>21600000</v>
      </c>
      <c r="U658" s="2">
        <v>0</v>
      </c>
      <c r="V658" s="1" t="s">
        <v>2498</v>
      </c>
      <c r="W658" s="6" t="s">
        <v>2528</v>
      </c>
      <c r="X658" s="1" t="s">
        <v>1830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>
        <f t="shared" si="41"/>
        <v>0</v>
      </c>
      <c r="AX658" s="3">
        <f t="shared" si="42"/>
        <v>0</v>
      </c>
      <c r="AY658" s="4">
        <f t="shared" si="43"/>
        <v>0</v>
      </c>
      <c r="AZ658" s="8">
        <v>0</v>
      </c>
      <c r="BA658" s="4" t="s">
        <v>5726</v>
      </c>
      <c r="BB658" s="2"/>
      <c r="BC658" s="3"/>
      <c r="BD658" s="4"/>
    </row>
    <row r="659" spans="1:56" ht="16.8" customHeight="1">
      <c r="A659" s="1">
        <v>658</v>
      </c>
      <c r="B659" s="1" t="s">
        <v>1816</v>
      </c>
      <c r="C659" s="1" t="s">
        <v>2049</v>
      </c>
      <c r="D659" s="1" t="s">
        <v>2529</v>
      </c>
      <c r="E659" s="1" t="s">
        <v>2529</v>
      </c>
      <c r="F659" s="1" t="s">
        <v>2530</v>
      </c>
      <c r="G659" s="1" t="s">
        <v>2531</v>
      </c>
      <c r="H659" s="1" t="s">
        <v>5187</v>
      </c>
      <c r="I659" s="18" t="s">
        <v>4783</v>
      </c>
      <c r="J659" s="18" t="s">
        <v>5074</v>
      </c>
      <c r="K659" s="18" t="s">
        <v>4733</v>
      </c>
      <c r="L659" s="18" t="s">
        <v>4734</v>
      </c>
      <c r="M659" s="2">
        <v>2000000</v>
      </c>
      <c r="N659" s="2">
        <v>2000000</v>
      </c>
      <c r="O659" s="2"/>
      <c r="P659" s="2" t="str">
        <f t="shared" si="40"/>
        <v/>
      </c>
      <c r="Q659" s="2"/>
      <c r="R659" s="2"/>
      <c r="S659" s="48"/>
      <c r="T659" s="2">
        <v>24000000</v>
      </c>
      <c r="U659" s="2">
        <v>0</v>
      </c>
      <c r="V659" s="1" t="s">
        <v>2531</v>
      </c>
      <c r="W659" s="6" t="s">
        <v>2532</v>
      </c>
      <c r="X659" s="1" t="s">
        <v>1964</v>
      </c>
      <c r="Y659" s="3">
        <v>2000000</v>
      </c>
      <c r="Z659" s="3">
        <v>2000000</v>
      </c>
      <c r="AA659" s="3">
        <v>2000000</v>
      </c>
      <c r="AB659" s="3">
        <v>2000000</v>
      </c>
      <c r="AC659" s="3">
        <v>2000000</v>
      </c>
      <c r="AD659" s="3">
        <v>2000000</v>
      </c>
      <c r="AE659" s="3">
        <v>2000000</v>
      </c>
      <c r="AF659" s="3">
        <v>2000000</v>
      </c>
      <c r="AG659" s="3">
        <v>2000000</v>
      </c>
      <c r="AH659" s="3">
        <v>2000000</v>
      </c>
      <c r="AI659" s="3">
        <v>2000000</v>
      </c>
      <c r="AJ659" s="3">
        <v>2000000</v>
      </c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>
        <f t="shared" si="41"/>
        <v>24000000</v>
      </c>
      <c r="AX659" s="3">
        <f t="shared" si="42"/>
        <v>0</v>
      </c>
      <c r="AY659" s="4">
        <f t="shared" si="43"/>
        <v>12</v>
      </c>
      <c r="AZ659" s="8" t="s">
        <v>5582</v>
      </c>
      <c r="BA659" s="4" t="s">
        <v>5726</v>
      </c>
      <c r="BB659" s="2"/>
      <c r="BC659" s="3"/>
      <c r="BD659" s="4"/>
    </row>
    <row r="660" spans="1:56" ht="16.8" customHeight="1">
      <c r="A660" s="1">
        <v>659</v>
      </c>
      <c r="B660" s="1" t="s">
        <v>1816</v>
      </c>
      <c r="C660" s="1" t="s">
        <v>2049</v>
      </c>
      <c r="D660" s="1" t="s">
        <v>2533</v>
      </c>
      <c r="E660" s="1" t="s">
        <v>2533</v>
      </c>
      <c r="F660" s="1" t="s">
        <v>2534</v>
      </c>
      <c r="G660" s="1" t="s">
        <v>2535</v>
      </c>
      <c r="H660" s="1" t="s">
        <v>5188</v>
      </c>
      <c r="I660" s="18" t="s">
        <v>4783</v>
      </c>
      <c r="J660" s="18" t="s">
        <v>5018</v>
      </c>
      <c r="K660" s="18" t="s">
        <v>5174</v>
      </c>
      <c r="L660" s="18" t="s">
        <v>4734</v>
      </c>
      <c r="M660" s="2">
        <v>2000000</v>
      </c>
      <c r="N660" s="2">
        <v>2000000</v>
      </c>
      <c r="O660" s="2"/>
      <c r="P660" s="2" t="str">
        <f t="shared" si="40"/>
        <v/>
      </c>
      <c r="Q660" s="2"/>
      <c r="R660" s="2"/>
      <c r="S660" s="48"/>
      <c r="T660" s="2">
        <v>0</v>
      </c>
      <c r="U660" s="2">
        <v>0</v>
      </c>
      <c r="V660" s="1" t="s">
        <v>2535</v>
      </c>
      <c r="W660" s="6" t="s">
        <v>2536</v>
      </c>
      <c r="X660" s="1" t="s">
        <v>2211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>
        <v>2000000</v>
      </c>
      <c r="AL660" s="3">
        <v>2000000</v>
      </c>
      <c r="AM660" s="3">
        <v>2000000</v>
      </c>
      <c r="AN660" s="3">
        <v>2000000</v>
      </c>
      <c r="AO660" s="3">
        <v>2000000</v>
      </c>
      <c r="AP660" s="3">
        <v>2000000</v>
      </c>
      <c r="AQ660" s="3">
        <v>2000000</v>
      </c>
      <c r="AR660" s="3">
        <v>2000000</v>
      </c>
      <c r="AS660" s="3">
        <v>2000000</v>
      </c>
      <c r="AT660" s="3">
        <v>2000000</v>
      </c>
      <c r="AU660" s="3">
        <v>2000000</v>
      </c>
      <c r="AV660" s="3">
        <v>2000000</v>
      </c>
      <c r="AW660" s="3">
        <f t="shared" si="41"/>
        <v>0</v>
      </c>
      <c r="AX660" s="3">
        <f t="shared" si="42"/>
        <v>24000000</v>
      </c>
      <c r="AY660" s="4">
        <f t="shared" si="43"/>
        <v>12</v>
      </c>
      <c r="AZ660" s="8">
        <v>0</v>
      </c>
      <c r="BA660" s="4" t="s">
        <v>5726</v>
      </c>
      <c r="BB660" s="2"/>
      <c r="BC660" s="3"/>
      <c r="BD660" s="3"/>
    </row>
    <row r="661" spans="1:56" ht="16.8" customHeight="1">
      <c r="A661" s="1">
        <v>660</v>
      </c>
      <c r="B661" s="1" t="s">
        <v>1816</v>
      </c>
      <c r="C661" s="1" t="s">
        <v>2049</v>
      </c>
      <c r="D661" s="1" t="s">
        <v>2537</v>
      </c>
      <c r="E661" s="1" t="s">
        <v>2537</v>
      </c>
      <c r="F661" s="1" t="s">
        <v>2538</v>
      </c>
      <c r="G661" s="1" t="s">
        <v>2539</v>
      </c>
      <c r="H661" s="1" t="s">
        <v>5189</v>
      </c>
      <c r="I661" s="18" t="s">
        <v>4783</v>
      </c>
      <c r="J661" s="18" t="s">
        <v>5018</v>
      </c>
      <c r="K661" s="18" t="s">
        <v>4737</v>
      </c>
      <c r="L661" s="18" t="s">
        <v>4734</v>
      </c>
      <c r="M661" s="2">
        <v>2000000</v>
      </c>
      <c r="N661" s="2">
        <v>2000000</v>
      </c>
      <c r="O661" s="2"/>
      <c r="P661" s="2" t="str">
        <f t="shared" si="40"/>
        <v/>
      </c>
      <c r="Q661" s="2"/>
      <c r="R661" s="2"/>
      <c r="S661" s="48"/>
      <c r="T661" s="2">
        <v>0</v>
      </c>
      <c r="U661" s="2">
        <v>0</v>
      </c>
      <c r="V661" s="1" t="s">
        <v>2539</v>
      </c>
      <c r="W661" s="6" t="s">
        <v>2540</v>
      </c>
      <c r="X661" s="1" t="s">
        <v>324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>
        <v>2000000</v>
      </c>
      <c r="AL661" s="3">
        <v>2000000</v>
      </c>
      <c r="AM661" s="3">
        <v>2000000</v>
      </c>
      <c r="AN661" s="3">
        <v>2000000</v>
      </c>
      <c r="AO661" s="3">
        <v>2000000</v>
      </c>
      <c r="AP661" s="3">
        <v>2000000</v>
      </c>
      <c r="AQ661" s="3"/>
      <c r="AR661" s="3"/>
      <c r="AS661" s="3"/>
      <c r="AT661" s="3"/>
      <c r="AU661" s="3"/>
      <c r="AV661" s="3"/>
      <c r="AW661" s="3">
        <f t="shared" si="41"/>
        <v>0</v>
      </c>
      <c r="AX661" s="3">
        <f t="shared" si="42"/>
        <v>12000000</v>
      </c>
      <c r="AY661" s="4">
        <f t="shared" si="43"/>
        <v>6</v>
      </c>
      <c r="AZ661" s="8" t="s">
        <v>5489</v>
      </c>
      <c r="BA661" s="4" t="s">
        <v>5726</v>
      </c>
      <c r="BB661" s="2"/>
      <c r="BC661" s="3"/>
      <c r="BD661" s="3"/>
    </row>
    <row r="662" spans="1:56" ht="16.8" customHeight="1">
      <c r="A662" s="1">
        <v>661</v>
      </c>
      <c r="B662" s="1" t="s">
        <v>1816</v>
      </c>
      <c r="C662" s="1" t="s">
        <v>1817</v>
      </c>
      <c r="D662" s="1" t="s">
        <v>2541</v>
      </c>
      <c r="E662" s="1" t="s">
        <v>2541</v>
      </c>
      <c r="F662" s="1" t="s">
        <v>2542</v>
      </c>
      <c r="G662" s="1" t="s">
        <v>2543</v>
      </c>
      <c r="H662" s="1" t="s">
        <v>5043</v>
      </c>
      <c r="I662" s="18"/>
      <c r="J662" s="18"/>
      <c r="K662" s="18"/>
      <c r="L662" s="18"/>
      <c r="M662" s="2">
        <v>1800000</v>
      </c>
      <c r="N662" s="2">
        <v>1800000</v>
      </c>
      <c r="O662" s="2"/>
      <c r="P662" s="2" t="str">
        <f t="shared" si="40"/>
        <v/>
      </c>
      <c r="Q662" s="2"/>
      <c r="R662" s="2"/>
      <c r="S662" s="48"/>
      <c r="T662" s="2">
        <v>0</v>
      </c>
      <c r="U662" s="2">
        <v>0</v>
      </c>
      <c r="V662" s="1"/>
      <c r="W662" s="6"/>
      <c r="X662" s="1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>
        <f t="shared" si="41"/>
        <v>0</v>
      </c>
      <c r="AX662" s="3">
        <f t="shared" si="42"/>
        <v>0</v>
      </c>
      <c r="AY662" s="4">
        <f t="shared" si="43"/>
        <v>0</v>
      </c>
      <c r="BA662" s="4" t="s">
        <v>5726</v>
      </c>
      <c r="BB662" s="2"/>
      <c r="BC662" s="3"/>
      <c r="BD662" s="4"/>
    </row>
    <row r="663" spans="1:56" ht="16.8" customHeight="1">
      <c r="A663" s="1">
        <v>662</v>
      </c>
      <c r="B663" s="1" t="s">
        <v>1816</v>
      </c>
      <c r="C663" s="1" t="s">
        <v>1817</v>
      </c>
      <c r="D663" s="1" t="s">
        <v>2544</v>
      </c>
      <c r="E663" s="1" t="s">
        <v>2544</v>
      </c>
      <c r="F663" s="1" t="s">
        <v>2545</v>
      </c>
      <c r="G663" s="1" t="s">
        <v>2546</v>
      </c>
      <c r="H663" s="1" t="s">
        <v>5091</v>
      </c>
      <c r="I663" s="18" t="s">
        <v>4783</v>
      </c>
      <c r="J663" s="18" t="s">
        <v>5132</v>
      </c>
      <c r="K663" s="18" t="s">
        <v>4752</v>
      </c>
      <c r="L663" s="18" t="s">
        <v>4734</v>
      </c>
      <c r="M663" s="2">
        <v>1800000</v>
      </c>
      <c r="N663" s="2">
        <v>1800000</v>
      </c>
      <c r="O663" s="2"/>
      <c r="P663" s="2" t="str">
        <f t="shared" si="40"/>
        <v/>
      </c>
      <c r="Q663" s="2"/>
      <c r="R663" s="2"/>
      <c r="S663" s="48"/>
      <c r="T663" s="2">
        <v>10800000</v>
      </c>
      <c r="U663" s="2">
        <v>0</v>
      </c>
      <c r="V663" s="1" t="s">
        <v>2547</v>
      </c>
      <c r="W663" s="6" t="s">
        <v>2548</v>
      </c>
      <c r="X663" s="1" t="s">
        <v>2549</v>
      </c>
      <c r="Y663" s="3"/>
      <c r="Z663" s="3"/>
      <c r="AA663" s="3"/>
      <c r="AB663" s="3"/>
      <c r="AC663" s="3"/>
      <c r="AD663" s="3"/>
      <c r="AE663" s="3">
        <v>1800000</v>
      </c>
      <c r="AF663" s="3">
        <v>1800000</v>
      </c>
      <c r="AG663" s="3">
        <v>1800000</v>
      </c>
      <c r="AH663" s="3">
        <v>1800000</v>
      </c>
      <c r="AI663" s="3">
        <v>1800000</v>
      </c>
      <c r="AJ663" s="3">
        <v>1800000</v>
      </c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>
        <f t="shared" si="41"/>
        <v>10800000</v>
      </c>
      <c r="AX663" s="3">
        <f t="shared" si="42"/>
        <v>0</v>
      </c>
      <c r="AY663" s="4">
        <f t="shared" si="43"/>
        <v>6</v>
      </c>
      <c r="AZ663" s="8">
        <v>0</v>
      </c>
      <c r="BA663" s="4" t="s">
        <v>5726</v>
      </c>
      <c r="BB663" s="2"/>
      <c r="BC663" s="3"/>
      <c r="BD663" s="4"/>
    </row>
    <row r="664" spans="1:56" ht="16.8" customHeight="1">
      <c r="A664" s="1">
        <v>663</v>
      </c>
      <c r="B664" s="1" t="s">
        <v>1816</v>
      </c>
      <c r="C664" s="1" t="s">
        <v>1817</v>
      </c>
      <c r="D664" s="1" t="s">
        <v>2550</v>
      </c>
      <c r="E664" s="1" t="s">
        <v>2550</v>
      </c>
      <c r="F664" s="1" t="s">
        <v>2551</v>
      </c>
      <c r="G664" s="1" t="s">
        <v>2552</v>
      </c>
      <c r="H664" s="1" t="s">
        <v>5190</v>
      </c>
      <c r="I664" s="18" t="s">
        <v>4783</v>
      </c>
      <c r="J664" s="18" t="s">
        <v>5132</v>
      </c>
      <c r="K664" s="18" t="s">
        <v>4733</v>
      </c>
      <c r="L664" s="18" t="s">
        <v>4734</v>
      </c>
      <c r="M664" s="2">
        <v>1800000</v>
      </c>
      <c r="N664" s="2">
        <v>1800000</v>
      </c>
      <c r="O664" s="2"/>
      <c r="P664" s="2" t="str">
        <f t="shared" si="40"/>
        <v/>
      </c>
      <c r="Q664" s="2"/>
      <c r="R664" s="2"/>
      <c r="S664" s="48"/>
      <c r="T664" s="2">
        <v>10800000</v>
      </c>
      <c r="U664" s="2">
        <v>0</v>
      </c>
      <c r="V664" s="1" t="s">
        <v>2553</v>
      </c>
      <c r="W664" s="6" t="s">
        <v>2554</v>
      </c>
      <c r="X664" s="1" t="s">
        <v>324</v>
      </c>
      <c r="Y664" s="3"/>
      <c r="Z664" s="3"/>
      <c r="AA664" s="3"/>
      <c r="AB664" s="3"/>
      <c r="AC664" s="3"/>
      <c r="AD664" s="3"/>
      <c r="AE664" s="3">
        <v>1800000</v>
      </c>
      <c r="AF664" s="3">
        <v>1800000</v>
      </c>
      <c r="AG664" s="3">
        <v>1800000</v>
      </c>
      <c r="AH664" s="3">
        <v>1800000</v>
      </c>
      <c r="AI664" s="3">
        <v>1800000</v>
      </c>
      <c r="AJ664" s="3">
        <v>1800000</v>
      </c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>
        <f t="shared" si="41"/>
        <v>10800000</v>
      </c>
      <c r="AX664" s="3">
        <f t="shared" si="42"/>
        <v>0</v>
      </c>
      <c r="AY664" s="4">
        <f t="shared" si="43"/>
        <v>6</v>
      </c>
      <c r="AZ664" s="8">
        <v>0</v>
      </c>
      <c r="BA664" s="4" t="s">
        <v>5726</v>
      </c>
      <c r="BB664" s="2"/>
      <c r="BC664" s="3"/>
      <c r="BD664" s="4"/>
    </row>
    <row r="665" spans="1:56" ht="16.8" customHeight="1">
      <c r="A665" s="1">
        <v>664</v>
      </c>
      <c r="B665" s="1" t="s">
        <v>1816</v>
      </c>
      <c r="C665" s="1" t="s">
        <v>1817</v>
      </c>
      <c r="D665" s="1" t="s">
        <v>2555</v>
      </c>
      <c r="E665" s="1" t="s">
        <v>2555</v>
      </c>
      <c r="F665" s="1" t="s">
        <v>2556</v>
      </c>
      <c r="G665" s="1" t="s">
        <v>2557</v>
      </c>
      <c r="H665" s="1" t="s">
        <v>5191</v>
      </c>
      <c r="I665" s="18" t="s">
        <v>4783</v>
      </c>
      <c r="J665" s="18" t="s">
        <v>5132</v>
      </c>
      <c r="K665" s="18" t="s">
        <v>4733</v>
      </c>
      <c r="L665" s="18" t="s">
        <v>4734</v>
      </c>
      <c r="M665" s="2">
        <v>1800000</v>
      </c>
      <c r="N665" s="2">
        <v>1800000</v>
      </c>
      <c r="O665" s="2"/>
      <c r="P665" s="2" t="str">
        <f t="shared" si="40"/>
        <v/>
      </c>
      <c r="Q665" s="2"/>
      <c r="R665" s="2"/>
      <c r="S665" s="48"/>
      <c r="T665" s="2">
        <v>10800000</v>
      </c>
      <c r="U665" s="2">
        <v>0</v>
      </c>
      <c r="V665" s="1" t="s">
        <v>2558</v>
      </c>
      <c r="W665" s="6" t="s">
        <v>2559</v>
      </c>
      <c r="X665" s="1" t="s">
        <v>471</v>
      </c>
      <c r="Y665" s="3"/>
      <c r="Z665" s="3"/>
      <c r="AA665" s="3"/>
      <c r="AB665" s="3"/>
      <c r="AC665" s="3"/>
      <c r="AD665" s="3"/>
      <c r="AE665" s="3">
        <v>1800000</v>
      </c>
      <c r="AF665" s="3">
        <v>1800000</v>
      </c>
      <c r="AG665" s="3">
        <v>1800000</v>
      </c>
      <c r="AH665" s="3">
        <v>1800000</v>
      </c>
      <c r="AI665" s="3">
        <v>1800000</v>
      </c>
      <c r="AJ665" s="3">
        <v>1800000</v>
      </c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>
        <f t="shared" si="41"/>
        <v>10800000</v>
      </c>
      <c r="AX665" s="3">
        <f t="shared" si="42"/>
        <v>0</v>
      </c>
      <c r="AY665" s="4">
        <f t="shared" si="43"/>
        <v>6</v>
      </c>
      <c r="AZ665" s="8">
        <v>0</v>
      </c>
      <c r="BA665" s="4" t="s">
        <v>5726</v>
      </c>
      <c r="BB665" s="2"/>
      <c r="BC665" s="3"/>
      <c r="BD665" s="3"/>
    </row>
    <row r="666" spans="1:56" ht="16.8" customHeight="1">
      <c r="A666" s="1">
        <v>665</v>
      </c>
      <c r="B666" s="1" t="s">
        <v>1816</v>
      </c>
      <c r="C666" s="1" t="s">
        <v>1817</v>
      </c>
      <c r="D666" s="1" t="s">
        <v>2560</v>
      </c>
      <c r="E666" s="1" t="s">
        <v>2560</v>
      </c>
      <c r="F666" s="1" t="s">
        <v>2561</v>
      </c>
      <c r="G666" s="1" t="s">
        <v>2562</v>
      </c>
      <c r="H666" s="1" t="s">
        <v>5192</v>
      </c>
      <c r="I666" s="18" t="s">
        <v>4783</v>
      </c>
      <c r="J666" s="18" t="s">
        <v>5132</v>
      </c>
      <c r="K666" s="18" t="s">
        <v>4733</v>
      </c>
      <c r="L666" s="18" t="s">
        <v>4734</v>
      </c>
      <c r="M666" s="2">
        <v>1800000</v>
      </c>
      <c r="N666" s="2">
        <v>1800000</v>
      </c>
      <c r="O666" s="2"/>
      <c r="P666" s="2" t="str">
        <f t="shared" si="40"/>
        <v/>
      </c>
      <c r="Q666" s="2"/>
      <c r="R666" s="2"/>
      <c r="S666" s="48"/>
      <c r="T666" s="2">
        <v>10800000</v>
      </c>
      <c r="U666" s="2">
        <v>0</v>
      </c>
      <c r="V666" s="1" t="s">
        <v>2563</v>
      </c>
      <c r="W666" s="6" t="s">
        <v>2564</v>
      </c>
      <c r="X666" s="1" t="s">
        <v>324</v>
      </c>
      <c r="Y666" s="3"/>
      <c r="Z666" s="3"/>
      <c r="AA666" s="3"/>
      <c r="AB666" s="3"/>
      <c r="AC666" s="3"/>
      <c r="AD666" s="3"/>
      <c r="AE666" s="3">
        <v>1800000</v>
      </c>
      <c r="AF666" s="3">
        <v>1800000</v>
      </c>
      <c r="AG666" s="3">
        <v>1800000</v>
      </c>
      <c r="AH666" s="3">
        <v>1800000</v>
      </c>
      <c r="AI666" s="3">
        <v>1800000</v>
      </c>
      <c r="AJ666" s="3">
        <v>1800000</v>
      </c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>
        <f t="shared" si="41"/>
        <v>10800000</v>
      </c>
      <c r="AX666" s="3">
        <f t="shared" si="42"/>
        <v>0</v>
      </c>
      <c r="AY666" s="4">
        <f t="shared" si="43"/>
        <v>6</v>
      </c>
      <c r="AZ666" s="8">
        <v>0</v>
      </c>
      <c r="BA666" s="4" t="s">
        <v>5726</v>
      </c>
      <c r="BB666" s="2"/>
      <c r="BC666" s="3"/>
      <c r="BD666" s="4"/>
    </row>
    <row r="667" spans="1:56" ht="16.8" customHeight="1">
      <c r="A667" s="1">
        <v>666</v>
      </c>
      <c r="B667" s="1" t="s">
        <v>1816</v>
      </c>
      <c r="C667" s="1" t="s">
        <v>1817</v>
      </c>
      <c r="D667" s="1" t="s">
        <v>2565</v>
      </c>
      <c r="E667" s="1" t="s">
        <v>2565</v>
      </c>
      <c r="F667" s="1" t="s">
        <v>2566</v>
      </c>
      <c r="G667" s="1" t="s">
        <v>2567</v>
      </c>
      <c r="H667" s="1" t="s">
        <v>5193</v>
      </c>
      <c r="I667" s="18" t="s">
        <v>4783</v>
      </c>
      <c r="J667" s="18" t="s">
        <v>5132</v>
      </c>
      <c r="K667" s="18" t="s">
        <v>4733</v>
      </c>
      <c r="L667" s="18" t="s">
        <v>4734</v>
      </c>
      <c r="M667" s="2">
        <v>1500000</v>
      </c>
      <c r="N667" s="2">
        <v>1500000</v>
      </c>
      <c r="O667" s="2"/>
      <c r="P667" s="2" t="str">
        <f t="shared" si="40"/>
        <v/>
      </c>
      <c r="Q667" s="2"/>
      <c r="R667" s="2"/>
      <c r="S667" s="48"/>
      <c r="T667" s="2">
        <v>9000000</v>
      </c>
      <c r="U667" s="2">
        <v>0</v>
      </c>
      <c r="V667" s="1" t="s">
        <v>2568</v>
      </c>
      <c r="W667" s="6" t="s">
        <v>2569</v>
      </c>
      <c r="X667" s="1" t="s">
        <v>154</v>
      </c>
      <c r="Y667" s="3"/>
      <c r="Z667" s="3"/>
      <c r="AA667" s="3"/>
      <c r="AB667" s="3"/>
      <c r="AC667" s="3"/>
      <c r="AD667" s="3"/>
      <c r="AE667" s="3">
        <v>1500000</v>
      </c>
      <c r="AF667" s="3">
        <v>1500000</v>
      </c>
      <c r="AG667" s="3">
        <v>1500000</v>
      </c>
      <c r="AH667" s="3">
        <v>1500000</v>
      </c>
      <c r="AI667" s="3">
        <v>1500000</v>
      </c>
      <c r="AJ667" s="3">
        <v>1500000</v>
      </c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>
        <f t="shared" si="41"/>
        <v>9000000</v>
      </c>
      <c r="AX667" s="3">
        <f t="shared" si="42"/>
        <v>0</v>
      </c>
      <c r="AY667" s="4">
        <f t="shared" si="43"/>
        <v>6</v>
      </c>
      <c r="AZ667" s="8">
        <v>0</v>
      </c>
      <c r="BA667" s="4" t="s">
        <v>5726</v>
      </c>
      <c r="BB667" s="2"/>
      <c r="BC667" s="3"/>
      <c r="BD667" s="4"/>
    </row>
    <row r="668" spans="1:56" ht="16.8" customHeight="1">
      <c r="A668" s="1">
        <v>667</v>
      </c>
      <c r="B668" s="1" t="s">
        <v>1816</v>
      </c>
      <c r="C668" s="1" t="s">
        <v>1817</v>
      </c>
      <c r="D668" s="1" t="s">
        <v>2570</v>
      </c>
      <c r="E668" s="1" t="s">
        <v>2570</v>
      </c>
      <c r="F668" s="1" t="s">
        <v>2571</v>
      </c>
      <c r="G668" s="1" t="s">
        <v>2572</v>
      </c>
      <c r="H668" s="1" t="s">
        <v>5194</v>
      </c>
      <c r="I668" s="18" t="s">
        <v>4783</v>
      </c>
      <c r="J668" s="18" t="s">
        <v>5132</v>
      </c>
      <c r="K668" s="18" t="s">
        <v>4733</v>
      </c>
      <c r="L668" s="18" t="s">
        <v>4734</v>
      </c>
      <c r="M668" s="2">
        <v>833333</v>
      </c>
      <c r="N668" s="2">
        <v>833333</v>
      </c>
      <c r="O668" s="2"/>
      <c r="P668" s="2" t="str">
        <f t="shared" si="40"/>
        <v/>
      </c>
      <c r="Q668" s="2"/>
      <c r="R668" s="2"/>
      <c r="S668" s="48"/>
      <c r="T668" s="2">
        <v>5000000</v>
      </c>
      <c r="U668" s="2">
        <v>0</v>
      </c>
      <c r="V668" s="1" t="s">
        <v>2573</v>
      </c>
      <c r="W668" s="6" t="s">
        <v>2574</v>
      </c>
      <c r="X668" s="1" t="s">
        <v>2211</v>
      </c>
      <c r="Y668" s="3"/>
      <c r="Z668" s="3"/>
      <c r="AA668" s="3"/>
      <c r="AB668" s="3"/>
      <c r="AC668" s="3"/>
      <c r="AD668" s="3"/>
      <c r="AE668" s="3">
        <v>833333</v>
      </c>
      <c r="AF668" s="3">
        <v>833333</v>
      </c>
      <c r="AG668" s="3">
        <v>833333</v>
      </c>
      <c r="AH668" s="3">
        <v>833333</v>
      </c>
      <c r="AI668" s="3">
        <v>833333</v>
      </c>
      <c r="AJ668" s="3">
        <v>833335</v>
      </c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>
        <f t="shared" si="41"/>
        <v>5000000</v>
      </c>
      <c r="AX668" s="3">
        <f t="shared" si="42"/>
        <v>0</v>
      </c>
      <c r="AY668" s="4">
        <f t="shared" si="43"/>
        <v>6</v>
      </c>
      <c r="AZ668" s="8">
        <v>0</v>
      </c>
      <c r="BA668" s="4" t="s">
        <v>5726</v>
      </c>
      <c r="BB668" s="2"/>
      <c r="BC668" s="3"/>
      <c r="BD668" s="4"/>
    </row>
    <row r="669" spans="1:56" ht="16.8" customHeight="1">
      <c r="A669" s="1">
        <v>668</v>
      </c>
      <c r="B669" s="1" t="s">
        <v>1816</v>
      </c>
      <c r="C669" s="1" t="s">
        <v>1817</v>
      </c>
      <c r="D669" s="1" t="s">
        <v>2575</v>
      </c>
      <c r="E669" s="1" t="s">
        <v>2575</v>
      </c>
      <c r="F669" s="1" t="s">
        <v>2576</v>
      </c>
      <c r="G669" s="1" t="s">
        <v>2577</v>
      </c>
      <c r="H669" s="1" t="s">
        <v>5195</v>
      </c>
      <c r="I669" s="18" t="s">
        <v>4783</v>
      </c>
      <c r="J669" s="18" t="s">
        <v>5132</v>
      </c>
      <c r="K669" s="18" t="s">
        <v>4733</v>
      </c>
      <c r="L669" s="18" t="s">
        <v>4734</v>
      </c>
      <c r="M669" s="2">
        <v>416667</v>
      </c>
      <c r="N669" s="2">
        <v>416667</v>
      </c>
      <c r="O669" s="2"/>
      <c r="P669" s="2" t="str">
        <f t="shared" si="40"/>
        <v/>
      </c>
      <c r="Q669" s="2"/>
      <c r="R669" s="2"/>
      <c r="S669" s="48"/>
      <c r="T669" s="2">
        <v>2500000</v>
      </c>
      <c r="U669" s="2">
        <v>0</v>
      </c>
      <c r="V669" s="1" t="s">
        <v>2578</v>
      </c>
      <c r="W669" s="6" t="s">
        <v>2579</v>
      </c>
      <c r="X669" s="1" t="s">
        <v>1627</v>
      </c>
      <c r="Y669" s="3"/>
      <c r="Z669" s="3"/>
      <c r="AA669" s="3"/>
      <c r="AB669" s="3"/>
      <c r="AC669" s="3"/>
      <c r="AD669" s="3"/>
      <c r="AE669" s="3">
        <v>416667</v>
      </c>
      <c r="AF669" s="3">
        <v>416667</v>
      </c>
      <c r="AG669" s="3">
        <v>416667</v>
      </c>
      <c r="AH669" s="3">
        <v>416667</v>
      </c>
      <c r="AI669" s="3">
        <v>416667</v>
      </c>
      <c r="AJ669" s="3">
        <v>416665</v>
      </c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>
        <f t="shared" si="41"/>
        <v>2500000</v>
      </c>
      <c r="AX669" s="3">
        <f t="shared" si="42"/>
        <v>0</v>
      </c>
      <c r="AY669" s="4">
        <f t="shared" si="43"/>
        <v>6</v>
      </c>
      <c r="AZ669" s="8">
        <v>0</v>
      </c>
      <c r="BA669" s="4" t="s">
        <v>5726</v>
      </c>
      <c r="BB669" s="2"/>
      <c r="BC669" s="3"/>
      <c r="BD669" s="4"/>
    </row>
    <row r="670" spans="1:56" ht="16.8" customHeight="1">
      <c r="A670" s="1">
        <v>669</v>
      </c>
      <c r="B670" s="1" t="s">
        <v>1816</v>
      </c>
      <c r="C670" s="1" t="s">
        <v>1817</v>
      </c>
      <c r="D670" s="1" t="s">
        <v>2580</v>
      </c>
      <c r="E670" s="1" t="s">
        <v>2580</v>
      </c>
      <c r="F670" s="1" t="s">
        <v>2581</v>
      </c>
      <c r="G670" s="1" t="s">
        <v>2582</v>
      </c>
      <c r="H670" s="1" t="s">
        <v>5196</v>
      </c>
      <c r="I670" s="18" t="s">
        <v>4783</v>
      </c>
      <c r="J670" s="18" t="s">
        <v>5132</v>
      </c>
      <c r="K670" s="18" t="s">
        <v>4733</v>
      </c>
      <c r="L670" s="18" t="s">
        <v>4734</v>
      </c>
      <c r="M670" s="2">
        <v>833333</v>
      </c>
      <c r="N670" s="2">
        <v>833333</v>
      </c>
      <c r="O670" s="2"/>
      <c r="P670" s="2" t="str">
        <f t="shared" si="40"/>
        <v/>
      </c>
      <c r="Q670" s="2"/>
      <c r="R670" s="2"/>
      <c r="S670" s="48"/>
      <c r="T670" s="2">
        <v>5000000</v>
      </c>
      <c r="U670" s="2">
        <v>0</v>
      </c>
      <c r="V670" s="1" t="s">
        <v>2583</v>
      </c>
      <c r="W670" s="6" t="s">
        <v>2584</v>
      </c>
      <c r="X670" s="1" t="s">
        <v>397</v>
      </c>
      <c r="Y670" s="3"/>
      <c r="Z670" s="3"/>
      <c r="AA670" s="3"/>
      <c r="AB670" s="3"/>
      <c r="AC670" s="3"/>
      <c r="AD670" s="3"/>
      <c r="AE670" s="3">
        <v>833333</v>
      </c>
      <c r="AF670" s="3">
        <v>833333</v>
      </c>
      <c r="AG670" s="3">
        <v>833333</v>
      </c>
      <c r="AH670" s="3">
        <v>833333</v>
      </c>
      <c r="AI670" s="3">
        <v>833333</v>
      </c>
      <c r="AJ670" s="3">
        <v>833335</v>
      </c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>
        <f t="shared" si="41"/>
        <v>5000000</v>
      </c>
      <c r="AX670" s="3">
        <f t="shared" si="42"/>
        <v>0</v>
      </c>
      <c r="AY670" s="4">
        <f t="shared" si="43"/>
        <v>6</v>
      </c>
      <c r="AZ670" s="8">
        <v>0</v>
      </c>
      <c r="BA670" s="4" t="s">
        <v>5726</v>
      </c>
      <c r="BB670" s="2"/>
      <c r="BC670" s="3"/>
      <c r="BD670" s="4"/>
    </row>
    <row r="671" spans="1:56" ht="16.8" customHeight="1">
      <c r="A671" s="1">
        <v>670</v>
      </c>
      <c r="B671" s="1" t="s">
        <v>1816</v>
      </c>
      <c r="C671" s="1" t="s">
        <v>1817</v>
      </c>
      <c r="D671" s="1" t="s">
        <v>2585</v>
      </c>
      <c r="E671" s="1" t="s">
        <v>2585</v>
      </c>
      <c r="F671" s="1" t="s">
        <v>2586</v>
      </c>
      <c r="G671" s="1" t="s">
        <v>2587</v>
      </c>
      <c r="H671" s="1" t="s">
        <v>5197</v>
      </c>
      <c r="I671" s="18" t="s">
        <v>4783</v>
      </c>
      <c r="J671" s="18" t="s">
        <v>5132</v>
      </c>
      <c r="K671" s="18" t="s">
        <v>5050</v>
      </c>
      <c r="L671" s="18" t="s">
        <v>4734</v>
      </c>
      <c r="M671" s="2">
        <v>833333</v>
      </c>
      <c r="N671" s="2">
        <v>833333</v>
      </c>
      <c r="O671" s="2"/>
      <c r="P671" s="2" t="str">
        <f t="shared" si="40"/>
        <v/>
      </c>
      <c r="Q671" s="2"/>
      <c r="R671" s="2"/>
      <c r="S671" s="48"/>
      <c r="T671" s="2">
        <v>5000000</v>
      </c>
      <c r="U671" s="2">
        <v>0</v>
      </c>
      <c r="V671" s="1" t="s">
        <v>2588</v>
      </c>
      <c r="W671" s="6" t="s">
        <v>2589</v>
      </c>
      <c r="X671" s="1" t="s">
        <v>2211</v>
      </c>
      <c r="Y671" s="3"/>
      <c r="Z671" s="3"/>
      <c r="AA671" s="3"/>
      <c r="AB671" s="3"/>
      <c r="AC671" s="3"/>
      <c r="AD671" s="3"/>
      <c r="AE671" s="3">
        <v>833333</v>
      </c>
      <c r="AF671" s="3">
        <v>833333</v>
      </c>
      <c r="AG671" s="3">
        <v>833333</v>
      </c>
      <c r="AH671" s="3">
        <v>833333</v>
      </c>
      <c r="AI671" s="3">
        <v>833333</v>
      </c>
      <c r="AJ671" s="3">
        <v>833335</v>
      </c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>
        <f t="shared" si="41"/>
        <v>5000000</v>
      </c>
      <c r="AX671" s="3">
        <f t="shared" si="42"/>
        <v>0</v>
      </c>
      <c r="AY671" s="4">
        <f t="shared" si="43"/>
        <v>6</v>
      </c>
      <c r="AZ671" s="8">
        <v>0</v>
      </c>
      <c r="BA671" s="4" t="s">
        <v>5726</v>
      </c>
      <c r="BB671" s="2"/>
      <c r="BC671" s="3"/>
      <c r="BD671" s="4"/>
    </row>
    <row r="672" spans="1:56" ht="16.8" customHeight="1">
      <c r="A672" s="1">
        <v>671</v>
      </c>
      <c r="B672" s="1" t="s">
        <v>1816</v>
      </c>
      <c r="C672" s="1" t="s">
        <v>1817</v>
      </c>
      <c r="D672" s="1" t="s">
        <v>2590</v>
      </c>
      <c r="E672" s="1" t="s">
        <v>2590</v>
      </c>
      <c r="F672" s="1" t="s">
        <v>2591</v>
      </c>
      <c r="G672" s="1" t="s">
        <v>2592</v>
      </c>
      <c r="H672" s="1" t="s">
        <v>5198</v>
      </c>
      <c r="I672" s="18" t="s">
        <v>4783</v>
      </c>
      <c r="J672" s="18" t="s">
        <v>5132</v>
      </c>
      <c r="K672" s="18" t="s">
        <v>4733</v>
      </c>
      <c r="L672" s="18" t="s">
        <v>4734</v>
      </c>
      <c r="M672" s="2">
        <v>500000</v>
      </c>
      <c r="N672" s="2">
        <v>500000</v>
      </c>
      <c r="O672" s="2"/>
      <c r="P672" s="2" t="str">
        <f t="shared" si="40"/>
        <v/>
      </c>
      <c r="Q672" s="2"/>
      <c r="R672" s="2"/>
      <c r="S672" s="48"/>
      <c r="T672" s="2">
        <v>3000000</v>
      </c>
      <c r="U672" s="2">
        <v>0</v>
      </c>
      <c r="V672" s="1" t="s">
        <v>2593</v>
      </c>
      <c r="W672" s="6" t="s">
        <v>2594</v>
      </c>
      <c r="X672" s="1" t="s">
        <v>2211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>
        <f t="shared" si="41"/>
        <v>0</v>
      </c>
      <c r="AX672" s="3">
        <f t="shared" si="42"/>
        <v>0</v>
      </c>
      <c r="AY672" s="4">
        <f t="shared" si="43"/>
        <v>0</v>
      </c>
      <c r="AZ672" s="8">
        <v>0</v>
      </c>
      <c r="BA672" s="4" t="s">
        <v>5726</v>
      </c>
      <c r="BB672" s="2"/>
      <c r="BC672" s="3"/>
      <c r="BD672" s="4"/>
    </row>
    <row r="673" spans="1:56" ht="16.8" customHeight="1">
      <c r="A673" s="1">
        <v>672</v>
      </c>
      <c r="B673" s="1" t="s">
        <v>1816</v>
      </c>
      <c r="C673" s="1" t="s">
        <v>1817</v>
      </c>
      <c r="D673" s="1" t="s">
        <v>2595</v>
      </c>
      <c r="E673" s="1" t="s">
        <v>2595</v>
      </c>
      <c r="F673" s="1" t="s">
        <v>2596</v>
      </c>
      <c r="G673" s="1" t="s">
        <v>2597</v>
      </c>
      <c r="H673" s="1" t="s">
        <v>5199</v>
      </c>
      <c r="I673" s="18" t="s">
        <v>4783</v>
      </c>
      <c r="J673" s="18" t="s">
        <v>5132</v>
      </c>
      <c r="K673" s="18" t="s">
        <v>4733</v>
      </c>
      <c r="L673" s="18" t="s">
        <v>4734</v>
      </c>
      <c r="M673" s="2">
        <v>500000</v>
      </c>
      <c r="N673" s="2">
        <v>500000</v>
      </c>
      <c r="O673" s="2"/>
      <c r="P673" s="2" t="str">
        <f t="shared" si="40"/>
        <v/>
      </c>
      <c r="Q673" s="2"/>
      <c r="R673" s="2"/>
      <c r="S673" s="48"/>
      <c r="T673" s="2">
        <v>3000000</v>
      </c>
      <c r="U673" s="2">
        <v>0</v>
      </c>
      <c r="V673" s="1" t="s">
        <v>2597</v>
      </c>
      <c r="W673" s="6" t="s">
        <v>2598</v>
      </c>
      <c r="X673" s="1" t="s">
        <v>324</v>
      </c>
      <c r="Y673" s="3"/>
      <c r="Z673" s="3"/>
      <c r="AA673" s="3"/>
      <c r="AB673" s="3"/>
      <c r="AC673" s="3"/>
      <c r="AD673" s="3"/>
      <c r="AE673" s="3">
        <v>500000</v>
      </c>
      <c r="AF673" s="3">
        <v>500000</v>
      </c>
      <c r="AG673" s="3">
        <v>500000</v>
      </c>
      <c r="AH673" s="3">
        <v>500000</v>
      </c>
      <c r="AI673" s="3">
        <v>500000</v>
      </c>
      <c r="AJ673" s="3">
        <v>500000</v>
      </c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>
        <f t="shared" si="41"/>
        <v>3000000</v>
      </c>
      <c r="AX673" s="3">
        <f t="shared" si="42"/>
        <v>0</v>
      </c>
      <c r="AY673" s="4">
        <f t="shared" si="43"/>
        <v>6</v>
      </c>
      <c r="AZ673" s="8">
        <v>0</v>
      </c>
      <c r="BA673" s="4" t="s">
        <v>5726</v>
      </c>
      <c r="BB673" s="2"/>
      <c r="BC673" s="3"/>
      <c r="BD673" s="4"/>
    </row>
    <row r="674" spans="1:56" ht="16.8" customHeight="1">
      <c r="A674" s="1">
        <v>673</v>
      </c>
      <c r="B674" s="1" t="s">
        <v>1816</v>
      </c>
      <c r="C674" s="1" t="s">
        <v>1817</v>
      </c>
      <c r="D674" s="1" t="s">
        <v>2599</v>
      </c>
      <c r="E674" s="1" t="s">
        <v>2599</v>
      </c>
      <c r="F674" s="1" t="s">
        <v>2600</v>
      </c>
      <c r="G674" s="1" t="s">
        <v>2601</v>
      </c>
      <c r="H674" s="1" t="s">
        <v>5200</v>
      </c>
      <c r="I674" s="18" t="s">
        <v>4783</v>
      </c>
      <c r="J674" s="18" t="s">
        <v>5132</v>
      </c>
      <c r="K674" s="18" t="s">
        <v>4733</v>
      </c>
      <c r="L674" s="18" t="s">
        <v>4734</v>
      </c>
      <c r="M674" s="2">
        <v>833333</v>
      </c>
      <c r="N674" s="2">
        <v>833333</v>
      </c>
      <c r="O674" s="2"/>
      <c r="P674" s="2" t="str">
        <f t="shared" si="40"/>
        <v/>
      </c>
      <c r="Q674" s="2"/>
      <c r="R674" s="2"/>
      <c r="S674" s="48"/>
      <c r="T674" s="2">
        <v>5000000</v>
      </c>
      <c r="U674" s="2">
        <v>0</v>
      </c>
      <c r="V674" s="1" t="s">
        <v>2601</v>
      </c>
      <c r="W674" s="6" t="s">
        <v>2602</v>
      </c>
      <c r="X674" s="1" t="s">
        <v>324</v>
      </c>
      <c r="Y674" s="3"/>
      <c r="Z674" s="3"/>
      <c r="AA674" s="3"/>
      <c r="AB674" s="3"/>
      <c r="AC674" s="3"/>
      <c r="AD674" s="3"/>
      <c r="AE674" s="3">
        <v>833333</v>
      </c>
      <c r="AF674" s="3">
        <v>833333</v>
      </c>
      <c r="AG674" s="3">
        <v>833333</v>
      </c>
      <c r="AH674" s="3">
        <v>833333</v>
      </c>
      <c r="AI674" s="3">
        <v>833333</v>
      </c>
      <c r="AJ674" s="3">
        <v>833335</v>
      </c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>
        <f t="shared" si="41"/>
        <v>5000000</v>
      </c>
      <c r="AX674" s="3">
        <f t="shared" si="42"/>
        <v>0</v>
      </c>
      <c r="AY674" s="4">
        <f t="shared" si="43"/>
        <v>6</v>
      </c>
      <c r="AZ674" s="8">
        <v>0</v>
      </c>
      <c r="BA674" s="4" t="s">
        <v>5726</v>
      </c>
      <c r="BB674" s="2"/>
      <c r="BC674" s="3"/>
      <c r="BD674" s="4"/>
    </row>
    <row r="675" spans="1:56" ht="16.8" customHeight="1">
      <c r="A675" s="1">
        <v>674</v>
      </c>
      <c r="B675" s="1" t="s">
        <v>1816</v>
      </c>
      <c r="C675" s="1" t="s">
        <v>1817</v>
      </c>
      <c r="D675" s="1" t="s">
        <v>2603</v>
      </c>
      <c r="E675" s="1" t="s">
        <v>2603</v>
      </c>
      <c r="F675" s="1" t="s">
        <v>2604</v>
      </c>
      <c r="G675" s="1" t="s">
        <v>2605</v>
      </c>
      <c r="H675" s="1" t="s">
        <v>5201</v>
      </c>
      <c r="I675" s="18" t="s">
        <v>4783</v>
      </c>
      <c r="J675" s="18" t="s">
        <v>5132</v>
      </c>
      <c r="K675" s="18" t="s">
        <v>4733</v>
      </c>
      <c r="L675" s="18" t="s">
        <v>4734</v>
      </c>
      <c r="M675" s="2">
        <v>500000</v>
      </c>
      <c r="N675" s="2">
        <v>500000</v>
      </c>
      <c r="O675" s="2"/>
      <c r="P675" s="2" t="str">
        <f t="shared" si="40"/>
        <v/>
      </c>
      <c r="Q675" s="2"/>
      <c r="R675" s="2"/>
      <c r="S675" s="48"/>
      <c r="T675" s="2">
        <v>3000000</v>
      </c>
      <c r="U675" s="2">
        <v>0</v>
      </c>
      <c r="V675" s="1" t="s">
        <v>2592</v>
      </c>
      <c r="W675" s="6" t="s">
        <v>2606</v>
      </c>
      <c r="X675" s="1" t="s">
        <v>2211</v>
      </c>
      <c r="Y675" s="3"/>
      <c r="Z675" s="3"/>
      <c r="AA675" s="3"/>
      <c r="AB675" s="3"/>
      <c r="AC675" s="3"/>
      <c r="AD675" s="3"/>
      <c r="AE675" s="3">
        <v>500000</v>
      </c>
      <c r="AF675" s="3">
        <v>500000</v>
      </c>
      <c r="AG675" s="3">
        <v>500000</v>
      </c>
      <c r="AH675" s="3">
        <v>500000</v>
      </c>
      <c r="AI675" s="3">
        <v>500000</v>
      </c>
      <c r="AJ675" s="3">
        <v>500000</v>
      </c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>
        <f t="shared" si="41"/>
        <v>3000000</v>
      </c>
      <c r="AX675" s="3">
        <f t="shared" si="42"/>
        <v>0</v>
      </c>
      <c r="AY675" s="4">
        <f t="shared" si="43"/>
        <v>6</v>
      </c>
      <c r="AZ675" s="8">
        <v>0</v>
      </c>
      <c r="BA675" s="4" t="s">
        <v>5726</v>
      </c>
      <c r="BB675" s="2"/>
      <c r="BC675" s="3"/>
      <c r="BD675" s="4"/>
    </row>
    <row r="676" spans="1:56" ht="16.8" customHeight="1">
      <c r="A676" s="1">
        <v>675</v>
      </c>
      <c r="B676" s="1" t="s">
        <v>1816</v>
      </c>
      <c r="C676" s="1" t="s">
        <v>1817</v>
      </c>
      <c r="D676" s="1" t="s">
        <v>2607</v>
      </c>
      <c r="E676" s="1" t="s">
        <v>2607</v>
      </c>
      <c r="F676" s="1" t="s">
        <v>2608</v>
      </c>
      <c r="G676" s="1" t="s">
        <v>2609</v>
      </c>
      <c r="H676" s="1" t="s">
        <v>5202</v>
      </c>
      <c r="I676" s="18" t="s">
        <v>4783</v>
      </c>
      <c r="J676" s="18" t="s">
        <v>5132</v>
      </c>
      <c r="K676" s="18" t="s">
        <v>4733</v>
      </c>
      <c r="L676" s="18" t="s">
        <v>4734</v>
      </c>
      <c r="M676" s="2">
        <v>1800000</v>
      </c>
      <c r="N676" s="2">
        <v>1800000</v>
      </c>
      <c r="O676" s="2"/>
      <c r="P676" s="2" t="str">
        <f t="shared" si="40"/>
        <v/>
      </c>
      <c r="Q676" s="2"/>
      <c r="R676" s="2"/>
      <c r="S676" s="48"/>
      <c r="T676" s="2">
        <v>10800000</v>
      </c>
      <c r="U676" s="2">
        <v>0</v>
      </c>
      <c r="V676" s="1" t="s">
        <v>2610</v>
      </c>
      <c r="W676" s="6" t="s">
        <v>2611</v>
      </c>
      <c r="X676" s="1" t="s">
        <v>324</v>
      </c>
      <c r="Y676" s="3"/>
      <c r="Z676" s="3"/>
      <c r="AA676" s="3"/>
      <c r="AB676" s="3"/>
      <c r="AC676" s="3"/>
      <c r="AD676" s="3"/>
      <c r="AE676" s="3">
        <v>1800000</v>
      </c>
      <c r="AF676" s="3">
        <v>1800000</v>
      </c>
      <c r="AG676" s="3">
        <v>1800000</v>
      </c>
      <c r="AH676" s="3">
        <v>1800000</v>
      </c>
      <c r="AI676" s="3">
        <v>1800000</v>
      </c>
      <c r="AJ676" s="3">
        <v>1800000</v>
      </c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>
        <f t="shared" si="41"/>
        <v>10800000</v>
      </c>
      <c r="AX676" s="3">
        <f t="shared" si="42"/>
        <v>0</v>
      </c>
      <c r="AY676" s="4">
        <f t="shared" si="43"/>
        <v>6</v>
      </c>
      <c r="AZ676" s="8">
        <v>0</v>
      </c>
      <c r="BA676" s="4" t="s">
        <v>5726</v>
      </c>
      <c r="BB676" s="2"/>
      <c r="BC676" s="3"/>
      <c r="BD676" s="4"/>
    </row>
    <row r="677" spans="1:56" ht="16.8" customHeight="1">
      <c r="A677" s="1">
        <v>676</v>
      </c>
      <c r="B677" s="1" t="s">
        <v>1816</v>
      </c>
      <c r="C677" s="1" t="s">
        <v>1817</v>
      </c>
      <c r="D677" s="1" t="s">
        <v>2612</v>
      </c>
      <c r="E677" s="1" t="s">
        <v>2612</v>
      </c>
      <c r="F677" s="1" t="s">
        <v>2613</v>
      </c>
      <c r="G677" s="1" t="s">
        <v>2614</v>
      </c>
      <c r="H677" s="1" t="s">
        <v>5144</v>
      </c>
      <c r="I677" s="18" t="s">
        <v>4783</v>
      </c>
      <c r="J677" s="18" t="s">
        <v>5132</v>
      </c>
      <c r="K677" s="18" t="s">
        <v>4733</v>
      </c>
      <c r="L677" s="18" t="s">
        <v>4734</v>
      </c>
      <c r="M677" s="2">
        <v>1800000</v>
      </c>
      <c r="N677" s="2">
        <v>1800000</v>
      </c>
      <c r="O677" s="2"/>
      <c r="P677" s="2" t="str">
        <f t="shared" si="40"/>
        <v/>
      </c>
      <c r="Q677" s="2"/>
      <c r="R677" s="2"/>
      <c r="S677" s="48"/>
      <c r="T677" s="2">
        <v>10800000</v>
      </c>
      <c r="U677" s="2">
        <v>0</v>
      </c>
      <c r="V677" s="1" t="s">
        <v>2568</v>
      </c>
      <c r="W677" s="6" t="s">
        <v>2615</v>
      </c>
      <c r="X677" s="1" t="s">
        <v>154</v>
      </c>
      <c r="Y677" s="3"/>
      <c r="Z677" s="3"/>
      <c r="AA677" s="3"/>
      <c r="AB677" s="3"/>
      <c r="AC677" s="3"/>
      <c r="AD677" s="3"/>
      <c r="AE677" s="3">
        <v>1800000</v>
      </c>
      <c r="AF677" s="3">
        <v>1800000</v>
      </c>
      <c r="AG677" s="3">
        <v>1800000</v>
      </c>
      <c r="AH677" s="3">
        <v>1800000</v>
      </c>
      <c r="AI677" s="3">
        <v>1800000</v>
      </c>
      <c r="AJ677" s="3">
        <v>1800000</v>
      </c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>
        <f t="shared" si="41"/>
        <v>10800000</v>
      </c>
      <c r="AX677" s="3">
        <f t="shared" si="42"/>
        <v>0</v>
      </c>
      <c r="AY677" s="4">
        <f t="shared" si="43"/>
        <v>6</v>
      </c>
      <c r="AZ677" s="8">
        <v>0</v>
      </c>
      <c r="BA677" s="4" t="s">
        <v>5726</v>
      </c>
      <c r="BB677" s="2"/>
      <c r="BC677" s="3"/>
      <c r="BD677" s="4"/>
    </row>
    <row r="678" spans="1:56" ht="16.8" customHeight="1">
      <c r="A678" s="1">
        <v>677</v>
      </c>
      <c r="B678" s="1" t="s">
        <v>1816</v>
      </c>
      <c r="C678" s="1" t="s">
        <v>1817</v>
      </c>
      <c r="D678" s="1" t="s">
        <v>2616</v>
      </c>
      <c r="E678" s="1" t="s">
        <v>2616</v>
      </c>
      <c r="F678" s="1" t="s">
        <v>2617</v>
      </c>
      <c r="G678" s="1" t="s">
        <v>2618</v>
      </c>
      <c r="H678" s="1" t="s">
        <v>5203</v>
      </c>
      <c r="I678" s="18" t="s">
        <v>4783</v>
      </c>
      <c r="J678" s="18" t="s">
        <v>5132</v>
      </c>
      <c r="K678" s="18" t="s">
        <v>4733</v>
      </c>
      <c r="L678" s="18" t="s">
        <v>4734</v>
      </c>
      <c r="M678" s="2">
        <v>1800000</v>
      </c>
      <c r="N678" s="2">
        <v>1800000</v>
      </c>
      <c r="O678" s="2"/>
      <c r="P678" s="2" t="str">
        <f t="shared" si="40"/>
        <v/>
      </c>
      <c r="Q678" s="2"/>
      <c r="R678" s="2"/>
      <c r="S678" s="48"/>
      <c r="T678" s="2">
        <v>10800000</v>
      </c>
      <c r="U678" s="2">
        <v>0</v>
      </c>
      <c r="V678" s="1" t="s">
        <v>2618</v>
      </c>
      <c r="W678" s="6" t="s">
        <v>2619</v>
      </c>
      <c r="X678" s="1" t="s">
        <v>2211</v>
      </c>
      <c r="Y678" s="3"/>
      <c r="Z678" s="3"/>
      <c r="AA678" s="3"/>
      <c r="AB678" s="3"/>
      <c r="AC678" s="3"/>
      <c r="AD678" s="3"/>
      <c r="AE678" s="3">
        <v>1800000</v>
      </c>
      <c r="AF678" s="3">
        <v>1800000</v>
      </c>
      <c r="AG678" s="3">
        <v>1800000</v>
      </c>
      <c r="AH678" s="3">
        <v>1800000</v>
      </c>
      <c r="AI678" s="3">
        <v>1800000</v>
      </c>
      <c r="AJ678" s="3">
        <v>1800000</v>
      </c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>
        <f t="shared" si="41"/>
        <v>10800000</v>
      </c>
      <c r="AX678" s="3">
        <f t="shared" si="42"/>
        <v>0</v>
      </c>
      <c r="AY678" s="4">
        <f t="shared" si="43"/>
        <v>6</v>
      </c>
      <c r="AZ678" s="8">
        <v>0</v>
      </c>
      <c r="BA678" s="4" t="s">
        <v>5726</v>
      </c>
      <c r="BB678" s="2"/>
      <c r="BC678" s="3"/>
      <c r="BD678" s="4"/>
    </row>
    <row r="679" spans="1:56" ht="16.8" customHeight="1">
      <c r="A679" s="1">
        <v>678</v>
      </c>
      <c r="B679" s="1" t="s">
        <v>1816</v>
      </c>
      <c r="C679" s="1" t="s">
        <v>1817</v>
      </c>
      <c r="D679" s="1" t="s">
        <v>2620</v>
      </c>
      <c r="E679" s="1" t="s">
        <v>2620</v>
      </c>
      <c r="F679" s="1" t="s">
        <v>2621</v>
      </c>
      <c r="G679" s="1" t="s">
        <v>2622</v>
      </c>
      <c r="H679" s="1" t="s">
        <v>5204</v>
      </c>
      <c r="I679" s="18" t="s">
        <v>4783</v>
      </c>
      <c r="J679" s="18" t="s">
        <v>5132</v>
      </c>
      <c r="K679" s="18" t="s">
        <v>4733</v>
      </c>
      <c r="L679" s="18" t="s">
        <v>4734</v>
      </c>
      <c r="M679" s="2">
        <v>1800000</v>
      </c>
      <c r="N679" s="2">
        <v>1800000</v>
      </c>
      <c r="O679" s="2"/>
      <c r="P679" s="2" t="str">
        <f t="shared" si="40"/>
        <v/>
      </c>
      <c r="Q679" s="2"/>
      <c r="R679" s="2"/>
      <c r="S679" s="48"/>
      <c r="T679" s="2">
        <v>10800000</v>
      </c>
      <c r="U679" s="2">
        <v>0</v>
      </c>
      <c r="V679" s="1" t="s">
        <v>2623</v>
      </c>
      <c r="W679" s="6" t="s">
        <v>2624</v>
      </c>
      <c r="X679" s="1" t="s">
        <v>324</v>
      </c>
      <c r="Y679" s="3"/>
      <c r="Z679" s="3"/>
      <c r="AA679" s="3"/>
      <c r="AB679" s="3"/>
      <c r="AC679" s="3"/>
      <c r="AD679" s="3"/>
      <c r="AE679" s="3">
        <v>1800000</v>
      </c>
      <c r="AF679" s="3">
        <v>1800000</v>
      </c>
      <c r="AG679" s="3">
        <v>1800000</v>
      </c>
      <c r="AH679" s="3">
        <v>1800000</v>
      </c>
      <c r="AI679" s="3">
        <v>1800000</v>
      </c>
      <c r="AJ679" s="3">
        <v>1800000</v>
      </c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>
        <f t="shared" si="41"/>
        <v>10800000</v>
      </c>
      <c r="AX679" s="3">
        <f t="shared" si="42"/>
        <v>0</v>
      </c>
      <c r="AY679" s="4">
        <f t="shared" si="43"/>
        <v>6</v>
      </c>
      <c r="AZ679" s="8">
        <v>0</v>
      </c>
      <c r="BA679" s="4" t="s">
        <v>5726</v>
      </c>
      <c r="BB679" s="2"/>
      <c r="BC679" s="3"/>
      <c r="BD679" s="4"/>
    </row>
    <row r="680" spans="1:56" ht="16.8" customHeight="1">
      <c r="A680" s="1">
        <v>679</v>
      </c>
      <c r="B680" s="1" t="s">
        <v>1816</v>
      </c>
      <c r="C680" s="1" t="s">
        <v>1817</v>
      </c>
      <c r="D680" s="1" t="s">
        <v>2625</v>
      </c>
      <c r="E680" s="1" t="s">
        <v>2625</v>
      </c>
      <c r="F680" s="1" t="s">
        <v>2626</v>
      </c>
      <c r="G680" s="1" t="s">
        <v>2627</v>
      </c>
      <c r="H680" s="1" t="s">
        <v>5205</v>
      </c>
      <c r="I680" s="18" t="s">
        <v>5131</v>
      </c>
      <c r="J680" s="18" t="s">
        <v>5132</v>
      </c>
      <c r="K680" s="18" t="s">
        <v>4752</v>
      </c>
      <c r="L680" s="18" t="s">
        <v>4734</v>
      </c>
      <c r="M680" s="2">
        <v>1800000</v>
      </c>
      <c r="N680" s="2">
        <v>1800000</v>
      </c>
      <c r="O680" s="2"/>
      <c r="P680" s="2" t="str">
        <f t="shared" si="40"/>
        <v/>
      </c>
      <c r="Q680" s="2"/>
      <c r="R680" s="2"/>
      <c r="S680" s="48"/>
      <c r="T680" s="2">
        <v>10800000</v>
      </c>
      <c r="U680" s="2">
        <v>0</v>
      </c>
      <c r="V680" s="1" t="s">
        <v>2601</v>
      </c>
      <c r="W680" s="6" t="s">
        <v>2602</v>
      </c>
      <c r="X680" s="1" t="s">
        <v>324</v>
      </c>
      <c r="Y680" s="3"/>
      <c r="Z680" s="3"/>
      <c r="AA680" s="3"/>
      <c r="AB680" s="3"/>
      <c r="AC680" s="3"/>
      <c r="AD680" s="3"/>
      <c r="AE680" s="3">
        <v>1800000</v>
      </c>
      <c r="AF680" s="3">
        <v>1800000</v>
      </c>
      <c r="AG680" s="3">
        <v>1800000</v>
      </c>
      <c r="AH680" s="3">
        <v>1800000</v>
      </c>
      <c r="AI680" s="3">
        <v>1800000</v>
      </c>
      <c r="AJ680" s="3">
        <v>1800000</v>
      </c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>
        <f t="shared" si="41"/>
        <v>10800000</v>
      </c>
      <c r="AX680" s="3">
        <f t="shared" si="42"/>
        <v>0</v>
      </c>
      <c r="AY680" s="4">
        <f t="shared" si="43"/>
        <v>6</v>
      </c>
      <c r="AZ680" s="8" t="s">
        <v>5583</v>
      </c>
      <c r="BA680" s="4" t="s">
        <v>5726</v>
      </c>
      <c r="BB680" s="2"/>
      <c r="BC680" s="3"/>
      <c r="BD680" s="4"/>
    </row>
    <row r="681" spans="1:56" ht="16.8" customHeight="1">
      <c r="A681" s="1">
        <v>680</v>
      </c>
      <c r="B681" s="1" t="s">
        <v>1816</v>
      </c>
      <c r="C681" s="1" t="s">
        <v>1817</v>
      </c>
      <c r="D681" s="1" t="s">
        <v>2628</v>
      </c>
      <c r="E681" s="1" t="s">
        <v>2628</v>
      </c>
      <c r="F681" s="1" t="s">
        <v>2629</v>
      </c>
      <c r="G681" s="1" t="s">
        <v>2630</v>
      </c>
      <c r="H681" s="1" t="s">
        <v>5206</v>
      </c>
      <c r="I681" s="18" t="s">
        <v>4783</v>
      </c>
      <c r="J681" s="18" t="s">
        <v>5132</v>
      </c>
      <c r="K681" s="18" t="s">
        <v>4733</v>
      </c>
      <c r="L681" s="18" t="s">
        <v>4734</v>
      </c>
      <c r="M681" s="2">
        <v>1800000</v>
      </c>
      <c r="N681" s="2">
        <v>1800000</v>
      </c>
      <c r="O681" s="2"/>
      <c r="P681" s="2" t="str">
        <f t="shared" si="40"/>
        <v/>
      </c>
      <c r="Q681" s="2"/>
      <c r="R681" s="2"/>
      <c r="S681" s="48"/>
      <c r="T681" s="2">
        <v>10800000</v>
      </c>
      <c r="U681" s="2">
        <v>0</v>
      </c>
      <c r="V681" s="1" t="s">
        <v>2631</v>
      </c>
      <c r="W681" s="6" t="s">
        <v>2632</v>
      </c>
      <c r="X681" s="1" t="s">
        <v>2211</v>
      </c>
      <c r="Y681" s="3"/>
      <c r="Z681" s="3"/>
      <c r="AA681" s="3"/>
      <c r="AB681" s="3"/>
      <c r="AC681" s="3"/>
      <c r="AD681" s="3"/>
      <c r="AE681" s="3">
        <v>1800000</v>
      </c>
      <c r="AF681" s="3">
        <v>1800000</v>
      </c>
      <c r="AG681" s="3">
        <v>1800000</v>
      </c>
      <c r="AH681" s="3">
        <v>1800000</v>
      </c>
      <c r="AI681" s="3">
        <v>1800000</v>
      </c>
      <c r="AJ681" s="3">
        <v>1800000</v>
      </c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>
        <f t="shared" si="41"/>
        <v>10800000</v>
      </c>
      <c r="AX681" s="3">
        <f t="shared" si="42"/>
        <v>0</v>
      </c>
      <c r="AY681" s="4">
        <f t="shared" si="43"/>
        <v>6</v>
      </c>
      <c r="AZ681" s="8" t="s">
        <v>5584</v>
      </c>
      <c r="BA681" s="4" t="s">
        <v>5726</v>
      </c>
      <c r="BB681" s="2"/>
      <c r="BC681" s="3"/>
      <c r="BD681" s="4"/>
    </row>
    <row r="682" spans="1:56" s="33" customFormat="1" ht="16.8" customHeight="1">
      <c r="A682" s="29">
        <v>681</v>
      </c>
      <c r="B682" s="29" t="s">
        <v>1816</v>
      </c>
      <c r="C682" s="29" t="s">
        <v>2049</v>
      </c>
      <c r="D682" s="29" t="s">
        <v>2633</v>
      </c>
      <c r="E682" s="29" t="s">
        <v>2633</v>
      </c>
      <c r="F682" s="1" t="s">
        <v>2634</v>
      </c>
      <c r="G682" s="1" t="s">
        <v>2635</v>
      </c>
      <c r="H682" s="1" t="s">
        <v>5207</v>
      </c>
      <c r="I682" s="18" t="s">
        <v>4783</v>
      </c>
      <c r="J682" s="18" t="s">
        <v>5074</v>
      </c>
      <c r="K682" s="18" t="s">
        <v>4752</v>
      </c>
      <c r="L682" s="18" t="s">
        <v>4734</v>
      </c>
      <c r="M682" s="30">
        <v>1200000</v>
      </c>
      <c r="N682" s="30">
        <v>1500000</v>
      </c>
      <c r="O682" s="30">
        <v>1500000</v>
      </c>
      <c r="P682" s="2">
        <f t="shared" si="40"/>
        <v>300000</v>
      </c>
      <c r="Q682" s="2"/>
      <c r="R682" s="2"/>
      <c r="S682" s="48"/>
      <c r="T682" s="2">
        <v>14400000</v>
      </c>
      <c r="U682" s="2">
        <v>0</v>
      </c>
      <c r="V682" s="1" t="s">
        <v>2636</v>
      </c>
      <c r="W682" s="6" t="s">
        <v>2637</v>
      </c>
      <c r="X682" s="1" t="s">
        <v>1964</v>
      </c>
      <c r="Y682" s="3">
        <v>1200000</v>
      </c>
      <c r="Z682" s="3">
        <v>1200000</v>
      </c>
      <c r="AA682" s="3">
        <v>1200000</v>
      </c>
      <c r="AB682" s="3">
        <v>1200000</v>
      </c>
      <c r="AC682" s="3">
        <v>1200000</v>
      </c>
      <c r="AD682" s="3">
        <v>1200000</v>
      </c>
      <c r="AE682" s="3">
        <v>1200000</v>
      </c>
      <c r="AF682" s="3">
        <v>1200000</v>
      </c>
      <c r="AG682" s="3">
        <v>1200000</v>
      </c>
      <c r="AH682" s="3">
        <v>1200000</v>
      </c>
      <c r="AI682" s="3">
        <v>1200000</v>
      </c>
      <c r="AJ682" s="3">
        <v>1200000</v>
      </c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>
        <f t="shared" si="41"/>
        <v>14400000</v>
      </c>
      <c r="AX682" s="31">
        <f t="shared" si="42"/>
        <v>0</v>
      </c>
      <c r="AY682" s="32">
        <f t="shared" si="43"/>
        <v>12</v>
      </c>
      <c r="AZ682" s="33">
        <v>0</v>
      </c>
      <c r="BA682" s="4" t="s">
        <v>5726</v>
      </c>
      <c r="BB682" s="30"/>
      <c r="BC682" s="3"/>
      <c r="BD682" s="32"/>
    </row>
    <row r="683" spans="1:56" s="33" customFormat="1" ht="16.8" customHeight="1">
      <c r="A683" s="29">
        <v>682</v>
      </c>
      <c r="B683" s="29" t="s">
        <v>1816</v>
      </c>
      <c r="C683" s="29" t="s">
        <v>2049</v>
      </c>
      <c r="D683" s="29" t="s">
        <v>2638</v>
      </c>
      <c r="E683" s="29" t="s">
        <v>2638</v>
      </c>
      <c r="F683" s="1" t="s">
        <v>2639</v>
      </c>
      <c r="G683" s="1" t="s">
        <v>2640</v>
      </c>
      <c r="H683" s="1" t="s">
        <v>5208</v>
      </c>
      <c r="I683" s="18" t="s">
        <v>4783</v>
      </c>
      <c r="J683" s="18" t="s">
        <v>4783</v>
      </c>
      <c r="K683" s="18" t="s">
        <v>4752</v>
      </c>
      <c r="L683" s="18" t="s">
        <v>4734</v>
      </c>
      <c r="M683" s="30">
        <v>1200000</v>
      </c>
      <c r="N683" s="30">
        <v>1500000</v>
      </c>
      <c r="O683" s="30">
        <v>1500000</v>
      </c>
      <c r="P683" s="2">
        <f t="shared" si="40"/>
        <v>300000</v>
      </c>
      <c r="Q683" s="2"/>
      <c r="R683" s="2"/>
      <c r="S683" s="48"/>
      <c r="T683" s="2">
        <v>14400000</v>
      </c>
      <c r="U683" s="2">
        <v>0</v>
      </c>
      <c r="V683" s="1" t="s">
        <v>2641</v>
      </c>
      <c r="W683" s="6" t="s">
        <v>2642</v>
      </c>
      <c r="X683" s="1" t="s">
        <v>1830</v>
      </c>
      <c r="Y683" s="3">
        <v>1200000</v>
      </c>
      <c r="Z683" s="3">
        <v>1200000</v>
      </c>
      <c r="AA683" s="3">
        <v>1200000</v>
      </c>
      <c r="AB683" s="3">
        <v>1200000</v>
      </c>
      <c r="AC683" s="3">
        <v>1200000</v>
      </c>
      <c r="AD683" s="3">
        <v>1200000</v>
      </c>
      <c r="AE683" s="3">
        <v>1200000</v>
      </c>
      <c r="AF683" s="3">
        <v>1200000</v>
      </c>
      <c r="AG683" s="3">
        <v>1200000</v>
      </c>
      <c r="AH683" s="3">
        <v>1200000</v>
      </c>
      <c r="AI683" s="3">
        <v>1200000</v>
      </c>
      <c r="AJ683" s="3">
        <v>1200000</v>
      </c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>
        <f t="shared" si="41"/>
        <v>14400000</v>
      </c>
      <c r="AX683" s="31">
        <f t="shared" si="42"/>
        <v>0</v>
      </c>
      <c r="AY683" s="32">
        <f t="shared" si="43"/>
        <v>12</v>
      </c>
      <c r="AZ683" s="33" t="s">
        <v>5585</v>
      </c>
      <c r="BA683" s="4" t="s">
        <v>5726</v>
      </c>
      <c r="BB683" s="30"/>
      <c r="BC683" s="3"/>
      <c r="BD683" s="32"/>
    </row>
    <row r="684" spans="1:56" s="33" customFormat="1" ht="16.8" customHeight="1">
      <c r="A684" s="29">
        <v>683</v>
      </c>
      <c r="B684" s="29" t="s">
        <v>1816</v>
      </c>
      <c r="C684" s="29" t="s">
        <v>2049</v>
      </c>
      <c r="D684" s="29" t="s">
        <v>2643</v>
      </c>
      <c r="E684" s="29" t="s">
        <v>2643</v>
      </c>
      <c r="F684" s="1" t="s">
        <v>2644</v>
      </c>
      <c r="G684" s="1" t="s">
        <v>2645</v>
      </c>
      <c r="H684" s="1" t="s">
        <v>5209</v>
      </c>
      <c r="I684" s="18" t="s">
        <v>4783</v>
      </c>
      <c r="J684" s="18" t="s">
        <v>5074</v>
      </c>
      <c r="K684" s="18" t="s">
        <v>4752</v>
      </c>
      <c r="L684" s="18" t="s">
        <v>4734</v>
      </c>
      <c r="M684" s="30">
        <v>1200000</v>
      </c>
      <c r="N684" s="30">
        <v>1500000</v>
      </c>
      <c r="O684" s="30">
        <v>1500000</v>
      </c>
      <c r="P684" s="2">
        <f t="shared" si="40"/>
        <v>300000</v>
      </c>
      <c r="Q684" s="2"/>
      <c r="R684" s="2"/>
      <c r="S684" s="48"/>
      <c r="T684" s="2">
        <v>14400000</v>
      </c>
      <c r="U684" s="2">
        <v>0</v>
      </c>
      <c r="V684" s="1" t="s">
        <v>2646</v>
      </c>
      <c r="W684" s="6" t="s">
        <v>2647</v>
      </c>
      <c r="X684" s="1" t="s">
        <v>1860</v>
      </c>
      <c r="Y684" s="3">
        <v>1200000</v>
      </c>
      <c r="Z684" s="3">
        <v>1200000</v>
      </c>
      <c r="AA684" s="3">
        <v>1200000</v>
      </c>
      <c r="AB684" s="3">
        <v>1200000</v>
      </c>
      <c r="AC684" s="3">
        <v>1200000</v>
      </c>
      <c r="AD684" s="3">
        <v>1200000</v>
      </c>
      <c r="AE684" s="3">
        <v>1200000</v>
      </c>
      <c r="AF684" s="3">
        <v>1200000</v>
      </c>
      <c r="AG684" s="3">
        <v>1200000</v>
      </c>
      <c r="AH684" s="3">
        <v>1200000</v>
      </c>
      <c r="AI684" s="3">
        <v>1200000</v>
      </c>
      <c r="AJ684" s="3">
        <v>1200000</v>
      </c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>
        <f t="shared" si="41"/>
        <v>14400000</v>
      </c>
      <c r="AX684" s="31">
        <f t="shared" si="42"/>
        <v>0</v>
      </c>
      <c r="AY684" s="32">
        <f t="shared" si="43"/>
        <v>12</v>
      </c>
      <c r="AZ684" s="33" t="s">
        <v>5586</v>
      </c>
      <c r="BA684" s="4" t="s">
        <v>5726</v>
      </c>
      <c r="BB684" s="30"/>
      <c r="BC684" s="3"/>
      <c r="BD684" s="32"/>
    </row>
    <row r="685" spans="1:56" ht="16.8" customHeight="1">
      <c r="A685" s="1">
        <v>684</v>
      </c>
      <c r="B685" s="1" t="s">
        <v>1816</v>
      </c>
      <c r="C685" s="1" t="s">
        <v>2049</v>
      </c>
      <c r="D685" s="1" t="s">
        <v>2648</v>
      </c>
      <c r="E685" s="1" t="s">
        <v>2648</v>
      </c>
      <c r="F685" s="1" t="s">
        <v>2649</v>
      </c>
      <c r="G685" s="1" t="s">
        <v>2650</v>
      </c>
      <c r="H685" s="1" t="s">
        <v>5210</v>
      </c>
      <c r="I685" s="18" t="s">
        <v>4783</v>
      </c>
      <c r="J685" s="18" t="s">
        <v>5074</v>
      </c>
      <c r="K685" s="18" t="s">
        <v>4752</v>
      </c>
      <c r="L685" s="18" t="s">
        <v>4734</v>
      </c>
      <c r="M685" s="2">
        <v>2000000</v>
      </c>
      <c r="N685" s="2">
        <v>2000000</v>
      </c>
      <c r="O685" s="2"/>
      <c r="P685" s="2" t="str">
        <f t="shared" si="40"/>
        <v/>
      </c>
      <c r="Q685" s="2"/>
      <c r="R685" s="2"/>
      <c r="S685" s="48"/>
      <c r="T685" s="2">
        <v>24000000</v>
      </c>
      <c r="U685" s="2">
        <v>0</v>
      </c>
      <c r="V685" s="1" t="s">
        <v>2650</v>
      </c>
      <c r="W685" s="6" t="s">
        <v>2651</v>
      </c>
      <c r="X685" s="1" t="s">
        <v>2652</v>
      </c>
      <c r="Y685" s="3">
        <v>2000000</v>
      </c>
      <c r="Z685" s="3">
        <v>2000000</v>
      </c>
      <c r="AA685" s="3">
        <v>2000000</v>
      </c>
      <c r="AB685" s="3">
        <v>2000000</v>
      </c>
      <c r="AC685" s="3">
        <v>2000000</v>
      </c>
      <c r="AD685" s="3">
        <v>2000000</v>
      </c>
      <c r="AE685" s="3">
        <v>2000000</v>
      </c>
      <c r="AF685" s="3">
        <v>2000000</v>
      </c>
      <c r="AG685" s="3">
        <v>2000000</v>
      </c>
      <c r="AH685" s="3">
        <v>2000000</v>
      </c>
      <c r="AI685" s="3">
        <v>2000000</v>
      </c>
      <c r="AJ685" s="3">
        <v>2000000</v>
      </c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>
        <f t="shared" si="41"/>
        <v>24000000</v>
      </c>
      <c r="AX685" s="3">
        <f t="shared" si="42"/>
        <v>0</v>
      </c>
      <c r="AY685" s="4">
        <f t="shared" si="43"/>
        <v>12</v>
      </c>
      <c r="AZ685" s="8">
        <v>0</v>
      </c>
      <c r="BA685" s="4" t="s">
        <v>5726</v>
      </c>
      <c r="BB685" s="2"/>
      <c r="BC685" s="3"/>
      <c r="BD685" s="4"/>
    </row>
    <row r="686" spans="1:56" ht="16.8" customHeight="1">
      <c r="A686" s="1">
        <v>685</v>
      </c>
      <c r="B686" s="1" t="s">
        <v>1816</v>
      </c>
      <c r="C686" s="1" t="s">
        <v>2049</v>
      </c>
      <c r="D686" s="1" t="s">
        <v>2653</v>
      </c>
      <c r="E686" s="1" t="s">
        <v>2653</v>
      </c>
      <c r="F686" s="1" t="s">
        <v>2654</v>
      </c>
      <c r="G686" s="1" t="s">
        <v>2655</v>
      </c>
      <c r="H686" s="1" t="s">
        <v>5043</v>
      </c>
      <c r="I686" s="18"/>
      <c r="J686" s="18"/>
      <c r="K686" s="18"/>
      <c r="L686" s="18"/>
      <c r="M686" s="2">
        <v>1000000</v>
      </c>
      <c r="N686" s="2">
        <v>1000000</v>
      </c>
      <c r="O686" s="2"/>
      <c r="P686" s="2" t="str">
        <f t="shared" si="40"/>
        <v/>
      </c>
      <c r="Q686" s="2"/>
      <c r="R686" s="2"/>
      <c r="S686" s="48"/>
      <c r="T686" s="2">
        <v>0</v>
      </c>
      <c r="U686" s="2">
        <v>0</v>
      </c>
      <c r="V686" s="1"/>
      <c r="W686" s="6"/>
      <c r="X686" s="1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>
        <f t="shared" si="41"/>
        <v>0</v>
      </c>
      <c r="AX686" s="3">
        <f t="shared" si="42"/>
        <v>0</v>
      </c>
      <c r="AY686" s="4">
        <f t="shared" si="43"/>
        <v>0</v>
      </c>
      <c r="BA686" s="4" t="s">
        <v>5726</v>
      </c>
      <c r="BB686" s="2"/>
      <c r="BC686" s="3"/>
      <c r="BD686" s="4"/>
    </row>
    <row r="687" spans="1:56" ht="16.8" customHeight="1">
      <c r="A687" s="1">
        <v>686</v>
      </c>
      <c r="B687" s="1" t="s">
        <v>1816</v>
      </c>
      <c r="C687" s="1" t="s">
        <v>2049</v>
      </c>
      <c r="D687" s="1" t="s">
        <v>2656</v>
      </c>
      <c r="E687" s="1" t="s">
        <v>2656</v>
      </c>
      <c r="F687" s="1" t="s">
        <v>2657</v>
      </c>
      <c r="G687" s="1" t="s">
        <v>2658</v>
      </c>
      <c r="H687" s="1" t="s">
        <v>5043</v>
      </c>
      <c r="I687" s="18"/>
      <c r="J687" s="18"/>
      <c r="K687" s="18"/>
      <c r="L687" s="18"/>
      <c r="M687" s="2">
        <v>1500000</v>
      </c>
      <c r="N687" s="2">
        <v>1500000</v>
      </c>
      <c r="O687" s="2"/>
      <c r="P687" s="2" t="str">
        <f t="shared" si="40"/>
        <v/>
      </c>
      <c r="Q687" s="2"/>
      <c r="R687" s="2"/>
      <c r="S687" s="48"/>
      <c r="T687" s="2">
        <v>0</v>
      </c>
      <c r="U687" s="2">
        <v>0</v>
      </c>
      <c r="V687" s="1"/>
      <c r="W687" s="6"/>
      <c r="X687" s="1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>
        <f t="shared" si="41"/>
        <v>0</v>
      </c>
      <c r="AX687" s="3">
        <f t="shared" si="42"/>
        <v>0</v>
      </c>
      <c r="AY687" s="4">
        <f t="shared" si="43"/>
        <v>0</v>
      </c>
      <c r="BA687" s="4" t="s">
        <v>5726</v>
      </c>
      <c r="BB687" s="2"/>
      <c r="BC687" s="3"/>
      <c r="BD687" s="4"/>
    </row>
    <row r="688" spans="1:56" ht="16.8" customHeight="1">
      <c r="A688" s="1">
        <v>687</v>
      </c>
      <c r="B688" s="1" t="s">
        <v>1816</v>
      </c>
      <c r="C688" s="1" t="s">
        <v>2049</v>
      </c>
      <c r="D688" s="1" t="s">
        <v>2659</v>
      </c>
      <c r="E688" s="1" t="s">
        <v>2659</v>
      </c>
      <c r="F688" s="1" t="s">
        <v>2660</v>
      </c>
      <c r="G688" s="1" t="s">
        <v>2661</v>
      </c>
      <c r="H688" s="1" t="s">
        <v>5211</v>
      </c>
      <c r="I688" s="18">
        <v>45640</v>
      </c>
      <c r="J688" s="18">
        <v>45640</v>
      </c>
      <c r="K688" s="18">
        <v>47466</v>
      </c>
      <c r="L688" s="18" t="s">
        <v>4734</v>
      </c>
      <c r="M688" s="2">
        <v>909091</v>
      </c>
      <c r="N688" s="2">
        <v>909091</v>
      </c>
      <c r="O688" s="2"/>
      <c r="P688" s="2" t="str">
        <f t="shared" si="40"/>
        <v/>
      </c>
      <c r="Q688" s="2"/>
      <c r="R688" s="2"/>
      <c r="S688" s="48"/>
      <c r="T688" s="2">
        <v>12000000</v>
      </c>
      <c r="U688" s="2">
        <v>0</v>
      </c>
      <c r="V688" s="1" t="s">
        <v>2662</v>
      </c>
      <c r="W688" s="6" t="s">
        <v>2663</v>
      </c>
      <c r="X688" s="1" t="s">
        <v>2664</v>
      </c>
      <c r="Y688" s="3">
        <v>909091</v>
      </c>
      <c r="Z688" s="3">
        <v>909091</v>
      </c>
      <c r="AA688" s="3">
        <v>909091</v>
      </c>
      <c r="AB688" s="3">
        <v>909091</v>
      </c>
      <c r="AC688" s="3">
        <v>909091</v>
      </c>
      <c r="AD688" s="3">
        <v>909091</v>
      </c>
      <c r="AE688" s="3">
        <v>909091</v>
      </c>
      <c r="AF688" s="3">
        <v>909091</v>
      </c>
      <c r="AG688" s="3">
        <v>909091</v>
      </c>
      <c r="AH688" s="3">
        <v>909091</v>
      </c>
      <c r="AI688" s="3">
        <v>909091</v>
      </c>
      <c r="AJ688" s="3">
        <v>909090</v>
      </c>
      <c r="AK688" s="3">
        <v>909091</v>
      </c>
      <c r="AL688" s="3">
        <v>909091</v>
      </c>
      <c r="AM688" s="3">
        <v>909091</v>
      </c>
      <c r="AN688" s="3">
        <v>909091</v>
      </c>
      <c r="AO688" s="3">
        <v>909091</v>
      </c>
      <c r="AP688" s="3">
        <v>909091</v>
      </c>
      <c r="AQ688" s="3">
        <v>909091</v>
      </c>
      <c r="AR688" s="3">
        <v>909091</v>
      </c>
      <c r="AS688" s="3">
        <v>909091</v>
      </c>
      <c r="AT688" s="3">
        <v>909091</v>
      </c>
      <c r="AU688" s="3">
        <v>909091</v>
      </c>
      <c r="AV688" s="3">
        <v>909090</v>
      </c>
      <c r="AW688" s="3">
        <f t="shared" si="41"/>
        <v>10909091</v>
      </c>
      <c r="AX688" s="3">
        <f t="shared" si="42"/>
        <v>10909091</v>
      </c>
      <c r="AY688" s="4">
        <f t="shared" si="43"/>
        <v>24</v>
      </c>
      <c r="AZ688" s="8">
        <v>0</v>
      </c>
      <c r="BA688" s="4" t="s">
        <v>5726</v>
      </c>
      <c r="BB688" s="2">
        <v>10909091</v>
      </c>
      <c r="BC688" s="3"/>
      <c r="BD688" s="3"/>
    </row>
    <row r="689" spans="1:56" ht="16.8" customHeight="1">
      <c r="A689" s="1">
        <v>688</v>
      </c>
      <c r="B689" s="1" t="s">
        <v>1816</v>
      </c>
      <c r="C689" s="1" t="s">
        <v>2049</v>
      </c>
      <c r="D689" s="1" t="s">
        <v>2665</v>
      </c>
      <c r="E689" s="1" t="s">
        <v>2665</v>
      </c>
      <c r="F689" s="1" t="s">
        <v>2666</v>
      </c>
      <c r="G689" s="1" t="s">
        <v>2667</v>
      </c>
      <c r="H689" s="1" t="s">
        <v>5212</v>
      </c>
      <c r="I689" s="18" t="s">
        <v>4783</v>
      </c>
      <c r="J689" s="18" t="s">
        <v>5018</v>
      </c>
      <c r="K689" s="18" t="s">
        <v>4877</v>
      </c>
      <c r="L689" s="18" t="s">
        <v>4734</v>
      </c>
      <c r="M689" s="2">
        <v>2000000</v>
      </c>
      <c r="N689" s="2">
        <v>2000000</v>
      </c>
      <c r="O689" s="2"/>
      <c r="P689" s="2" t="str">
        <f t="shared" si="40"/>
        <v/>
      </c>
      <c r="Q689" s="2"/>
      <c r="R689" s="2"/>
      <c r="S689" s="48"/>
      <c r="T689" s="2">
        <v>0</v>
      </c>
      <c r="U689" s="2">
        <v>0</v>
      </c>
      <c r="V689" s="1" t="s">
        <v>2667</v>
      </c>
      <c r="W689" s="6" t="s">
        <v>2668</v>
      </c>
      <c r="X689" s="1" t="s">
        <v>397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>
        <v>2000000</v>
      </c>
      <c r="AL689" s="3">
        <v>2000000</v>
      </c>
      <c r="AM689" s="3">
        <v>2000000</v>
      </c>
      <c r="AN689" s="3">
        <v>2000000</v>
      </c>
      <c r="AO689" s="3">
        <v>2000000</v>
      </c>
      <c r="AP689" s="3">
        <v>2000000</v>
      </c>
      <c r="AQ689" s="3"/>
      <c r="AR689" s="3"/>
      <c r="AS689" s="3"/>
      <c r="AT689" s="3"/>
      <c r="AU689" s="3"/>
      <c r="AV689" s="3"/>
      <c r="AW689" s="3">
        <f t="shared" si="41"/>
        <v>0</v>
      </c>
      <c r="AX689" s="3">
        <f t="shared" si="42"/>
        <v>12000000</v>
      </c>
      <c r="AY689" s="4">
        <f t="shared" si="43"/>
        <v>6</v>
      </c>
      <c r="AZ689" s="8">
        <v>0</v>
      </c>
      <c r="BA689" s="4" t="s">
        <v>5726</v>
      </c>
      <c r="BB689" s="2"/>
      <c r="BC689" s="3"/>
      <c r="BD689" s="3"/>
    </row>
    <row r="690" spans="1:56" ht="16.8" customHeight="1">
      <c r="A690" s="1">
        <v>689</v>
      </c>
      <c r="B690" s="1" t="s">
        <v>1816</v>
      </c>
      <c r="C690" s="1" t="s">
        <v>2049</v>
      </c>
      <c r="D690" s="1" t="s">
        <v>2669</v>
      </c>
      <c r="E690" s="1" t="s">
        <v>2669</v>
      </c>
      <c r="F690" s="1" t="s">
        <v>2670</v>
      </c>
      <c r="G690" s="1" t="s">
        <v>2671</v>
      </c>
      <c r="H690" s="1" t="s">
        <v>5043</v>
      </c>
      <c r="I690" s="18"/>
      <c r="J690" s="18"/>
      <c r="K690" s="18"/>
      <c r="L690" s="18"/>
      <c r="M690" s="2">
        <v>1500000</v>
      </c>
      <c r="N690" s="2">
        <v>1500000</v>
      </c>
      <c r="O690" s="2"/>
      <c r="P690" s="2" t="str">
        <f t="shared" si="40"/>
        <v/>
      </c>
      <c r="Q690" s="2"/>
      <c r="R690" s="2"/>
      <c r="S690" s="48"/>
      <c r="T690" s="2">
        <v>0</v>
      </c>
      <c r="U690" s="2">
        <v>0</v>
      </c>
      <c r="V690" s="1"/>
      <c r="W690" s="6"/>
      <c r="X690" s="1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>
        <f t="shared" si="41"/>
        <v>0</v>
      </c>
      <c r="AX690" s="3">
        <f t="shared" si="42"/>
        <v>0</v>
      </c>
      <c r="AY690" s="4">
        <f t="shared" si="43"/>
        <v>0</v>
      </c>
      <c r="BA690" s="4" t="s">
        <v>5726</v>
      </c>
      <c r="BB690" s="2"/>
      <c r="BC690" s="3"/>
      <c r="BD690" s="4"/>
    </row>
    <row r="691" spans="1:56" ht="16.8" customHeight="1">
      <c r="A691" s="1">
        <v>690</v>
      </c>
      <c r="B691" s="1" t="s">
        <v>1816</v>
      </c>
      <c r="C691" s="1" t="s">
        <v>2049</v>
      </c>
      <c r="D691" s="1" t="s">
        <v>2672</v>
      </c>
      <c r="E691" s="1" t="s">
        <v>2672</v>
      </c>
      <c r="F691" s="1" t="s">
        <v>2673</v>
      </c>
      <c r="G691" s="1" t="s">
        <v>2674</v>
      </c>
      <c r="H691" s="1" t="s">
        <v>5043</v>
      </c>
      <c r="I691" s="18"/>
      <c r="J691" s="18"/>
      <c r="K691" s="18"/>
      <c r="L691" s="18"/>
      <c r="M691" s="2">
        <v>1000000</v>
      </c>
      <c r="N691" s="2">
        <v>1000000</v>
      </c>
      <c r="O691" s="2"/>
      <c r="P691" s="2" t="str">
        <f t="shared" si="40"/>
        <v/>
      </c>
      <c r="Q691" s="2"/>
      <c r="R691" s="2"/>
      <c r="S691" s="48"/>
      <c r="T691" s="2">
        <v>0</v>
      </c>
      <c r="U691" s="2">
        <v>0</v>
      </c>
      <c r="V691" s="1"/>
      <c r="W691" s="6"/>
      <c r="X691" s="1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>
        <f t="shared" si="41"/>
        <v>0</v>
      </c>
      <c r="AX691" s="3">
        <f t="shared" si="42"/>
        <v>0</v>
      </c>
      <c r="AY691" s="4">
        <f t="shared" si="43"/>
        <v>0</v>
      </c>
      <c r="BA691" s="4" t="s">
        <v>5726</v>
      </c>
      <c r="BB691" s="2"/>
      <c r="BC691" s="3"/>
      <c r="BD691" s="4"/>
    </row>
    <row r="692" spans="1:56" ht="16.8" customHeight="1">
      <c r="A692" s="1">
        <v>691</v>
      </c>
      <c r="B692" s="1" t="s">
        <v>1816</v>
      </c>
      <c r="C692" s="1" t="s">
        <v>2049</v>
      </c>
      <c r="D692" s="1" t="s">
        <v>2675</v>
      </c>
      <c r="E692" s="1" t="s">
        <v>2675</v>
      </c>
      <c r="F692" s="1" t="s">
        <v>2676</v>
      </c>
      <c r="G692" s="1" t="s">
        <v>2677</v>
      </c>
      <c r="H692" s="1" t="s">
        <v>5043</v>
      </c>
      <c r="I692" s="18"/>
      <c r="J692" s="18"/>
      <c r="K692" s="18"/>
      <c r="L692" s="18"/>
      <c r="M692" s="2">
        <v>1500000</v>
      </c>
      <c r="N692" s="2">
        <v>1500000</v>
      </c>
      <c r="O692" s="2"/>
      <c r="P692" s="2" t="str">
        <f t="shared" si="40"/>
        <v/>
      </c>
      <c r="Q692" s="2"/>
      <c r="R692" s="2"/>
      <c r="S692" s="48"/>
      <c r="T692" s="2">
        <v>0</v>
      </c>
      <c r="U692" s="2">
        <v>0</v>
      </c>
      <c r="V692" s="1"/>
      <c r="W692" s="6"/>
      <c r="X692" s="1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>
        <f t="shared" si="41"/>
        <v>0</v>
      </c>
      <c r="AX692" s="3">
        <f t="shared" si="42"/>
        <v>0</v>
      </c>
      <c r="AY692" s="4">
        <f t="shared" si="43"/>
        <v>0</v>
      </c>
      <c r="BA692" s="4" t="s">
        <v>5726</v>
      </c>
      <c r="BB692" s="2"/>
      <c r="BC692" s="3"/>
      <c r="BD692" s="4"/>
    </row>
    <row r="693" spans="1:56" ht="16.8" customHeight="1">
      <c r="A693" s="1">
        <v>692</v>
      </c>
      <c r="B693" s="1" t="s">
        <v>1816</v>
      </c>
      <c r="C693" s="1" t="s">
        <v>2049</v>
      </c>
      <c r="D693" s="1" t="s">
        <v>2678</v>
      </c>
      <c r="E693" s="1" t="s">
        <v>2678</v>
      </c>
      <c r="F693" s="1" t="s">
        <v>2679</v>
      </c>
      <c r="G693" s="1" t="s">
        <v>2680</v>
      </c>
      <c r="H693" s="1" t="s">
        <v>5043</v>
      </c>
      <c r="I693" s="18"/>
      <c r="J693" s="18"/>
      <c r="K693" s="18"/>
      <c r="L693" s="18"/>
      <c r="M693" s="2">
        <v>2000000</v>
      </c>
      <c r="N693" s="2">
        <v>2000000</v>
      </c>
      <c r="O693" s="2"/>
      <c r="P693" s="2" t="str">
        <f t="shared" si="40"/>
        <v/>
      </c>
      <c r="Q693" s="2"/>
      <c r="R693" s="2"/>
      <c r="S693" s="48"/>
      <c r="T693" s="2">
        <v>0</v>
      </c>
      <c r="U693" s="2">
        <v>0</v>
      </c>
      <c r="V693" s="1"/>
      <c r="W693" s="6"/>
      <c r="X693" s="1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>
        <f t="shared" si="41"/>
        <v>0</v>
      </c>
      <c r="AX693" s="3">
        <f t="shared" si="42"/>
        <v>0</v>
      </c>
      <c r="AY693" s="4">
        <f t="shared" si="43"/>
        <v>0</v>
      </c>
      <c r="BA693" s="4" t="s">
        <v>5726</v>
      </c>
      <c r="BB693" s="2"/>
      <c r="BC693" s="3"/>
      <c r="BD693" s="4"/>
    </row>
    <row r="694" spans="1:56" ht="16.8" customHeight="1">
      <c r="A694" s="1">
        <v>693</v>
      </c>
      <c r="B694" s="1" t="s">
        <v>1816</v>
      </c>
      <c r="C694" s="1" t="s">
        <v>2049</v>
      </c>
      <c r="D694" s="1" t="s">
        <v>2681</v>
      </c>
      <c r="E694" s="1" t="s">
        <v>2681</v>
      </c>
      <c r="F694" s="1" t="s">
        <v>2682</v>
      </c>
      <c r="G694" s="1" t="s">
        <v>2683</v>
      </c>
      <c r="H694" s="1" t="s">
        <v>5043</v>
      </c>
      <c r="I694" s="18"/>
      <c r="J694" s="18"/>
      <c r="K694" s="18"/>
      <c r="L694" s="18"/>
      <c r="M694" s="2">
        <v>2000000</v>
      </c>
      <c r="N694" s="2">
        <v>2000000</v>
      </c>
      <c r="O694" s="2"/>
      <c r="P694" s="2" t="str">
        <f t="shared" si="40"/>
        <v/>
      </c>
      <c r="Q694" s="2"/>
      <c r="R694" s="2"/>
      <c r="S694" s="48"/>
      <c r="T694" s="2">
        <v>0</v>
      </c>
      <c r="U694" s="2">
        <v>0</v>
      </c>
      <c r="V694" s="1"/>
      <c r="W694" s="6"/>
      <c r="X694" s="1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>
        <f t="shared" si="41"/>
        <v>0</v>
      </c>
      <c r="AX694" s="3">
        <f t="shared" si="42"/>
        <v>0</v>
      </c>
      <c r="AY694" s="4">
        <f t="shared" si="43"/>
        <v>0</v>
      </c>
      <c r="BA694" s="4" t="s">
        <v>5726</v>
      </c>
      <c r="BB694" s="2"/>
      <c r="BC694" s="3"/>
      <c r="BD694" s="4"/>
    </row>
    <row r="695" spans="1:56" ht="16.8" customHeight="1">
      <c r="A695" s="1">
        <v>694</v>
      </c>
      <c r="B695" s="1" t="s">
        <v>1816</v>
      </c>
      <c r="C695" s="1" t="s">
        <v>2049</v>
      </c>
      <c r="D695" s="1" t="s">
        <v>2684</v>
      </c>
      <c r="E695" s="1" t="s">
        <v>2684</v>
      </c>
      <c r="F695" s="1" t="s">
        <v>2685</v>
      </c>
      <c r="G695" s="1" t="s">
        <v>2686</v>
      </c>
      <c r="H695" s="1" t="s">
        <v>5043</v>
      </c>
      <c r="I695" s="18"/>
      <c r="J695" s="18"/>
      <c r="K695" s="18"/>
      <c r="L695" s="18"/>
      <c r="M695" s="2">
        <v>1666667</v>
      </c>
      <c r="N695" s="2">
        <v>1666667</v>
      </c>
      <c r="O695" s="2"/>
      <c r="P695" s="2" t="str">
        <f t="shared" si="40"/>
        <v/>
      </c>
      <c r="Q695" s="2"/>
      <c r="R695" s="2"/>
      <c r="S695" s="48"/>
      <c r="T695" s="2">
        <v>0</v>
      </c>
      <c r="U695" s="2">
        <v>0</v>
      </c>
      <c r="V695" s="1"/>
      <c r="W695" s="6"/>
      <c r="X695" s="1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>
        <f t="shared" si="41"/>
        <v>0</v>
      </c>
      <c r="AX695" s="3">
        <f t="shared" si="42"/>
        <v>0</v>
      </c>
      <c r="AY695" s="4">
        <f t="shared" si="43"/>
        <v>0</v>
      </c>
      <c r="BA695" s="4" t="s">
        <v>5726</v>
      </c>
      <c r="BB695" s="2"/>
      <c r="BC695" s="3"/>
      <c r="BD695" s="4"/>
    </row>
    <row r="696" spans="1:56" ht="16.8" customHeight="1">
      <c r="A696" s="1">
        <v>695</v>
      </c>
      <c r="B696" s="1" t="s">
        <v>1816</v>
      </c>
      <c r="C696" s="1" t="s">
        <v>2049</v>
      </c>
      <c r="D696" s="1" t="s">
        <v>2687</v>
      </c>
      <c r="E696" s="1" t="s">
        <v>2687</v>
      </c>
      <c r="F696" s="1" t="s">
        <v>2688</v>
      </c>
      <c r="G696" s="1" t="s">
        <v>2689</v>
      </c>
      <c r="H696" s="1" t="s">
        <v>5043</v>
      </c>
      <c r="I696" s="18"/>
      <c r="J696" s="18"/>
      <c r="K696" s="18"/>
      <c r="L696" s="18"/>
      <c r="M696" s="2">
        <v>4000000</v>
      </c>
      <c r="N696" s="2">
        <v>4000000</v>
      </c>
      <c r="O696" s="2"/>
      <c r="P696" s="2" t="str">
        <f t="shared" si="40"/>
        <v/>
      </c>
      <c r="Q696" s="2"/>
      <c r="R696" s="2"/>
      <c r="S696" s="48"/>
      <c r="T696" s="2">
        <v>0</v>
      </c>
      <c r="U696" s="2">
        <v>0</v>
      </c>
      <c r="V696" s="1"/>
      <c r="W696" s="6"/>
      <c r="X696" s="1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>
        <f t="shared" si="41"/>
        <v>0</v>
      </c>
      <c r="AX696" s="3">
        <f t="shared" si="42"/>
        <v>0</v>
      </c>
      <c r="AY696" s="4">
        <f t="shared" si="43"/>
        <v>0</v>
      </c>
      <c r="BA696" s="4" t="s">
        <v>5726</v>
      </c>
      <c r="BB696" s="2"/>
      <c r="BC696" s="3"/>
      <c r="BD696" s="4"/>
    </row>
    <row r="697" spans="1:56" ht="16.8" customHeight="1">
      <c r="A697" s="1">
        <v>696</v>
      </c>
      <c r="B697" s="1" t="s">
        <v>1816</v>
      </c>
      <c r="C697" s="1" t="s">
        <v>2049</v>
      </c>
      <c r="D697" s="1" t="s">
        <v>2690</v>
      </c>
      <c r="E697" s="1" t="s">
        <v>2690</v>
      </c>
      <c r="F697" s="1" t="s">
        <v>2691</v>
      </c>
      <c r="G697" s="1" t="s">
        <v>162</v>
      </c>
      <c r="H697" s="1" t="s">
        <v>5213</v>
      </c>
      <c r="I697" s="18" t="s">
        <v>4783</v>
      </c>
      <c r="J697" s="18" t="s">
        <v>5018</v>
      </c>
      <c r="K697" s="18" t="s">
        <v>5214</v>
      </c>
      <c r="L697" s="18" t="s">
        <v>4734</v>
      </c>
      <c r="M697" s="2">
        <v>3500000</v>
      </c>
      <c r="N697" s="2">
        <v>3500000</v>
      </c>
      <c r="O697" s="2"/>
      <c r="P697" s="2" t="str">
        <f t="shared" si="40"/>
        <v/>
      </c>
      <c r="Q697" s="2"/>
      <c r="R697" s="2"/>
      <c r="S697" s="48"/>
      <c r="T697" s="2">
        <v>0</v>
      </c>
      <c r="U697" s="2">
        <v>0</v>
      </c>
      <c r="V697" s="1" t="s">
        <v>162</v>
      </c>
      <c r="W697" s="6" t="s">
        <v>2692</v>
      </c>
      <c r="X697" s="1" t="s">
        <v>1879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>
        <v>3500000</v>
      </c>
      <c r="AL697" s="3">
        <v>3500000</v>
      </c>
      <c r="AM697" s="3">
        <v>3500000</v>
      </c>
      <c r="AN697" s="3">
        <v>3500000</v>
      </c>
      <c r="AO697" s="3">
        <v>3500000</v>
      </c>
      <c r="AP697" s="3">
        <v>3500000</v>
      </c>
      <c r="AQ697" s="3">
        <v>3500000</v>
      </c>
      <c r="AR697" s="3">
        <v>3500000</v>
      </c>
      <c r="AS697" s="3">
        <v>3500000</v>
      </c>
      <c r="AT697" s="3">
        <v>3500000</v>
      </c>
      <c r="AU697" s="3">
        <v>3500000</v>
      </c>
      <c r="AV697" s="3">
        <v>3500000</v>
      </c>
      <c r="AW697" s="3">
        <f t="shared" si="41"/>
        <v>0</v>
      </c>
      <c r="AX697" s="3">
        <f t="shared" si="42"/>
        <v>42000000</v>
      </c>
      <c r="AY697" s="4">
        <f t="shared" si="43"/>
        <v>12</v>
      </c>
      <c r="AZ697" s="8">
        <v>0</v>
      </c>
      <c r="BA697" s="4" t="s">
        <v>5726</v>
      </c>
      <c r="BB697" s="2">
        <v>42000000</v>
      </c>
      <c r="BC697" s="3"/>
      <c r="BD697" s="3"/>
    </row>
    <row r="698" spans="1:56" ht="16.8" customHeight="1">
      <c r="A698" s="1">
        <v>697</v>
      </c>
      <c r="B698" s="1" t="s">
        <v>1816</v>
      </c>
      <c r="C698" s="1" t="s">
        <v>2049</v>
      </c>
      <c r="D698" s="1" t="s">
        <v>2693</v>
      </c>
      <c r="E698" s="1" t="s">
        <v>2693</v>
      </c>
      <c r="F698" s="1" t="s">
        <v>2694</v>
      </c>
      <c r="G698" s="1" t="s">
        <v>2695</v>
      </c>
      <c r="H698" s="1" t="s">
        <v>5043</v>
      </c>
      <c r="I698" s="18"/>
      <c r="J698" s="18"/>
      <c r="K698" s="18"/>
      <c r="L698" s="18"/>
      <c r="M698" s="17">
        <v>3000000</v>
      </c>
      <c r="N698" s="17">
        <v>3500000</v>
      </c>
      <c r="O698" s="2">
        <v>3500000</v>
      </c>
      <c r="P698" s="2">
        <f t="shared" si="40"/>
        <v>500000</v>
      </c>
      <c r="Q698" s="2"/>
      <c r="R698" s="2"/>
      <c r="S698" s="48"/>
      <c r="T698" s="2">
        <v>0</v>
      </c>
      <c r="U698" s="2">
        <v>0</v>
      </c>
      <c r="V698" s="1"/>
      <c r="W698" s="6"/>
      <c r="X698" s="1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>
        <v>3500000</v>
      </c>
      <c r="AL698" s="3">
        <v>3500000</v>
      </c>
      <c r="AM698" s="3">
        <v>3500000</v>
      </c>
      <c r="AN698" s="3">
        <v>3500000</v>
      </c>
      <c r="AO698" s="3">
        <v>3500000</v>
      </c>
      <c r="AP698" s="3">
        <v>3500000</v>
      </c>
      <c r="AQ698" s="3">
        <v>3500000</v>
      </c>
      <c r="AR698" s="3">
        <v>3500000</v>
      </c>
      <c r="AS698" s="3">
        <v>3500000</v>
      </c>
      <c r="AT698" s="3">
        <v>3500000</v>
      </c>
      <c r="AU698" s="3">
        <v>3500000</v>
      </c>
      <c r="AV698" s="3">
        <v>3500000</v>
      </c>
      <c r="AW698" s="3">
        <f t="shared" si="41"/>
        <v>0</v>
      </c>
      <c r="AX698" s="3">
        <f t="shared" si="42"/>
        <v>42000000</v>
      </c>
      <c r="AY698" s="4">
        <f t="shared" si="43"/>
        <v>12</v>
      </c>
      <c r="BA698" s="4" t="s">
        <v>5714</v>
      </c>
      <c r="BB698" s="2"/>
      <c r="BC698" s="3"/>
      <c r="BD698" s="3"/>
    </row>
    <row r="699" spans="1:56" ht="16.8" customHeight="1">
      <c r="A699" s="1">
        <v>698</v>
      </c>
      <c r="B699" s="1" t="s">
        <v>1816</v>
      </c>
      <c r="C699" s="1" t="s">
        <v>2049</v>
      </c>
      <c r="D699" s="1" t="s">
        <v>2696</v>
      </c>
      <c r="E699" s="1" t="s">
        <v>2696</v>
      </c>
      <c r="F699" s="1" t="s">
        <v>2697</v>
      </c>
      <c r="G699" s="1" t="s">
        <v>2698</v>
      </c>
      <c r="H699" s="1" t="s">
        <v>5043</v>
      </c>
      <c r="I699" s="18"/>
      <c r="J699" s="18"/>
      <c r="K699" s="18"/>
      <c r="L699" s="18"/>
      <c r="M699" s="2">
        <v>5000000</v>
      </c>
      <c r="N699" s="2">
        <v>5000000</v>
      </c>
      <c r="O699" s="2"/>
      <c r="P699" s="2" t="str">
        <f t="shared" si="40"/>
        <v/>
      </c>
      <c r="Q699" s="2"/>
      <c r="R699" s="2"/>
      <c r="S699" s="48"/>
      <c r="T699" s="2">
        <v>0</v>
      </c>
      <c r="U699" s="2">
        <v>0</v>
      </c>
      <c r="V699" s="1"/>
      <c r="W699" s="6"/>
      <c r="X699" s="1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>
        <v>5500000</v>
      </c>
      <c r="AL699" s="3">
        <v>5500000</v>
      </c>
      <c r="AM699" s="3">
        <v>5500000</v>
      </c>
      <c r="AN699" s="3">
        <v>5500000</v>
      </c>
      <c r="AO699" s="3">
        <v>5500000</v>
      </c>
      <c r="AP699" s="3">
        <v>5500000</v>
      </c>
      <c r="AQ699" s="3"/>
      <c r="AR699" s="3"/>
      <c r="AS699" s="3"/>
      <c r="AT699" s="3"/>
      <c r="AU699" s="3"/>
      <c r="AV699" s="3"/>
      <c r="AW699" s="3">
        <f t="shared" si="41"/>
        <v>0</v>
      </c>
      <c r="AX699" s="3">
        <f t="shared" si="42"/>
        <v>33000000</v>
      </c>
      <c r="AY699" s="4">
        <f t="shared" si="43"/>
        <v>6</v>
      </c>
      <c r="AZ699" s="8" t="s">
        <v>5720</v>
      </c>
      <c r="BA699" s="4" t="s">
        <v>5715</v>
      </c>
      <c r="BB699" s="2"/>
      <c r="BC699" s="3"/>
      <c r="BD699" s="3"/>
    </row>
    <row r="700" spans="1:56" ht="16.8" customHeight="1">
      <c r="A700" s="1">
        <v>699</v>
      </c>
      <c r="B700" s="1" t="s">
        <v>1816</v>
      </c>
      <c r="C700" s="1" t="s">
        <v>2049</v>
      </c>
      <c r="D700" s="1" t="s">
        <v>2699</v>
      </c>
      <c r="E700" s="1" t="s">
        <v>2699</v>
      </c>
      <c r="F700" s="1" t="s">
        <v>2700</v>
      </c>
      <c r="G700" s="1" t="s">
        <v>2701</v>
      </c>
      <c r="H700" s="1" t="s">
        <v>5043</v>
      </c>
      <c r="I700" s="18"/>
      <c r="J700" s="18"/>
      <c r="K700" s="18"/>
      <c r="L700" s="18"/>
      <c r="M700" s="2">
        <v>6000000</v>
      </c>
      <c r="N700" s="2">
        <v>6000000</v>
      </c>
      <c r="O700" s="2"/>
      <c r="P700" s="2" t="str">
        <f t="shared" si="40"/>
        <v/>
      </c>
      <c r="Q700" s="2"/>
      <c r="R700" s="2"/>
      <c r="S700" s="48"/>
      <c r="T700" s="2">
        <v>0</v>
      </c>
      <c r="U700" s="2">
        <v>0</v>
      </c>
      <c r="V700" s="1"/>
      <c r="W700" s="6"/>
      <c r="X700" s="1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>
        <f t="shared" si="41"/>
        <v>0</v>
      </c>
      <c r="AX700" s="3">
        <f t="shared" si="42"/>
        <v>0</v>
      </c>
      <c r="AY700" s="4">
        <f t="shared" si="43"/>
        <v>0</v>
      </c>
      <c r="BA700" s="4" t="s">
        <v>5726</v>
      </c>
      <c r="BB700" s="2"/>
      <c r="BC700" s="3"/>
      <c r="BD700" s="4"/>
    </row>
    <row r="701" spans="1:56" ht="16.8" customHeight="1">
      <c r="A701" s="1">
        <v>700</v>
      </c>
      <c r="B701" s="1" t="s">
        <v>1816</v>
      </c>
      <c r="C701" s="1" t="s">
        <v>2049</v>
      </c>
      <c r="D701" s="1" t="s">
        <v>2702</v>
      </c>
      <c r="E701" s="1" t="s">
        <v>2702</v>
      </c>
      <c r="F701" s="1" t="s">
        <v>2703</v>
      </c>
      <c r="G701" s="1" t="s">
        <v>2704</v>
      </c>
      <c r="H701" s="1" t="s">
        <v>5043</v>
      </c>
      <c r="I701" s="18"/>
      <c r="J701" s="18"/>
      <c r="K701" s="18"/>
      <c r="L701" s="18"/>
      <c r="M701" s="2">
        <v>4000000</v>
      </c>
      <c r="N701" s="2">
        <v>4000000</v>
      </c>
      <c r="O701" s="2"/>
      <c r="P701" s="2" t="str">
        <f t="shared" si="40"/>
        <v/>
      </c>
      <c r="Q701" s="2"/>
      <c r="R701" s="2"/>
      <c r="S701" s="48"/>
      <c r="T701" s="2">
        <v>0</v>
      </c>
      <c r="U701" s="2">
        <v>0</v>
      </c>
      <c r="V701" s="1"/>
      <c r="W701" s="6"/>
      <c r="X701" s="1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>
        <f t="shared" si="41"/>
        <v>0</v>
      </c>
      <c r="AX701" s="3">
        <f t="shared" si="42"/>
        <v>0</v>
      </c>
      <c r="AY701" s="4">
        <f t="shared" si="43"/>
        <v>0</v>
      </c>
      <c r="BA701" s="4" t="s">
        <v>5726</v>
      </c>
      <c r="BB701" s="2"/>
      <c r="BC701" s="3"/>
      <c r="BD701" s="4"/>
    </row>
    <row r="702" spans="1:56" ht="16.8" customHeight="1">
      <c r="A702" s="1">
        <v>701</v>
      </c>
      <c r="B702" s="1" t="s">
        <v>1816</v>
      </c>
      <c r="C702" s="1" t="s">
        <v>2049</v>
      </c>
      <c r="D702" s="1" t="s">
        <v>2705</v>
      </c>
      <c r="E702" s="1" t="s">
        <v>2705</v>
      </c>
      <c r="F702" s="1" t="s">
        <v>2706</v>
      </c>
      <c r="G702" s="1" t="s">
        <v>2707</v>
      </c>
      <c r="H702" s="1" t="s">
        <v>5215</v>
      </c>
      <c r="I702" s="18" t="s">
        <v>4783</v>
      </c>
      <c r="J702" s="18" t="s">
        <v>5018</v>
      </c>
      <c r="K702" s="18" t="s">
        <v>4737</v>
      </c>
      <c r="L702" s="18" t="s">
        <v>4734</v>
      </c>
      <c r="M702" s="2">
        <v>4000000</v>
      </c>
      <c r="N702" s="2">
        <v>4000000</v>
      </c>
      <c r="O702" s="2"/>
      <c r="P702" s="2" t="str">
        <f t="shared" si="40"/>
        <v/>
      </c>
      <c r="Q702" s="2"/>
      <c r="R702" s="2"/>
      <c r="S702" s="48"/>
      <c r="T702" s="2">
        <v>0</v>
      </c>
      <c r="U702" s="2">
        <v>0</v>
      </c>
      <c r="V702" s="1" t="s">
        <v>2708</v>
      </c>
      <c r="W702" s="6" t="s">
        <v>2709</v>
      </c>
      <c r="X702" s="1" t="s">
        <v>1222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>
        <v>4000000</v>
      </c>
      <c r="AL702" s="3">
        <v>4000000</v>
      </c>
      <c r="AM702" s="3">
        <v>4000000</v>
      </c>
      <c r="AN702" s="3">
        <v>4000000</v>
      </c>
      <c r="AO702" s="3">
        <v>4000000</v>
      </c>
      <c r="AP702" s="3">
        <v>4000000</v>
      </c>
      <c r="AQ702" s="3"/>
      <c r="AR702" s="3"/>
      <c r="AS702" s="3"/>
      <c r="AT702" s="3"/>
      <c r="AU702" s="3"/>
      <c r="AV702" s="3"/>
      <c r="AW702" s="3">
        <f t="shared" si="41"/>
        <v>0</v>
      </c>
      <c r="AX702" s="3">
        <f t="shared" si="42"/>
        <v>24000000</v>
      </c>
      <c r="AY702" s="4">
        <f t="shared" si="43"/>
        <v>6</v>
      </c>
      <c r="AZ702" s="8" t="s">
        <v>5587</v>
      </c>
      <c r="BA702" s="4" t="s">
        <v>5726</v>
      </c>
      <c r="BB702" s="2"/>
      <c r="BC702" s="3"/>
      <c r="BD702" s="3"/>
    </row>
    <row r="703" spans="1:56" ht="16.8" customHeight="1">
      <c r="A703" s="1">
        <v>702</v>
      </c>
      <c r="B703" s="1" t="s">
        <v>1816</v>
      </c>
      <c r="C703" s="1" t="s">
        <v>2049</v>
      </c>
      <c r="D703" s="1" t="s">
        <v>2710</v>
      </c>
      <c r="E703" s="1" t="s">
        <v>2710</v>
      </c>
      <c r="F703" s="1" t="s">
        <v>2711</v>
      </c>
      <c r="G703" s="1" t="s">
        <v>2712</v>
      </c>
      <c r="H703" s="1" t="s">
        <v>5216</v>
      </c>
      <c r="I703" s="18" t="s">
        <v>5131</v>
      </c>
      <c r="J703" s="18" t="s">
        <v>5074</v>
      </c>
      <c r="K703" s="18" t="s">
        <v>4886</v>
      </c>
      <c r="L703" s="18" t="s">
        <v>4734</v>
      </c>
      <c r="M703" s="2">
        <v>4000000</v>
      </c>
      <c r="N703" s="2">
        <v>4000000</v>
      </c>
      <c r="O703" s="2"/>
      <c r="P703" s="2" t="str">
        <f t="shared" si="40"/>
        <v/>
      </c>
      <c r="Q703" s="2"/>
      <c r="R703" s="2"/>
      <c r="S703" s="48"/>
      <c r="T703" s="2">
        <v>48000000</v>
      </c>
      <c r="U703" s="2">
        <v>0</v>
      </c>
      <c r="V703" s="1" t="s">
        <v>2712</v>
      </c>
      <c r="W703" s="6" t="s">
        <v>2713</v>
      </c>
      <c r="X703" s="1" t="s">
        <v>324</v>
      </c>
      <c r="Y703" s="3">
        <v>4000000</v>
      </c>
      <c r="Z703" s="3">
        <v>4000000</v>
      </c>
      <c r="AA703" s="3">
        <v>4000000</v>
      </c>
      <c r="AB703" s="3">
        <v>4000000</v>
      </c>
      <c r="AC703" s="3">
        <v>4000000</v>
      </c>
      <c r="AD703" s="3">
        <v>4000000</v>
      </c>
      <c r="AE703" s="3">
        <v>4000000</v>
      </c>
      <c r="AF703" s="3">
        <v>4000000</v>
      </c>
      <c r="AG703" s="3">
        <v>4000000</v>
      </c>
      <c r="AH703" s="3">
        <v>4000000</v>
      </c>
      <c r="AI703" s="3">
        <v>4000000</v>
      </c>
      <c r="AJ703" s="3">
        <v>4000000</v>
      </c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>
        <f t="shared" si="41"/>
        <v>48000000</v>
      </c>
      <c r="AX703" s="3">
        <f t="shared" si="42"/>
        <v>0</v>
      </c>
      <c r="AY703" s="4">
        <f t="shared" si="43"/>
        <v>12</v>
      </c>
      <c r="AZ703" s="8">
        <v>0</v>
      </c>
      <c r="BA703" s="4" t="s">
        <v>5726</v>
      </c>
      <c r="BB703" s="2"/>
      <c r="BC703" s="3"/>
      <c r="BD703" s="4"/>
    </row>
    <row r="704" spans="1:56" ht="16.8" customHeight="1">
      <c r="A704" s="1">
        <v>703</v>
      </c>
      <c r="B704" s="1" t="s">
        <v>1816</v>
      </c>
      <c r="C704" s="1" t="s">
        <v>2049</v>
      </c>
      <c r="D704" s="1" t="s">
        <v>2714</v>
      </c>
      <c r="E704" s="1" t="s">
        <v>2714</v>
      </c>
      <c r="F704" s="1" t="s">
        <v>2715</v>
      </c>
      <c r="G704" s="1" t="s">
        <v>2716</v>
      </c>
      <c r="H704" s="1" t="s">
        <v>5043</v>
      </c>
      <c r="I704" s="18"/>
      <c r="J704" s="18"/>
      <c r="K704" s="18"/>
      <c r="L704" s="18"/>
      <c r="M704" s="2">
        <v>4000000</v>
      </c>
      <c r="N704" s="2">
        <v>5000000</v>
      </c>
      <c r="O704" s="2">
        <v>5000000</v>
      </c>
      <c r="P704" s="2">
        <f t="shared" si="40"/>
        <v>1000000</v>
      </c>
      <c r="Q704" s="2"/>
      <c r="R704" s="2"/>
      <c r="S704" s="48"/>
      <c r="T704" s="2">
        <v>0</v>
      </c>
      <c r="U704" s="2">
        <v>0</v>
      </c>
      <c r="V704" s="1"/>
      <c r="W704" s="6"/>
      <c r="X704" s="1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>
        <f t="shared" si="41"/>
        <v>0</v>
      </c>
      <c r="AX704" s="3">
        <f t="shared" si="42"/>
        <v>0</v>
      </c>
      <c r="AY704" s="4">
        <f t="shared" si="43"/>
        <v>0</v>
      </c>
      <c r="BA704" s="4" t="s">
        <v>5726</v>
      </c>
      <c r="BB704" s="2"/>
      <c r="BC704" s="3"/>
      <c r="BD704" s="4"/>
    </row>
    <row r="705" spans="1:56" ht="16.8" customHeight="1">
      <c r="A705" s="1">
        <v>704</v>
      </c>
      <c r="B705" s="1" t="s">
        <v>1816</v>
      </c>
      <c r="C705" s="1" t="s">
        <v>2049</v>
      </c>
      <c r="D705" s="1" t="s">
        <v>2717</v>
      </c>
      <c r="E705" s="1" t="s">
        <v>2717</v>
      </c>
      <c r="F705" s="1" t="s">
        <v>2718</v>
      </c>
      <c r="G705" s="1" t="s">
        <v>2719</v>
      </c>
      <c r="H705" s="1" t="s">
        <v>5043</v>
      </c>
      <c r="I705" s="18"/>
      <c r="J705" s="18"/>
      <c r="K705" s="18"/>
      <c r="L705" s="18"/>
      <c r="M705" s="2">
        <v>3967500</v>
      </c>
      <c r="N705" s="2">
        <v>3967500</v>
      </c>
      <c r="O705" s="2"/>
      <c r="P705" s="2" t="str">
        <f t="shared" si="40"/>
        <v/>
      </c>
      <c r="Q705" s="2">
        <v>4761000</v>
      </c>
      <c r="R705" s="2"/>
      <c r="S705" s="48">
        <v>46028</v>
      </c>
      <c r="T705" s="2">
        <v>0</v>
      </c>
      <c r="U705" s="2">
        <v>0</v>
      </c>
      <c r="V705" s="1"/>
      <c r="W705" s="6"/>
      <c r="X705" s="1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>
        <f t="shared" si="41"/>
        <v>0</v>
      </c>
      <c r="AX705" s="3">
        <f t="shared" si="42"/>
        <v>0</v>
      </c>
      <c r="AY705" s="4">
        <f t="shared" si="43"/>
        <v>0</v>
      </c>
      <c r="BA705" s="4" t="s">
        <v>5726</v>
      </c>
      <c r="BB705" s="2"/>
      <c r="BC705" s="3"/>
      <c r="BD705" s="4"/>
    </row>
    <row r="706" spans="1:56" ht="16.8" customHeight="1">
      <c r="A706" s="1">
        <v>705</v>
      </c>
      <c r="B706" s="1" t="s">
        <v>1816</v>
      </c>
      <c r="C706" s="1" t="s">
        <v>2049</v>
      </c>
      <c r="D706" s="1" t="s">
        <v>2720</v>
      </c>
      <c r="E706" s="1" t="s">
        <v>2720</v>
      </c>
      <c r="F706" s="1" t="s">
        <v>2721</v>
      </c>
      <c r="G706" s="1" t="s">
        <v>2722</v>
      </c>
      <c r="H706" s="1" t="s">
        <v>5043</v>
      </c>
      <c r="I706" s="18"/>
      <c r="J706" s="18"/>
      <c r="K706" s="18"/>
      <c r="L706" s="18"/>
      <c r="M706" s="2">
        <v>3000000</v>
      </c>
      <c r="N706" s="2">
        <v>3000000</v>
      </c>
      <c r="O706" s="2"/>
      <c r="P706" s="2" t="str">
        <f t="shared" ref="P706:P769" si="44">IF(OR(M706="",N706="",M706=N706),"",N706-M706)</f>
        <v/>
      </c>
      <c r="Q706" s="2"/>
      <c r="R706" s="2"/>
      <c r="S706" s="48"/>
      <c r="T706" s="2">
        <v>0</v>
      </c>
      <c r="U706" s="2">
        <v>0</v>
      </c>
      <c r="V706" s="1"/>
      <c r="W706" s="6"/>
      <c r="X706" s="1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>
        <f t="shared" ref="AW706:AW769" si="45">SUM(Y706:AJ706)</f>
        <v>0</v>
      </c>
      <c r="AX706" s="3">
        <f t="shared" ref="AX706:AX769" si="46">SUM(AK706:AV706)</f>
        <v>0</v>
      </c>
      <c r="AY706" s="4">
        <f t="shared" ref="AY706:AY769" si="47">COUNT(Y706:AV706)</f>
        <v>0</v>
      </c>
      <c r="BA706" s="4" t="s">
        <v>5726</v>
      </c>
      <c r="BB706" s="2"/>
      <c r="BC706" s="3"/>
      <c r="BD706" s="4"/>
    </row>
    <row r="707" spans="1:56" ht="16.8" customHeight="1">
      <c r="A707" s="1">
        <v>706</v>
      </c>
      <c r="B707" s="1" t="s">
        <v>1816</v>
      </c>
      <c r="C707" s="1" t="s">
        <v>2049</v>
      </c>
      <c r="D707" s="1" t="s">
        <v>2723</v>
      </c>
      <c r="E707" s="1" t="s">
        <v>2723</v>
      </c>
      <c r="F707" s="1" t="s">
        <v>2724</v>
      </c>
      <c r="G707" s="1" t="s">
        <v>2725</v>
      </c>
      <c r="H707" s="1" t="s">
        <v>5043</v>
      </c>
      <c r="I707" s="18"/>
      <c r="J707" s="18"/>
      <c r="K707" s="18"/>
      <c r="L707" s="18"/>
      <c r="M707" s="2">
        <v>3000000</v>
      </c>
      <c r="N707" s="2">
        <v>3000000</v>
      </c>
      <c r="O707" s="2"/>
      <c r="P707" s="2" t="str">
        <f t="shared" si="44"/>
        <v/>
      </c>
      <c r="Q707" s="2">
        <v>3500000</v>
      </c>
      <c r="R707" s="2"/>
      <c r="S707" s="48">
        <v>46023</v>
      </c>
      <c r="T707" s="2">
        <v>0</v>
      </c>
      <c r="U707" s="2">
        <v>0</v>
      </c>
      <c r="V707" s="1"/>
      <c r="W707" s="6"/>
      <c r="X707" s="1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>
        <f t="shared" si="45"/>
        <v>0</v>
      </c>
      <c r="AX707" s="3">
        <f t="shared" si="46"/>
        <v>0</v>
      </c>
      <c r="AY707" s="4">
        <f t="shared" si="47"/>
        <v>0</v>
      </c>
      <c r="BA707" s="4" t="s">
        <v>5726</v>
      </c>
      <c r="BB707" s="2"/>
      <c r="BC707" s="3"/>
      <c r="BD707" s="4"/>
    </row>
    <row r="708" spans="1:56" ht="16.8" customHeight="1">
      <c r="A708" s="1">
        <v>707</v>
      </c>
      <c r="B708" s="1" t="s">
        <v>1816</v>
      </c>
      <c r="C708" s="1" t="s">
        <v>2049</v>
      </c>
      <c r="D708" s="1" t="s">
        <v>2726</v>
      </c>
      <c r="E708" s="1" t="s">
        <v>2726</v>
      </c>
      <c r="F708" s="1" t="s">
        <v>2727</v>
      </c>
      <c r="G708" s="1" t="s">
        <v>2728</v>
      </c>
      <c r="H708" s="1" t="s">
        <v>5217</v>
      </c>
      <c r="I708" s="18" t="s">
        <v>4783</v>
      </c>
      <c r="J708" s="18" t="s">
        <v>5018</v>
      </c>
      <c r="K708" s="18" t="s">
        <v>5218</v>
      </c>
      <c r="L708" s="18" t="s">
        <v>4734</v>
      </c>
      <c r="M708" s="2">
        <v>4000000</v>
      </c>
      <c r="N708" s="2">
        <v>4000000</v>
      </c>
      <c r="O708" s="2"/>
      <c r="P708" s="2" t="str">
        <f t="shared" si="44"/>
        <v/>
      </c>
      <c r="Q708" s="2"/>
      <c r="R708" s="2"/>
      <c r="S708" s="48"/>
      <c r="T708" s="2">
        <v>0</v>
      </c>
      <c r="U708" s="2">
        <v>0</v>
      </c>
      <c r="V708" s="1" t="s">
        <v>2728</v>
      </c>
      <c r="W708" s="6" t="s">
        <v>2729</v>
      </c>
      <c r="X708" s="1" t="s">
        <v>2258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>
        <v>4000000</v>
      </c>
      <c r="AL708" s="3">
        <v>4000000</v>
      </c>
      <c r="AM708" s="3">
        <v>4000000</v>
      </c>
      <c r="AN708" s="3">
        <v>4000000</v>
      </c>
      <c r="AO708" s="3">
        <v>4000000</v>
      </c>
      <c r="AP708" s="3">
        <v>4000000</v>
      </c>
      <c r="AQ708" s="3"/>
      <c r="AR708" s="3"/>
      <c r="AS708" s="3"/>
      <c r="AT708" s="3"/>
      <c r="AU708" s="3"/>
      <c r="AV708" s="3"/>
      <c r="AW708" s="3">
        <f t="shared" si="45"/>
        <v>0</v>
      </c>
      <c r="AX708" s="3">
        <f t="shared" si="46"/>
        <v>24000000</v>
      </c>
      <c r="AY708" s="4">
        <f t="shared" si="47"/>
        <v>6</v>
      </c>
      <c r="AZ708" s="8">
        <v>0</v>
      </c>
      <c r="BA708" s="4" t="s">
        <v>5726</v>
      </c>
      <c r="BB708" s="2"/>
      <c r="BC708" s="3"/>
      <c r="BD708" s="3"/>
    </row>
    <row r="709" spans="1:56" ht="16.8" customHeight="1">
      <c r="A709" s="1">
        <v>708</v>
      </c>
      <c r="B709" s="1" t="s">
        <v>1816</v>
      </c>
      <c r="C709" s="1" t="s">
        <v>2049</v>
      </c>
      <c r="D709" s="1" t="s">
        <v>2730</v>
      </c>
      <c r="E709" s="1" t="s">
        <v>2730</v>
      </c>
      <c r="F709" s="1" t="s">
        <v>2731</v>
      </c>
      <c r="G709" s="1" t="s">
        <v>2732</v>
      </c>
      <c r="H709" s="1" t="s">
        <v>5219</v>
      </c>
      <c r="I709" s="18" t="s">
        <v>4783</v>
      </c>
      <c r="J709" s="18" t="s">
        <v>5018</v>
      </c>
      <c r="K709" s="18" t="s">
        <v>4777</v>
      </c>
      <c r="L709" s="18" t="s">
        <v>4734</v>
      </c>
      <c r="M709" s="2">
        <v>4545455</v>
      </c>
      <c r="N709" s="2">
        <v>4545455</v>
      </c>
      <c r="O709" s="2"/>
      <c r="P709" s="2" t="str">
        <f t="shared" si="44"/>
        <v/>
      </c>
      <c r="Q709" s="2"/>
      <c r="R709" s="2"/>
      <c r="S709" s="48"/>
      <c r="T709" s="2">
        <v>0</v>
      </c>
      <c r="U709" s="2">
        <v>0</v>
      </c>
      <c r="V709" s="1" t="s">
        <v>2733</v>
      </c>
      <c r="W709" s="6" t="s">
        <v>2734</v>
      </c>
      <c r="X709" s="1" t="s">
        <v>2735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>
        <v>4545455</v>
      </c>
      <c r="AL709" s="3">
        <v>4545455</v>
      </c>
      <c r="AM709" s="3">
        <v>4545455</v>
      </c>
      <c r="AN709" s="3">
        <v>4545455</v>
      </c>
      <c r="AO709" s="3">
        <v>4545455</v>
      </c>
      <c r="AP709" s="3">
        <v>4545452</v>
      </c>
      <c r="AQ709" s="3"/>
      <c r="AR709" s="3"/>
      <c r="AS709" s="3"/>
      <c r="AT709" s="3"/>
      <c r="AU709" s="3"/>
      <c r="AV709" s="3"/>
      <c r="AW709" s="3">
        <f t="shared" si="45"/>
        <v>0</v>
      </c>
      <c r="AX709" s="3">
        <f t="shared" si="46"/>
        <v>27272727</v>
      </c>
      <c r="AY709" s="4">
        <f t="shared" si="47"/>
        <v>6</v>
      </c>
      <c r="AZ709" s="8">
        <v>0</v>
      </c>
      <c r="BA709" s="4" t="s">
        <v>5719</v>
      </c>
      <c r="BB709" s="2"/>
      <c r="BC709" s="3"/>
      <c r="BD709" s="3"/>
    </row>
    <row r="710" spans="1:56" ht="16.8" customHeight="1">
      <c r="A710" s="1">
        <v>709</v>
      </c>
      <c r="B710" s="1" t="s">
        <v>1816</v>
      </c>
      <c r="C710" s="1" t="s">
        <v>2049</v>
      </c>
      <c r="D710" s="1" t="s">
        <v>2736</v>
      </c>
      <c r="E710" s="1" t="s">
        <v>2736</v>
      </c>
      <c r="F710" s="1" t="s">
        <v>2737</v>
      </c>
      <c r="G710" s="1" t="s">
        <v>2738</v>
      </c>
      <c r="H710" s="1" t="s">
        <v>5220</v>
      </c>
      <c r="I710" s="18" t="s">
        <v>4783</v>
      </c>
      <c r="J710" s="18" t="s">
        <v>5018</v>
      </c>
      <c r="K710" s="18" t="s">
        <v>4752</v>
      </c>
      <c r="L710" s="18" t="s">
        <v>4734</v>
      </c>
      <c r="M710" s="2">
        <v>3300000</v>
      </c>
      <c r="N710" s="2">
        <v>3300000</v>
      </c>
      <c r="O710" s="2"/>
      <c r="P710" s="2" t="str">
        <f t="shared" si="44"/>
        <v/>
      </c>
      <c r="Q710" s="2"/>
      <c r="R710" s="2"/>
      <c r="S710" s="48"/>
      <c r="T710" s="2">
        <v>39600000</v>
      </c>
      <c r="U710" s="2">
        <v>0</v>
      </c>
      <c r="V710" s="1" t="s">
        <v>2739</v>
      </c>
      <c r="W710" s="6" t="s">
        <v>2740</v>
      </c>
      <c r="X710" s="1" t="s">
        <v>154</v>
      </c>
      <c r="Y710" s="3">
        <v>3300000</v>
      </c>
      <c r="Z710" s="3">
        <v>3300000</v>
      </c>
      <c r="AA710" s="3">
        <v>3300000</v>
      </c>
      <c r="AB710" s="3">
        <v>3300000</v>
      </c>
      <c r="AC710" s="3">
        <v>3300000</v>
      </c>
      <c r="AD710" s="3">
        <v>3300000</v>
      </c>
      <c r="AE710" s="3">
        <v>3300000</v>
      </c>
      <c r="AF710" s="3">
        <v>3300000</v>
      </c>
      <c r="AG710" s="3">
        <v>3300000</v>
      </c>
      <c r="AH710" s="3">
        <v>3300000</v>
      </c>
      <c r="AI710" s="3">
        <v>3300000</v>
      </c>
      <c r="AJ710" s="3">
        <v>3300000</v>
      </c>
      <c r="AK710" s="3">
        <v>3300000</v>
      </c>
      <c r="AL710" s="3">
        <v>3300000</v>
      </c>
      <c r="AM710" s="3">
        <v>3300000</v>
      </c>
      <c r="AN710" s="3">
        <v>3300000</v>
      </c>
      <c r="AO710" s="3">
        <v>3300000</v>
      </c>
      <c r="AP710" s="3"/>
      <c r="AQ710" s="3"/>
      <c r="AR710" s="3"/>
      <c r="AS710" s="3"/>
      <c r="AT710" s="3"/>
      <c r="AU710" s="3"/>
      <c r="AV710" s="3"/>
      <c r="AW710" s="3">
        <f t="shared" si="45"/>
        <v>39600000</v>
      </c>
      <c r="AX710" s="3">
        <f t="shared" si="46"/>
        <v>16500000</v>
      </c>
      <c r="AY710" s="4">
        <f t="shared" si="47"/>
        <v>17</v>
      </c>
      <c r="AZ710" s="8">
        <v>0</v>
      </c>
      <c r="BA710" s="4" t="s">
        <v>5726</v>
      </c>
      <c r="BB710" s="2"/>
      <c r="BC710" s="3"/>
      <c r="BD710" s="3"/>
    </row>
    <row r="711" spans="1:56" ht="16.8" customHeight="1">
      <c r="A711" s="1">
        <v>710</v>
      </c>
      <c r="B711" s="1" t="s">
        <v>1816</v>
      </c>
      <c r="C711" s="1" t="s">
        <v>2049</v>
      </c>
      <c r="D711" s="1" t="s">
        <v>2741</v>
      </c>
      <c r="E711" s="1" t="s">
        <v>2741</v>
      </c>
      <c r="F711" s="1" t="s">
        <v>2742</v>
      </c>
      <c r="G711" s="1" t="s">
        <v>2743</v>
      </c>
      <c r="H711" s="1" t="s">
        <v>5221</v>
      </c>
      <c r="I711" s="18" t="s">
        <v>4783</v>
      </c>
      <c r="J711" s="18" t="s">
        <v>5018</v>
      </c>
      <c r="K711" s="18" t="s">
        <v>4742</v>
      </c>
      <c r="L711" s="18" t="s">
        <v>4734</v>
      </c>
      <c r="M711" s="2">
        <v>6000000</v>
      </c>
      <c r="N711" s="2">
        <v>6000000</v>
      </c>
      <c r="O711" s="2"/>
      <c r="P711" s="2" t="str">
        <f t="shared" si="44"/>
        <v/>
      </c>
      <c r="Q711" s="2"/>
      <c r="R711" s="2"/>
      <c r="S711" s="48"/>
      <c r="T711" s="2">
        <v>0</v>
      </c>
      <c r="U711" s="2">
        <v>0</v>
      </c>
      <c r="V711" s="1" t="s">
        <v>2744</v>
      </c>
      <c r="W711" s="6" t="s">
        <v>2745</v>
      </c>
      <c r="X711" s="1" t="s">
        <v>2746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>
        <v>6000000</v>
      </c>
      <c r="AL711" s="3">
        <v>6000000</v>
      </c>
      <c r="AM711" s="3">
        <v>6000000</v>
      </c>
      <c r="AN711" s="3">
        <v>6000000</v>
      </c>
      <c r="AO711" s="3">
        <v>6000000</v>
      </c>
      <c r="AP711" s="3">
        <v>6000000</v>
      </c>
      <c r="AQ711" s="3">
        <v>6000000</v>
      </c>
      <c r="AR711" s="3">
        <v>6000000</v>
      </c>
      <c r="AS711" s="3">
        <v>6000000</v>
      </c>
      <c r="AT711" s="3">
        <v>6000000</v>
      </c>
      <c r="AU711" s="3">
        <v>6000000</v>
      </c>
      <c r="AV711" s="3">
        <v>6000000</v>
      </c>
      <c r="AW711" s="3">
        <f t="shared" si="45"/>
        <v>0</v>
      </c>
      <c r="AX711" s="3">
        <f t="shared" si="46"/>
        <v>72000000</v>
      </c>
      <c r="AY711" s="4">
        <f t="shared" si="47"/>
        <v>12</v>
      </c>
      <c r="AZ711" s="8">
        <v>0</v>
      </c>
      <c r="BA711" s="4" t="s">
        <v>5726</v>
      </c>
      <c r="BB711" s="2">
        <v>72000000</v>
      </c>
      <c r="BC711" s="3"/>
      <c r="BD711" s="3"/>
    </row>
    <row r="712" spans="1:56" ht="16.8" customHeight="1">
      <c r="A712" s="1">
        <v>711</v>
      </c>
      <c r="B712" s="1" t="s">
        <v>1816</v>
      </c>
      <c r="C712" s="1" t="s">
        <v>2049</v>
      </c>
      <c r="D712" s="1" t="s">
        <v>2747</v>
      </c>
      <c r="E712" s="1" t="s">
        <v>2747</v>
      </c>
      <c r="F712" s="1" t="s">
        <v>2748</v>
      </c>
      <c r="G712" s="1" t="s">
        <v>2749</v>
      </c>
      <c r="H712" s="1" t="s">
        <v>5043</v>
      </c>
      <c r="I712" s="18"/>
      <c r="J712" s="18"/>
      <c r="K712" s="18"/>
      <c r="L712" s="18"/>
      <c r="M712" s="2">
        <v>4000000</v>
      </c>
      <c r="N712" s="2">
        <v>4000000</v>
      </c>
      <c r="O712" s="2"/>
      <c r="P712" s="2" t="str">
        <f t="shared" si="44"/>
        <v/>
      </c>
      <c r="Q712" s="2"/>
      <c r="R712" s="2"/>
      <c r="S712" s="48"/>
      <c r="T712" s="2">
        <v>0</v>
      </c>
      <c r="U712" s="2">
        <v>0</v>
      </c>
      <c r="V712" s="1"/>
      <c r="W712" s="6"/>
      <c r="X712" s="1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>
        <f t="shared" si="45"/>
        <v>0</v>
      </c>
      <c r="AX712" s="3">
        <f t="shared" si="46"/>
        <v>0</v>
      </c>
      <c r="AY712" s="4">
        <f t="shared" si="47"/>
        <v>0</v>
      </c>
      <c r="BA712" s="4" t="s">
        <v>5726</v>
      </c>
      <c r="BB712" s="2"/>
      <c r="BC712" s="3"/>
      <c r="BD712" s="4"/>
    </row>
    <row r="713" spans="1:56" ht="16.8" customHeight="1">
      <c r="A713" s="1">
        <v>712</v>
      </c>
      <c r="B713" s="1" t="s">
        <v>1816</v>
      </c>
      <c r="C713" s="1" t="s">
        <v>2049</v>
      </c>
      <c r="D713" s="1" t="s">
        <v>2750</v>
      </c>
      <c r="E713" s="1" t="s">
        <v>2750</v>
      </c>
      <c r="F713" s="1" t="s">
        <v>2751</v>
      </c>
      <c r="G713" s="1" t="s">
        <v>2752</v>
      </c>
      <c r="H713" s="1" t="s">
        <v>5043</v>
      </c>
      <c r="I713" s="18"/>
      <c r="J713" s="18"/>
      <c r="K713" s="18"/>
      <c r="L713" s="18"/>
      <c r="M713" s="2">
        <v>3600000</v>
      </c>
      <c r="N713" s="2">
        <v>3600000</v>
      </c>
      <c r="O713" s="2"/>
      <c r="P713" s="2" t="str">
        <f t="shared" si="44"/>
        <v/>
      </c>
      <c r="Q713" s="2"/>
      <c r="R713" s="2"/>
      <c r="S713" s="48"/>
      <c r="T713" s="2">
        <v>0</v>
      </c>
      <c r="U713" s="2">
        <v>0</v>
      </c>
      <c r="V713" s="1"/>
      <c r="W713" s="6"/>
      <c r="X713" s="1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>
        <f t="shared" si="45"/>
        <v>0</v>
      </c>
      <c r="AX713" s="3">
        <f t="shared" si="46"/>
        <v>0</v>
      </c>
      <c r="AY713" s="4">
        <f t="shared" si="47"/>
        <v>0</v>
      </c>
      <c r="BA713" s="4" t="s">
        <v>5726</v>
      </c>
      <c r="BB713" s="2"/>
      <c r="BC713" s="3"/>
      <c r="BD713" s="4"/>
    </row>
    <row r="714" spans="1:56" ht="16.8" customHeight="1">
      <c r="A714" s="1">
        <v>713</v>
      </c>
      <c r="B714" s="1" t="s">
        <v>1816</v>
      </c>
      <c r="C714" s="1" t="s">
        <v>2049</v>
      </c>
      <c r="D714" s="1" t="s">
        <v>2753</v>
      </c>
      <c r="E714" s="1" t="s">
        <v>2753</v>
      </c>
      <c r="F714" s="1" t="s">
        <v>2754</v>
      </c>
      <c r="G714" s="1" t="s">
        <v>2755</v>
      </c>
      <c r="H714" s="1" t="s">
        <v>5222</v>
      </c>
      <c r="I714" s="18" t="s">
        <v>4783</v>
      </c>
      <c r="J714" s="18" t="s">
        <v>4783</v>
      </c>
      <c r="K714" s="18" t="s">
        <v>4741</v>
      </c>
      <c r="L714" s="18" t="s">
        <v>4734</v>
      </c>
      <c r="M714" s="2">
        <v>4000000</v>
      </c>
      <c r="N714" s="2">
        <v>4000000</v>
      </c>
      <c r="O714" s="2"/>
      <c r="P714" s="2" t="str">
        <f t="shared" si="44"/>
        <v/>
      </c>
      <c r="Q714" s="2"/>
      <c r="R714" s="2"/>
      <c r="S714" s="48"/>
      <c r="T714" s="2">
        <v>24000000</v>
      </c>
      <c r="U714" s="2">
        <v>0</v>
      </c>
      <c r="V714" s="1" t="s">
        <v>2756</v>
      </c>
      <c r="W714" s="6" t="s">
        <v>2757</v>
      </c>
      <c r="X714" s="1" t="s">
        <v>2758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>
        <f t="shared" si="45"/>
        <v>0</v>
      </c>
      <c r="AX714" s="3">
        <f t="shared" si="46"/>
        <v>0</v>
      </c>
      <c r="AY714" s="4">
        <f t="shared" si="47"/>
        <v>0</v>
      </c>
      <c r="AZ714" s="8" t="s">
        <v>5588</v>
      </c>
      <c r="BA714" s="4" t="s">
        <v>5726</v>
      </c>
      <c r="BB714" s="2"/>
      <c r="BC714" s="3"/>
      <c r="BD714" s="4"/>
    </row>
    <row r="715" spans="1:56" ht="16.8" customHeight="1">
      <c r="A715" s="1">
        <v>714</v>
      </c>
      <c r="B715" s="1" t="s">
        <v>1816</v>
      </c>
      <c r="C715" s="1" t="s">
        <v>2049</v>
      </c>
      <c r="D715" s="1" t="s">
        <v>2759</v>
      </c>
      <c r="E715" s="1" t="s">
        <v>2759</v>
      </c>
      <c r="F715" s="1" t="s">
        <v>2760</v>
      </c>
      <c r="G715" s="1" t="s">
        <v>2761</v>
      </c>
      <c r="H715" s="1" t="s">
        <v>5223</v>
      </c>
      <c r="I715" s="18" t="s">
        <v>4783</v>
      </c>
      <c r="J715" s="18" t="s">
        <v>5132</v>
      </c>
      <c r="K715" s="18" t="s">
        <v>5224</v>
      </c>
      <c r="L715" s="18" t="s">
        <v>4734</v>
      </c>
      <c r="M715" s="2">
        <v>3500000</v>
      </c>
      <c r="N715" s="2">
        <v>3500000</v>
      </c>
      <c r="O715" s="2"/>
      <c r="P715" s="2" t="str">
        <f t="shared" si="44"/>
        <v/>
      </c>
      <c r="Q715" s="2"/>
      <c r="R715" s="2"/>
      <c r="S715" s="48"/>
      <c r="T715" s="2">
        <v>21000000</v>
      </c>
      <c r="U715" s="2">
        <v>0</v>
      </c>
      <c r="V715" s="1"/>
      <c r="W715" s="6"/>
      <c r="X715" s="1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>
        <f t="shared" si="45"/>
        <v>0</v>
      </c>
      <c r="AX715" s="3">
        <f t="shared" si="46"/>
        <v>0</v>
      </c>
      <c r="AY715" s="4">
        <f t="shared" si="47"/>
        <v>0</v>
      </c>
      <c r="AZ715" s="8" t="s">
        <v>5589</v>
      </c>
      <c r="BA715" s="4" t="s">
        <v>5726</v>
      </c>
      <c r="BB715" s="2"/>
      <c r="BC715" s="3"/>
      <c r="BD715" s="4"/>
    </row>
    <row r="716" spans="1:56" ht="16.8" customHeight="1">
      <c r="A716" s="1">
        <v>715</v>
      </c>
      <c r="B716" s="1" t="s">
        <v>1816</v>
      </c>
      <c r="C716" s="1" t="s">
        <v>2049</v>
      </c>
      <c r="D716" s="1" t="s">
        <v>2762</v>
      </c>
      <c r="E716" s="1" t="s">
        <v>2762</v>
      </c>
      <c r="F716" s="1" t="s">
        <v>2763</v>
      </c>
      <c r="G716" s="1" t="s">
        <v>2764</v>
      </c>
      <c r="H716" s="1" t="s">
        <v>5043</v>
      </c>
      <c r="I716" s="18"/>
      <c r="J716" s="18"/>
      <c r="K716" s="18"/>
      <c r="L716" s="18"/>
      <c r="M716" s="2">
        <v>4500000</v>
      </c>
      <c r="N716" s="2">
        <v>4500000</v>
      </c>
      <c r="O716" s="2"/>
      <c r="P716" s="2" t="str">
        <f t="shared" si="44"/>
        <v/>
      </c>
      <c r="Q716" s="2">
        <v>5500000</v>
      </c>
      <c r="R716" s="2"/>
      <c r="S716" s="48">
        <v>46023</v>
      </c>
      <c r="T716" s="2">
        <v>0</v>
      </c>
      <c r="U716" s="2">
        <v>0</v>
      </c>
      <c r="V716" s="1"/>
      <c r="W716" s="6"/>
      <c r="X716" s="1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>
        <f t="shared" si="45"/>
        <v>0</v>
      </c>
      <c r="AX716" s="3">
        <f t="shared" si="46"/>
        <v>0</v>
      </c>
      <c r="AY716" s="4">
        <f t="shared" si="47"/>
        <v>0</v>
      </c>
      <c r="BA716" s="4" t="s">
        <v>5726</v>
      </c>
      <c r="BB716" s="2"/>
      <c r="BC716" s="3"/>
      <c r="BD716" s="4"/>
    </row>
    <row r="717" spans="1:56" ht="16.8" customHeight="1">
      <c r="A717" s="1">
        <v>716</v>
      </c>
      <c r="B717" s="1" t="s">
        <v>1816</v>
      </c>
      <c r="C717" s="1" t="s">
        <v>2049</v>
      </c>
      <c r="D717" s="1" t="s">
        <v>2765</v>
      </c>
      <c r="E717" s="1" t="s">
        <v>2765</v>
      </c>
      <c r="F717" s="1" t="s">
        <v>2766</v>
      </c>
      <c r="G717" s="1" t="s">
        <v>2767</v>
      </c>
      <c r="H717" s="1" t="s">
        <v>4535</v>
      </c>
      <c r="I717" s="18" t="s">
        <v>5225</v>
      </c>
      <c r="J717" s="18" t="s">
        <v>5225</v>
      </c>
      <c r="K717" s="18" t="s">
        <v>5226</v>
      </c>
      <c r="L717" s="18" t="s">
        <v>4734</v>
      </c>
      <c r="M717" s="2">
        <v>3600000</v>
      </c>
      <c r="N717" s="2">
        <v>3600000</v>
      </c>
      <c r="O717" s="2"/>
      <c r="P717" s="2" t="str">
        <f t="shared" si="44"/>
        <v/>
      </c>
      <c r="Q717" s="2"/>
      <c r="R717" s="2"/>
      <c r="S717" s="48"/>
      <c r="T717" s="2">
        <v>7200000</v>
      </c>
      <c r="U717" s="2">
        <v>0</v>
      </c>
      <c r="V717" s="1" t="s">
        <v>2768</v>
      </c>
      <c r="W717" s="6" t="s">
        <v>2769</v>
      </c>
      <c r="X717" s="1" t="s">
        <v>324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>
        <v>3600000</v>
      </c>
      <c r="AJ717" s="3">
        <v>3600000</v>
      </c>
      <c r="AK717" s="3">
        <v>3600000</v>
      </c>
      <c r="AL717" s="3">
        <v>3600000</v>
      </c>
      <c r="AM717" s="3">
        <v>3600000</v>
      </c>
      <c r="AN717" s="3">
        <v>3600000</v>
      </c>
      <c r="AO717" s="3">
        <v>3600000</v>
      </c>
      <c r="AP717" s="3">
        <v>3600000</v>
      </c>
      <c r="AQ717" s="3">
        <v>3600000</v>
      </c>
      <c r="AR717" s="3">
        <v>3600000</v>
      </c>
      <c r="AS717" s="3">
        <v>3600000</v>
      </c>
      <c r="AT717" s="3">
        <v>3600000</v>
      </c>
      <c r="AU717" s="3">
        <v>3600000</v>
      </c>
      <c r="AV717" s="3">
        <v>3600000</v>
      </c>
      <c r="AW717" s="3">
        <f t="shared" si="45"/>
        <v>7200000</v>
      </c>
      <c r="AX717" s="3">
        <f t="shared" si="46"/>
        <v>43200000</v>
      </c>
      <c r="AY717" s="4">
        <f t="shared" si="47"/>
        <v>14</v>
      </c>
      <c r="AZ717" s="8" t="s">
        <v>5588</v>
      </c>
      <c r="BA717" s="4" t="s">
        <v>5714</v>
      </c>
      <c r="BB717" s="2"/>
      <c r="BC717" s="3"/>
      <c r="BD717" s="3"/>
    </row>
    <row r="718" spans="1:56" ht="16.8" customHeight="1">
      <c r="A718" s="1">
        <v>717</v>
      </c>
      <c r="B718" s="1" t="s">
        <v>1816</v>
      </c>
      <c r="C718" s="1" t="s">
        <v>2049</v>
      </c>
      <c r="D718" s="1" t="s">
        <v>2770</v>
      </c>
      <c r="E718" s="1" t="s">
        <v>2770</v>
      </c>
      <c r="F718" s="1" t="s">
        <v>2771</v>
      </c>
      <c r="G718" s="1" t="s">
        <v>2772</v>
      </c>
      <c r="H718" s="1" t="s">
        <v>5043</v>
      </c>
      <c r="I718" s="18"/>
      <c r="J718" s="18"/>
      <c r="K718" s="18"/>
      <c r="L718" s="18"/>
      <c r="M718" s="2">
        <v>4000000</v>
      </c>
      <c r="N718" s="2">
        <v>5000000</v>
      </c>
      <c r="O718" s="2">
        <v>5000000</v>
      </c>
      <c r="P718" s="2">
        <f t="shared" si="44"/>
        <v>1000000</v>
      </c>
      <c r="Q718" s="2"/>
      <c r="R718" s="2"/>
      <c r="S718" s="48"/>
      <c r="T718" s="2">
        <v>0</v>
      </c>
      <c r="U718" s="2">
        <v>0</v>
      </c>
      <c r="V718" s="1"/>
      <c r="W718" s="6"/>
      <c r="X718" s="1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>
        <f t="shared" si="45"/>
        <v>0</v>
      </c>
      <c r="AX718" s="3">
        <f t="shared" si="46"/>
        <v>0</v>
      </c>
      <c r="AY718" s="4">
        <f t="shared" si="47"/>
        <v>0</v>
      </c>
      <c r="BA718" s="4" t="s">
        <v>5726</v>
      </c>
      <c r="BB718" s="2"/>
      <c r="BC718" s="3"/>
      <c r="BD718" s="4"/>
    </row>
    <row r="719" spans="1:56" ht="16.8" customHeight="1">
      <c r="A719" s="1">
        <v>718</v>
      </c>
      <c r="B719" s="1" t="s">
        <v>1816</v>
      </c>
      <c r="C719" s="1" t="s">
        <v>2049</v>
      </c>
      <c r="D719" s="1" t="s">
        <v>2773</v>
      </c>
      <c r="E719" s="1" t="s">
        <v>2773</v>
      </c>
      <c r="F719" s="1" t="s">
        <v>2774</v>
      </c>
      <c r="G719" s="1" t="s">
        <v>2775</v>
      </c>
      <c r="H719" s="1" t="s">
        <v>5227</v>
      </c>
      <c r="I719" s="18" t="s">
        <v>4783</v>
      </c>
      <c r="J719" s="18" t="s">
        <v>5074</v>
      </c>
      <c r="K719" s="18" t="s">
        <v>4770</v>
      </c>
      <c r="L719" s="18" t="s">
        <v>4734</v>
      </c>
      <c r="M719" s="2">
        <v>3500000</v>
      </c>
      <c r="N719" s="2">
        <v>3500000</v>
      </c>
      <c r="O719" s="2"/>
      <c r="P719" s="2" t="str">
        <f t="shared" si="44"/>
        <v/>
      </c>
      <c r="Q719" s="2"/>
      <c r="R719" s="2"/>
      <c r="S719" s="48"/>
      <c r="T719" s="2">
        <v>36000000</v>
      </c>
      <c r="U719" s="2">
        <v>0</v>
      </c>
      <c r="V719" s="1" t="s">
        <v>2776</v>
      </c>
      <c r="W719" s="6" t="s">
        <v>2777</v>
      </c>
      <c r="X719" s="1" t="s">
        <v>2778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>
        <f t="shared" si="45"/>
        <v>0</v>
      </c>
      <c r="AX719" s="3">
        <f t="shared" si="46"/>
        <v>0</v>
      </c>
      <c r="AY719" s="4">
        <f t="shared" si="47"/>
        <v>0</v>
      </c>
      <c r="AZ719" s="8" t="s">
        <v>5590</v>
      </c>
      <c r="BA719" s="4" t="s">
        <v>5726</v>
      </c>
      <c r="BB719" s="2"/>
      <c r="BC719" s="3"/>
      <c r="BD719" s="4"/>
    </row>
    <row r="720" spans="1:56" ht="16.8" customHeight="1">
      <c r="A720" s="1">
        <v>719</v>
      </c>
      <c r="B720" s="1" t="s">
        <v>1816</v>
      </c>
      <c r="C720" s="1" t="s">
        <v>2049</v>
      </c>
      <c r="D720" s="1" t="s">
        <v>2779</v>
      </c>
      <c r="E720" s="1" t="s">
        <v>2779</v>
      </c>
      <c r="F720" s="1" t="s">
        <v>2780</v>
      </c>
      <c r="G720" s="1" t="s">
        <v>2781</v>
      </c>
      <c r="H720" s="1" t="s">
        <v>5043</v>
      </c>
      <c r="I720" s="18"/>
      <c r="J720" s="18"/>
      <c r="K720" s="18"/>
      <c r="L720" s="18"/>
      <c r="M720" s="2">
        <v>3000000</v>
      </c>
      <c r="N720" s="2">
        <v>3000000</v>
      </c>
      <c r="O720" s="2"/>
      <c r="P720" s="2" t="str">
        <f t="shared" si="44"/>
        <v/>
      </c>
      <c r="Q720" s="2"/>
      <c r="R720" s="2"/>
      <c r="S720" s="48"/>
      <c r="T720" s="2">
        <v>0</v>
      </c>
      <c r="U720" s="2">
        <v>0</v>
      </c>
      <c r="V720" s="1"/>
      <c r="W720" s="6"/>
      <c r="X720" s="1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>
        <f t="shared" si="45"/>
        <v>0</v>
      </c>
      <c r="AX720" s="3">
        <f t="shared" si="46"/>
        <v>0</v>
      </c>
      <c r="AY720" s="4">
        <f t="shared" si="47"/>
        <v>0</v>
      </c>
      <c r="BA720" s="4" t="s">
        <v>5726</v>
      </c>
      <c r="BB720" s="2"/>
      <c r="BC720" s="3"/>
      <c r="BD720" s="4"/>
    </row>
    <row r="721" spans="1:56" ht="16.8" customHeight="1">
      <c r="A721" s="1">
        <v>720</v>
      </c>
      <c r="B721" s="1" t="s">
        <v>1816</v>
      </c>
      <c r="C721" s="1" t="s">
        <v>2049</v>
      </c>
      <c r="D721" s="1" t="s">
        <v>2782</v>
      </c>
      <c r="E721" s="1" t="s">
        <v>2782</v>
      </c>
      <c r="F721" s="1" t="s">
        <v>2783</v>
      </c>
      <c r="G721" s="1" t="s">
        <v>2784</v>
      </c>
      <c r="H721" s="1" t="s">
        <v>5043</v>
      </c>
      <c r="I721" s="18"/>
      <c r="J721" s="18"/>
      <c r="K721" s="18"/>
      <c r="L721" s="18"/>
      <c r="M721" s="2">
        <v>3000000</v>
      </c>
      <c r="N721" s="2">
        <v>4000000</v>
      </c>
      <c r="O721" s="2">
        <v>4000000</v>
      </c>
      <c r="P721" s="2">
        <f t="shared" si="44"/>
        <v>1000000</v>
      </c>
      <c r="Q721" s="2"/>
      <c r="R721" s="2"/>
      <c r="S721" s="48"/>
      <c r="T721" s="2">
        <v>0</v>
      </c>
      <c r="U721" s="2">
        <v>0</v>
      </c>
      <c r="V721" s="1"/>
      <c r="W721" s="6"/>
      <c r="X721" s="1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>
        <f t="shared" si="45"/>
        <v>0</v>
      </c>
      <c r="AX721" s="3">
        <f t="shared" si="46"/>
        <v>0</v>
      </c>
      <c r="AY721" s="4">
        <f t="shared" si="47"/>
        <v>0</v>
      </c>
      <c r="BA721" s="4" t="s">
        <v>5726</v>
      </c>
      <c r="BB721" s="2"/>
      <c r="BC721" s="3"/>
      <c r="BD721" s="4"/>
    </row>
    <row r="722" spans="1:56" ht="16.8" customHeight="1">
      <c r="A722" s="1">
        <v>721</v>
      </c>
      <c r="B722" s="1" t="s">
        <v>1816</v>
      </c>
      <c r="C722" s="1" t="s">
        <v>2049</v>
      </c>
      <c r="D722" s="1" t="s">
        <v>2785</v>
      </c>
      <c r="E722" s="1" t="s">
        <v>2785</v>
      </c>
      <c r="F722" s="1" t="s">
        <v>2786</v>
      </c>
      <c r="G722" s="1" t="s">
        <v>2787</v>
      </c>
      <c r="H722" s="1" t="s">
        <v>5228</v>
      </c>
      <c r="I722" s="18" t="s">
        <v>4783</v>
      </c>
      <c r="J722" s="18" t="s">
        <v>5018</v>
      </c>
      <c r="K722" s="18" t="s">
        <v>4745</v>
      </c>
      <c r="L722" s="18" t="s">
        <v>4734</v>
      </c>
      <c r="M722" s="2">
        <v>6000000</v>
      </c>
      <c r="N722" s="2">
        <v>6000000</v>
      </c>
      <c r="O722" s="2"/>
      <c r="P722" s="2" t="str">
        <f t="shared" si="44"/>
        <v/>
      </c>
      <c r="Q722" s="2"/>
      <c r="R722" s="2"/>
      <c r="S722" s="48"/>
      <c r="T722" s="2">
        <v>0</v>
      </c>
      <c r="U722" s="2">
        <v>0</v>
      </c>
      <c r="V722" s="1" t="s">
        <v>2787</v>
      </c>
      <c r="W722" s="6" t="s">
        <v>2788</v>
      </c>
      <c r="X722" s="1" t="s">
        <v>154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>
        <v>6000000</v>
      </c>
      <c r="AL722" s="3">
        <v>6000000</v>
      </c>
      <c r="AM722" s="3">
        <v>6000000</v>
      </c>
      <c r="AN722" s="3">
        <v>6000000</v>
      </c>
      <c r="AO722" s="3">
        <v>6000000</v>
      </c>
      <c r="AP722" s="3">
        <v>6000000</v>
      </c>
      <c r="AQ722" s="3">
        <v>6000000</v>
      </c>
      <c r="AR722" s="3">
        <v>6000000</v>
      </c>
      <c r="AS722" s="3">
        <v>6000000</v>
      </c>
      <c r="AT722" s="3">
        <v>6000000</v>
      </c>
      <c r="AU722" s="3">
        <v>6000000</v>
      </c>
      <c r="AV722" s="3">
        <v>6000000</v>
      </c>
      <c r="AW722" s="3">
        <f t="shared" si="45"/>
        <v>0</v>
      </c>
      <c r="AX722" s="3">
        <f t="shared" si="46"/>
        <v>72000000</v>
      </c>
      <c r="AY722" s="4">
        <f t="shared" si="47"/>
        <v>12</v>
      </c>
      <c r="AZ722" s="8" t="s">
        <v>5591</v>
      </c>
      <c r="BA722" s="4" t="s">
        <v>5726</v>
      </c>
      <c r="BB722" s="2">
        <v>72000000</v>
      </c>
      <c r="BC722" s="3"/>
      <c r="BD722" s="3"/>
    </row>
    <row r="723" spans="1:56" ht="16.8" customHeight="1">
      <c r="A723" s="1">
        <v>722</v>
      </c>
      <c r="B723" s="1" t="s">
        <v>1816</v>
      </c>
      <c r="C723" s="1" t="s">
        <v>2049</v>
      </c>
      <c r="D723" s="1" t="s">
        <v>2789</v>
      </c>
      <c r="E723" s="1" t="s">
        <v>2789</v>
      </c>
      <c r="F723" s="1" t="s">
        <v>2790</v>
      </c>
      <c r="G723" s="1" t="s">
        <v>2791</v>
      </c>
      <c r="H723" s="1" t="s">
        <v>5229</v>
      </c>
      <c r="I723" s="18" t="s">
        <v>5018</v>
      </c>
      <c r="J723" s="18" t="s">
        <v>5018</v>
      </c>
      <c r="K723" s="18" t="s">
        <v>5230</v>
      </c>
      <c r="L723" s="18" t="s">
        <v>4734</v>
      </c>
      <c r="M723" s="2">
        <v>5000000</v>
      </c>
      <c r="N723" s="2">
        <v>5000000</v>
      </c>
      <c r="O723" s="2"/>
      <c r="P723" s="2" t="str">
        <f t="shared" si="44"/>
        <v/>
      </c>
      <c r="Q723" s="2"/>
      <c r="R723" s="2"/>
      <c r="S723" s="48"/>
      <c r="T723" s="2">
        <v>0</v>
      </c>
      <c r="U723" s="2">
        <v>0</v>
      </c>
      <c r="V723" s="1"/>
      <c r="W723" s="6"/>
      <c r="X723" s="1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>
        <f t="shared" si="45"/>
        <v>0</v>
      </c>
      <c r="AX723" s="3">
        <f t="shared" si="46"/>
        <v>0</v>
      </c>
      <c r="AY723" s="4">
        <f t="shared" si="47"/>
        <v>0</v>
      </c>
      <c r="AZ723" s="8" t="s">
        <v>5592</v>
      </c>
      <c r="BA723" s="4" t="s">
        <v>5726</v>
      </c>
      <c r="BB723" s="2"/>
      <c r="BC723" s="3"/>
      <c r="BD723" s="4"/>
    </row>
    <row r="724" spans="1:56" ht="16.8" customHeight="1">
      <c r="A724" s="1">
        <v>723</v>
      </c>
      <c r="B724" s="1" t="s">
        <v>1816</v>
      </c>
      <c r="C724" s="1" t="s">
        <v>2049</v>
      </c>
      <c r="D724" s="1" t="s">
        <v>2792</v>
      </c>
      <c r="E724" s="1" t="s">
        <v>2792</v>
      </c>
      <c r="F724" s="1" t="s">
        <v>2793</v>
      </c>
      <c r="G724" s="1" t="s">
        <v>2794</v>
      </c>
      <c r="H724" s="1" t="s">
        <v>5231</v>
      </c>
      <c r="I724" s="18" t="s">
        <v>5232</v>
      </c>
      <c r="J724" s="18" t="s">
        <v>4783</v>
      </c>
      <c r="K724" s="18" t="s">
        <v>5003</v>
      </c>
      <c r="L724" s="18" t="s">
        <v>4734</v>
      </c>
      <c r="M724" s="2">
        <v>1500000</v>
      </c>
      <c r="N724" s="2">
        <v>1500000</v>
      </c>
      <c r="O724" s="2"/>
      <c r="P724" s="2" t="str">
        <f t="shared" si="44"/>
        <v/>
      </c>
      <c r="Q724" s="2"/>
      <c r="R724" s="2"/>
      <c r="S724" s="48"/>
      <c r="T724" s="2">
        <v>36000000</v>
      </c>
      <c r="U724" s="2">
        <v>0</v>
      </c>
      <c r="V724" s="1" t="s">
        <v>2795</v>
      </c>
      <c r="W724" s="6" t="s">
        <v>2796</v>
      </c>
      <c r="X724" s="1" t="s">
        <v>2797</v>
      </c>
      <c r="Y724" s="3">
        <v>1500000</v>
      </c>
      <c r="Z724" s="3">
        <v>1500000</v>
      </c>
      <c r="AA724" s="3">
        <v>1500000</v>
      </c>
      <c r="AB724" s="3">
        <v>1500000</v>
      </c>
      <c r="AC724" s="3">
        <v>1500000</v>
      </c>
      <c r="AD724" s="3">
        <v>1500000</v>
      </c>
      <c r="AE724" s="3">
        <v>1500000</v>
      </c>
      <c r="AF724" s="3">
        <v>1500000</v>
      </c>
      <c r="AG724" s="3">
        <v>1500000</v>
      </c>
      <c r="AH724" s="3">
        <v>1500000</v>
      </c>
      <c r="AI724" s="3">
        <v>1500000</v>
      </c>
      <c r="AJ724" s="3">
        <v>1500000</v>
      </c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>
        <f t="shared" si="45"/>
        <v>18000000</v>
      </c>
      <c r="AX724" s="3">
        <f t="shared" si="46"/>
        <v>0</v>
      </c>
      <c r="AY724" s="4">
        <f t="shared" si="47"/>
        <v>12</v>
      </c>
      <c r="AZ724" s="8">
        <v>0</v>
      </c>
      <c r="BA724" s="4" t="s">
        <v>5726</v>
      </c>
      <c r="BB724" s="2"/>
      <c r="BC724" s="3"/>
      <c r="BD724" s="4"/>
    </row>
    <row r="725" spans="1:56" ht="16.8" customHeight="1">
      <c r="A725" s="1">
        <v>724</v>
      </c>
      <c r="B725" s="1" t="s">
        <v>1816</v>
      </c>
      <c r="C725" s="1" t="s">
        <v>2049</v>
      </c>
      <c r="D725" s="1" t="s">
        <v>2798</v>
      </c>
      <c r="E725" s="1" t="s">
        <v>2798</v>
      </c>
      <c r="F725" s="1" t="s">
        <v>2799</v>
      </c>
      <c r="G725" s="1" t="s">
        <v>2800</v>
      </c>
      <c r="H725" s="1" t="s">
        <v>5043</v>
      </c>
      <c r="I725" s="18"/>
      <c r="J725" s="18"/>
      <c r="K725" s="18"/>
      <c r="L725" s="18"/>
      <c r="M725" s="2">
        <v>3500000</v>
      </c>
      <c r="N725" s="2">
        <v>3500000</v>
      </c>
      <c r="O725" s="2"/>
      <c r="P725" s="2" t="str">
        <f t="shared" si="44"/>
        <v/>
      </c>
      <c r="Q725" s="2">
        <v>4500000</v>
      </c>
      <c r="R725" s="2"/>
      <c r="S725" s="48">
        <v>46023</v>
      </c>
      <c r="T725" s="2">
        <v>0</v>
      </c>
      <c r="U725" s="2">
        <v>0</v>
      </c>
      <c r="V725" s="1"/>
      <c r="W725" s="6"/>
      <c r="X725" s="1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>
        <f t="shared" si="45"/>
        <v>0</v>
      </c>
      <c r="AX725" s="3">
        <f t="shared" si="46"/>
        <v>0</v>
      </c>
      <c r="AY725" s="4">
        <f t="shared" si="47"/>
        <v>0</v>
      </c>
      <c r="BA725" s="4" t="s">
        <v>5726</v>
      </c>
      <c r="BB725" s="2"/>
      <c r="BC725" s="3"/>
      <c r="BD725" s="4"/>
    </row>
    <row r="726" spans="1:56" ht="16.8" customHeight="1">
      <c r="A726" s="1">
        <v>725</v>
      </c>
      <c r="B726" s="1" t="s">
        <v>1816</v>
      </c>
      <c r="C726" s="1" t="s">
        <v>2049</v>
      </c>
      <c r="D726" s="1" t="s">
        <v>2801</v>
      </c>
      <c r="E726" s="1" t="s">
        <v>2801</v>
      </c>
      <c r="F726" s="1" t="s">
        <v>2802</v>
      </c>
      <c r="G726" s="1" t="s">
        <v>2803</v>
      </c>
      <c r="H726" s="1" t="s">
        <v>5233</v>
      </c>
      <c r="I726" s="18" t="s">
        <v>4783</v>
      </c>
      <c r="J726" s="18" t="s">
        <v>5018</v>
      </c>
      <c r="K726" s="18" t="s">
        <v>4742</v>
      </c>
      <c r="L726" s="18" t="s">
        <v>4734</v>
      </c>
      <c r="M726" s="2">
        <v>1900000</v>
      </c>
      <c r="N726" s="2">
        <v>1900000</v>
      </c>
      <c r="O726" s="2"/>
      <c r="P726" s="2" t="str">
        <f t="shared" si="44"/>
        <v/>
      </c>
      <c r="Q726" s="41">
        <v>4000000</v>
      </c>
      <c r="R726" s="2"/>
      <c r="S726" s="48"/>
      <c r="T726" s="2">
        <v>0</v>
      </c>
      <c r="U726" s="2">
        <v>0</v>
      </c>
      <c r="V726" s="1" t="s">
        <v>2804</v>
      </c>
      <c r="W726" s="6" t="s">
        <v>2805</v>
      </c>
      <c r="X726" s="1" t="s">
        <v>2806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>
        <v>1900000</v>
      </c>
      <c r="AL726" s="3">
        <v>1900000</v>
      </c>
      <c r="AM726" s="3">
        <v>1900000</v>
      </c>
      <c r="AN726" s="3">
        <v>1900000</v>
      </c>
      <c r="AO726" s="3">
        <v>1900000</v>
      </c>
      <c r="AP726" s="3">
        <v>1900000</v>
      </c>
      <c r="AQ726" s="3">
        <v>1900000</v>
      </c>
      <c r="AR726" s="3">
        <v>1900000</v>
      </c>
      <c r="AS726" s="3">
        <v>1900000</v>
      </c>
      <c r="AT726" s="3">
        <v>1900000</v>
      </c>
      <c r="AU726" s="3">
        <v>1900000</v>
      </c>
      <c r="AV726" s="3">
        <v>1900000</v>
      </c>
      <c r="AW726" s="3">
        <f t="shared" si="45"/>
        <v>0</v>
      </c>
      <c r="AX726" s="3">
        <f t="shared" si="46"/>
        <v>22800000</v>
      </c>
      <c r="AY726" s="4">
        <f t="shared" si="47"/>
        <v>12</v>
      </c>
      <c r="AZ726" s="8" t="s">
        <v>5593</v>
      </c>
      <c r="BA726" s="4" t="s">
        <v>5726</v>
      </c>
      <c r="BB726" s="2">
        <v>0</v>
      </c>
      <c r="BC726" s="3"/>
      <c r="BD726" s="3"/>
    </row>
    <row r="727" spans="1:56" ht="16.8" customHeight="1">
      <c r="A727" s="1">
        <v>726</v>
      </c>
      <c r="B727" s="1" t="s">
        <v>1816</v>
      </c>
      <c r="C727" s="1" t="s">
        <v>2049</v>
      </c>
      <c r="D727" s="1" t="s">
        <v>2807</v>
      </c>
      <c r="E727" s="1" t="s">
        <v>2807</v>
      </c>
      <c r="F727" s="1" t="s">
        <v>2808</v>
      </c>
      <c r="G727" s="1" t="s">
        <v>2809</v>
      </c>
      <c r="H727" s="1" t="s">
        <v>5043</v>
      </c>
      <c r="I727" s="18"/>
      <c r="J727" s="18"/>
      <c r="K727" s="18"/>
      <c r="L727" s="18"/>
      <c r="M727" s="2">
        <v>3500000</v>
      </c>
      <c r="N727" s="2">
        <v>3500000</v>
      </c>
      <c r="O727" s="2"/>
      <c r="P727" s="2" t="str">
        <f t="shared" si="44"/>
        <v/>
      </c>
      <c r="Q727" s="2"/>
      <c r="R727" s="2"/>
      <c r="S727" s="48"/>
      <c r="T727" s="2">
        <v>0</v>
      </c>
      <c r="U727" s="2">
        <v>42000000</v>
      </c>
      <c r="V727" s="1"/>
      <c r="W727" s="6"/>
      <c r="X727" s="1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>
        <f t="shared" si="45"/>
        <v>0</v>
      </c>
      <c r="AX727" s="3">
        <f t="shared" si="46"/>
        <v>0</v>
      </c>
      <c r="AY727" s="4">
        <f t="shared" si="47"/>
        <v>0</v>
      </c>
      <c r="BA727" s="4" t="s">
        <v>5726</v>
      </c>
      <c r="BB727" s="2"/>
      <c r="BC727" s="3"/>
      <c r="BD727" s="4"/>
    </row>
    <row r="728" spans="1:56" ht="16.8" customHeight="1">
      <c r="A728" s="1">
        <v>727</v>
      </c>
      <c r="B728" s="1" t="s">
        <v>1816</v>
      </c>
      <c r="C728" s="1" t="s">
        <v>2049</v>
      </c>
      <c r="D728" s="1" t="s">
        <v>2810</v>
      </c>
      <c r="E728" s="1" t="s">
        <v>2810</v>
      </c>
      <c r="F728" s="1" t="s">
        <v>2811</v>
      </c>
      <c r="G728" s="1" t="s">
        <v>2812</v>
      </c>
      <c r="H728" s="1" t="s">
        <v>5043</v>
      </c>
      <c r="I728" s="18"/>
      <c r="J728" s="18"/>
      <c r="K728" s="18"/>
      <c r="L728" s="18"/>
      <c r="M728" s="2">
        <v>3600000</v>
      </c>
      <c r="N728" s="2">
        <v>4500000</v>
      </c>
      <c r="O728" s="2">
        <v>4500000</v>
      </c>
      <c r="P728" s="2">
        <f t="shared" si="44"/>
        <v>900000</v>
      </c>
      <c r="Q728" s="2"/>
      <c r="R728" s="2"/>
      <c r="S728" s="48"/>
      <c r="T728" s="2">
        <v>0</v>
      </c>
      <c r="U728" s="2">
        <v>0</v>
      </c>
      <c r="V728" s="1" t="s">
        <v>2812</v>
      </c>
      <c r="W728" s="6" t="s">
        <v>2813</v>
      </c>
      <c r="X728" s="1" t="s">
        <v>471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>
        <v>4500000</v>
      </c>
      <c r="AL728" s="3">
        <v>4500000</v>
      </c>
      <c r="AM728" s="3">
        <v>4500000</v>
      </c>
      <c r="AN728" s="3">
        <v>4500000</v>
      </c>
      <c r="AO728" s="3">
        <v>4500000</v>
      </c>
      <c r="AP728" s="3">
        <v>4500000</v>
      </c>
      <c r="AQ728" s="3">
        <v>4500000</v>
      </c>
      <c r="AR728" s="3">
        <v>4500000</v>
      </c>
      <c r="AS728" s="3">
        <v>4500000</v>
      </c>
      <c r="AT728" s="3">
        <v>4500000</v>
      </c>
      <c r="AU728" s="3">
        <v>4500000</v>
      </c>
      <c r="AV728" s="3">
        <v>4500000</v>
      </c>
      <c r="AW728" s="3">
        <f t="shared" si="45"/>
        <v>0</v>
      </c>
      <c r="AX728" s="3">
        <f t="shared" si="46"/>
        <v>54000000</v>
      </c>
      <c r="AY728" s="4">
        <f t="shared" si="47"/>
        <v>12</v>
      </c>
      <c r="BA728" s="4" t="s">
        <v>5726</v>
      </c>
      <c r="BB728" s="2"/>
      <c r="BC728" s="3"/>
      <c r="BD728" s="3"/>
    </row>
    <row r="729" spans="1:56" ht="16.8" customHeight="1">
      <c r="A729" s="1">
        <v>728</v>
      </c>
      <c r="B729" s="1" t="s">
        <v>1816</v>
      </c>
      <c r="C729" s="1" t="s">
        <v>2049</v>
      </c>
      <c r="D729" s="1" t="s">
        <v>2814</v>
      </c>
      <c r="E729" s="1" t="s">
        <v>2814</v>
      </c>
      <c r="F729" s="1" t="s">
        <v>2815</v>
      </c>
      <c r="G729" s="1" t="s">
        <v>2816</v>
      </c>
      <c r="H729" s="1" t="s">
        <v>5043</v>
      </c>
      <c r="I729" s="18"/>
      <c r="J729" s="18"/>
      <c r="K729" s="18"/>
      <c r="L729" s="18"/>
      <c r="M729" s="2">
        <v>3900000</v>
      </c>
      <c r="N729" s="2">
        <v>3900000</v>
      </c>
      <c r="O729" s="2"/>
      <c r="P729" s="2" t="str">
        <f t="shared" si="44"/>
        <v/>
      </c>
      <c r="Q729" s="2">
        <v>4500000</v>
      </c>
      <c r="R729" s="2"/>
      <c r="S729" s="48">
        <v>46023</v>
      </c>
      <c r="T729" s="2">
        <v>0</v>
      </c>
      <c r="U729" s="2">
        <v>0</v>
      </c>
      <c r="V729" s="1"/>
      <c r="W729" s="6"/>
      <c r="X729" s="1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>
        <f t="shared" si="45"/>
        <v>0</v>
      </c>
      <c r="AX729" s="3">
        <f t="shared" si="46"/>
        <v>0</v>
      </c>
      <c r="AY729" s="4">
        <f t="shared" si="47"/>
        <v>0</v>
      </c>
      <c r="BA729" s="4" t="s">
        <v>5726</v>
      </c>
      <c r="BB729" s="2"/>
      <c r="BC729" s="3"/>
      <c r="BD729" s="4"/>
    </row>
    <row r="730" spans="1:56" ht="16.8" customHeight="1">
      <c r="A730" s="1">
        <v>729</v>
      </c>
      <c r="B730" s="1" t="s">
        <v>1816</v>
      </c>
      <c r="C730" s="1" t="s">
        <v>2049</v>
      </c>
      <c r="D730" s="1" t="s">
        <v>2817</v>
      </c>
      <c r="E730" s="1" t="s">
        <v>2817</v>
      </c>
      <c r="F730" s="1" t="s">
        <v>2818</v>
      </c>
      <c r="G730" s="1" t="s">
        <v>2819</v>
      </c>
      <c r="H730" s="1" t="s">
        <v>5043</v>
      </c>
      <c r="I730" s="18"/>
      <c r="J730" s="18"/>
      <c r="K730" s="18"/>
      <c r="L730" s="18"/>
      <c r="M730" s="2">
        <v>3000000</v>
      </c>
      <c r="N730" s="2">
        <v>3500000</v>
      </c>
      <c r="O730" s="2">
        <v>3500000</v>
      </c>
      <c r="P730" s="2">
        <f t="shared" si="44"/>
        <v>500000</v>
      </c>
      <c r="Q730" s="2"/>
      <c r="R730" s="2"/>
      <c r="S730" s="48"/>
      <c r="T730" s="2">
        <v>0</v>
      </c>
      <c r="U730" s="2">
        <v>0</v>
      </c>
      <c r="V730" s="1"/>
      <c r="W730" s="6"/>
      <c r="X730" s="1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>
        <f t="shared" si="45"/>
        <v>0</v>
      </c>
      <c r="AX730" s="3">
        <f t="shared" si="46"/>
        <v>0</v>
      </c>
      <c r="AY730" s="4">
        <f t="shared" si="47"/>
        <v>0</v>
      </c>
      <c r="BA730" s="4" t="s">
        <v>5726</v>
      </c>
      <c r="BB730" s="2"/>
      <c r="BC730" s="3"/>
      <c r="BD730" s="4"/>
    </row>
    <row r="731" spans="1:56" ht="16.8" customHeight="1">
      <c r="A731" s="1">
        <v>730</v>
      </c>
      <c r="B731" s="1" t="s">
        <v>1816</v>
      </c>
      <c r="C731" s="1" t="s">
        <v>2049</v>
      </c>
      <c r="D731" s="1" t="s">
        <v>2820</v>
      </c>
      <c r="E731" s="1" t="s">
        <v>2820</v>
      </c>
      <c r="F731" s="1" t="s">
        <v>2821</v>
      </c>
      <c r="G731" s="1" t="s">
        <v>2822</v>
      </c>
      <c r="H731" s="1" t="s">
        <v>5234</v>
      </c>
      <c r="I731" s="18" t="s">
        <v>5102</v>
      </c>
      <c r="J731" s="18" t="s">
        <v>5018</v>
      </c>
      <c r="K731" s="18" t="s">
        <v>4748</v>
      </c>
      <c r="L731" s="18" t="s">
        <v>4734</v>
      </c>
      <c r="M731" s="2">
        <v>2500000</v>
      </c>
      <c r="N731" s="2">
        <v>2500000</v>
      </c>
      <c r="O731" s="2"/>
      <c r="P731" s="2" t="str">
        <f t="shared" si="44"/>
        <v/>
      </c>
      <c r="Q731" s="2"/>
      <c r="R731" s="2"/>
      <c r="S731" s="48"/>
      <c r="T731" s="2">
        <v>0</v>
      </c>
      <c r="U731" s="2">
        <v>0</v>
      </c>
      <c r="V731" s="1" t="s">
        <v>2823</v>
      </c>
      <c r="W731" s="6" t="s">
        <v>2824</v>
      </c>
      <c r="X731" s="1" t="s">
        <v>2258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>
        <v>2500000</v>
      </c>
      <c r="AL731" s="3">
        <v>2500000</v>
      </c>
      <c r="AM731" s="3">
        <v>2500000</v>
      </c>
      <c r="AN731" s="3">
        <v>2500000</v>
      </c>
      <c r="AO731" s="3">
        <v>2500000</v>
      </c>
      <c r="AP731" s="3">
        <v>2500000</v>
      </c>
      <c r="AQ731" s="3"/>
      <c r="AR731" s="3"/>
      <c r="AS731" s="3"/>
      <c r="AT731" s="3"/>
      <c r="AU731" s="3"/>
      <c r="AV731" s="3"/>
      <c r="AW731" s="3">
        <f t="shared" si="45"/>
        <v>0</v>
      </c>
      <c r="AX731" s="3">
        <f t="shared" si="46"/>
        <v>15000000</v>
      </c>
      <c r="AY731" s="4">
        <f t="shared" si="47"/>
        <v>6</v>
      </c>
      <c r="AZ731" s="8" t="s">
        <v>5594</v>
      </c>
      <c r="BA731" s="4" t="s">
        <v>5726</v>
      </c>
      <c r="BB731" s="2"/>
      <c r="BC731" s="3"/>
      <c r="BD731" s="3"/>
    </row>
    <row r="732" spans="1:56" ht="16.8" customHeight="1">
      <c r="A732" s="1">
        <v>731</v>
      </c>
      <c r="B732" s="1" t="s">
        <v>1816</v>
      </c>
      <c r="C732" s="1" t="s">
        <v>2049</v>
      </c>
      <c r="D732" s="1" t="s">
        <v>2825</v>
      </c>
      <c r="E732" s="1" t="s">
        <v>2825</v>
      </c>
      <c r="F732" s="1" t="s">
        <v>2826</v>
      </c>
      <c r="G732" s="1" t="s">
        <v>2827</v>
      </c>
      <c r="H732" s="1" t="s">
        <v>5043</v>
      </c>
      <c r="I732" s="18"/>
      <c r="J732" s="18"/>
      <c r="K732" s="18"/>
      <c r="L732" s="18"/>
      <c r="M732" s="2">
        <v>2000000</v>
      </c>
      <c r="N732" s="2">
        <v>2000000</v>
      </c>
      <c r="O732" s="2"/>
      <c r="P732" s="2" t="str">
        <f t="shared" si="44"/>
        <v/>
      </c>
      <c r="Q732" s="2"/>
      <c r="R732" s="2"/>
      <c r="S732" s="48"/>
      <c r="T732" s="2">
        <v>0</v>
      </c>
      <c r="U732" s="2">
        <v>0</v>
      </c>
      <c r="V732" s="1"/>
      <c r="W732" s="6"/>
      <c r="X732" s="1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>
        <v>2000000</v>
      </c>
      <c r="AL732" s="3">
        <v>2000000</v>
      </c>
      <c r="AM732" s="3">
        <v>2000000</v>
      </c>
      <c r="AN732" s="3">
        <v>2000000</v>
      </c>
      <c r="AO732" s="3">
        <v>2000000</v>
      </c>
      <c r="AP732" s="3">
        <v>2000000</v>
      </c>
      <c r="AQ732" s="3"/>
      <c r="AR732" s="3"/>
      <c r="AS732" s="3"/>
      <c r="AT732" s="3"/>
      <c r="AU732" s="3"/>
      <c r="AV732" s="3"/>
      <c r="AW732" s="3">
        <f t="shared" si="45"/>
        <v>0</v>
      </c>
      <c r="AX732" s="3">
        <f t="shared" si="46"/>
        <v>12000000</v>
      </c>
      <c r="AY732" s="4">
        <f t="shared" si="47"/>
        <v>6</v>
      </c>
      <c r="BA732" s="4" t="s">
        <v>5715</v>
      </c>
      <c r="BB732" s="2"/>
      <c r="BC732" s="3"/>
      <c r="BD732" s="3"/>
    </row>
    <row r="733" spans="1:56" ht="16.8" customHeight="1">
      <c r="A733" s="1">
        <v>732</v>
      </c>
      <c r="B733" s="1" t="s">
        <v>1816</v>
      </c>
      <c r="C733" s="1" t="s">
        <v>2049</v>
      </c>
      <c r="D733" s="1" t="s">
        <v>2828</v>
      </c>
      <c r="E733" s="1" t="s">
        <v>2828</v>
      </c>
      <c r="F733" s="1" t="s">
        <v>2829</v>
      </c>
      <c r="G733" s="1" t="s">
        <v>2830</v>
      </c>
      <c r="H733" s="1" t="s">
        <v>5043</v>
      </c>
      <c r="I733" s="18"/>
      <c r="J733" s="18"/>
      <c r="K733" s="18"/>
      <c r="L733" s="18"/>
      <c r="M733" s="2">
        <v>4000000</v>
      </c>
      <c r="N733" s="2">
        <v>4000000</v>
      </c>
      <c r="O733" s="2"/>
      <c r="P733" s="2" t="str">
        <f t="shared" si="44"/>
        <v/>
      </c>
      <c r="Q733" s="2">
        <v>5000000</v>
      </c>
      <c r="R733" s="2"/>
      <c r="S733" s="48">
        <v>46023</v>
      </c>
      <c r="T733" s="2">
        <v>0</v>
      </c>
      <c r="U733" s="2">
        <v>0</v>
      </c>
      <c r="V733" s="1"/>
      <c r="W733" s="6"/>
      <c r="X733" s="1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>
        <f t="shared" si="45"/>
        <v>0</v>
      </c>
      <c r="AX733" s="3">
        <f t="shared" si="46"/>
        <v>0</v>
      </c>
      <c r="AY733" s="4">
        <f t="shared" si="47"/>
        <v>0</v>
      </c>
      <c r="BA733" s="4" t="s">
        <v>5726</v>
      </c>
      <c r="BB733" s="2"/>
      <c r="BC733" s="3"/>
      <c r="BD733" s="4"/>
    </row>
    <row r="734" spans="1:56" ht="16.8" customHeight="1">
      <c r="A734" s="1">
        <v>733</v>
      </c>
      <c r="B734" s="1" t="s">
        <v>1816</v>
      </c>
      <c r="C734" s="1" t="s">
        <v>2049</v>
      </c>
      <c r="D734" s="1" t="s">
        <v>2831</v>
      </c>
      <c r="E734" s="1" t="s">
        <v>2831</v>
      </c>
      <c r="F734" s="1" t="s">
        <v>2832</v>
      </c>
      <c r="G734" s="1" t="s">
        <v>2833</v>
      </c>
      <c r="H734" s="1" t="s">
        <v>5043</v>
      </c>
      <c r="I734" s="18"/>
      <c r="J734" s="18"/>
      <c r="K734" s="18"/>
      <c r="L734" s="18"/>
      <c r="M734" s="2">
        <v>4000000</v>
      </c>
      <c r="N734" s="2">
        <v>4000000</v>
      </c>
      <c r="O734" s="2"/>
      <c r="P734" s="2" t="str">
        <f t="shared" si="44"/>
        <v/>
      </c>
      <c r="Q734" s="2">
        <v>4500000</v>
      </c>
      <c r="R734" s="2"/>
      <c r="S734" s="48">
        <v>46023</v>
      </c>
      <c r="T734" s="2">
        <v>0</v>
      </c>
      <c r="U734" s="2">
        <v>0</v>
      </c>
      <c r="V734" s="1"/>
      <c r="W734" s="6"/>
      <c r="X734" s="1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>
        <f t="shared" si="45"/>
        <v>0</v>
      </c>
      <c r="AX734" s="3">
        <f t="shared" si="46"/>
        <v>0</v>
      </c>
      <c r="AY734" s="4">
        <f t="shared" si="47"/>
        <v>0</v>
      </c>
      <c r="BA734" s="4" t="s">
        <v>5726</v>
      </c>
      <c r="BB734" s="2"/>
      <c r="BC734" s="3"/>
      <c r="BD734" s="4"/>
    </row>
    <row r="735" spans="1:56" ht="16.8" customHeight="1">
      <c r="A735" s="1">
        <v>734</v>
      </c>
      <c r="B735" s="1" t="s">
        <v>1816</v>
      </c>
      <c r="C735" s="1" t="s">
        <v>2049</v>
      </c>
      <c r="D735" s="1" t="s">
        <v>2834</v>
      </c>
      <c r="E735" s="1" t="s">
        <v>2834</v>
      </c>
      <c r="F735" s="1" t="s">
        <v>2835</v>
      </c>
      <c r="G735" s="1" t="s">
        <v>2836</v>
      </c>
      <c r="H735" s="1" t="s">
        <v>5043</v>
      </c>
      <c r="I735" s="18"/>
      <c r="J735" s="18"/>
      <c r="K735" s="18"/>
      <c r="L735" s="18"/>
      <c r="M735" s="2">
        <v>3500000</v>
      </c>
      <c r="N735" s="2">
        <v>4000000</v>
      </c>
      <c r="O735" s="2">
        <v>4000000</v>
      </c>
      <c r="P735" s="2">
        <f t="shared" si="44"/>
        <v>500000</v>
      </c>
      <c r="Q735" s="2"/>
      <c r="R735" s="2"/>
      <c r="S735" s="48"/>
      <c r="T735" s="2">
        <v>0</v>
      </c>
      <c r="U735" s="2">
        <v>0</v>
      </c>
      <c r="V735" s="1"/>
      <c r="W735" s="6"/>
      <c r="X735" s="1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>
        <f t="shared" si="45"/>
        <v>0</v>
      </c>
      <c r="AX735" s="3">
        <f t="shared" si="46"/>
        <v>0</v>
      </c>
      <c r="AY735" s="4">
        <f t="shared" si="47"/>
        <v>0</v>
      </c>
      <c r="BA735" s="4" t="s">
        <v>5726</v>
      </c>
      <c r="BB735" s="2"/>
      <c r="BC735" s="3"/>
      <c r="BD735" s="4"/>
    </row>
    <row r="736" spans="1:56" ht="16.8" customHeight="1">
      <c r="A736" s="1">
        <v>735</v>
      </c>
      <c r="B736" s="1" t="s">
        <v>1816</v>
      </c>
      <c r="C736" s="1" t="s">
        <v>2049</v>
      </c>
      <c r="D736" s="1" t="s">
        <v>2837</v>
      </c>
      <c r="E736" s="1" t="s">
        <v>2837</v>
      </c>
      <c r="F736" s="1" t="s">
        <v>2838</v>
      </c>
      <c r="G736" s="1" t="s">
        <v>2839</v>
      </c>
      <c r="H736" s="1" t="s">
        <v>5043</v>
      </c>
      <c r="I736" s="18"/>
      <c r="J736" s="18"/>
      <c r="K736" s="18"/>
      <c r="L736" s="18"/>
      <c r="M736" s="2">
        <v>4000000</v>
      </c>
      <c r="N736" s="2">
        <v>4000000</v>
      </c>
      <c r="O736" s="2"/>
      <c r="P736" s="2" t="str">
        <f t="shared" si="44"/>
        <v/>
      </c>
      <c r="Q736" s="2"/>
      <c r="R736" s="2"/>
      <c r="S736" s="48"/>
      <c r="T736" s="2">
        <v>0</v>
      </c>
      <c r="U736" s="2">
        <v>0</v>
      </c>
      <c r="V736" s="1"/>
      <c r="W736" s="6"/>
      <c r="X736" s="1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>
        <f t="shared" si="45"/>
        <v>0</v>
      </c>
      <c r="AX736" s="3">
        <f t="shared" si="46"/>
        <v>0</v>
      </c>
      <c r="AY736" s="4">
        <f t="shared" si="47"/>
        <v>0</v>
      </c>
      <c r="BA736" s="4" t="s">
        <v>5726</v>
      </c>
      <c r="BB736" s="2"/>
      <c r="BC736" s="3"/>
      <c r="BD736" s="4"/>
    </row>
    <row r="737" spans="1:56" ht="16.8" customHeight="1">
      <c r="A737" s="1">
        <v>736</v>
      </c>
      <c r="B737" s="1" t="s">
        <v>1816</v>
      </c>
      <c r="C737" s="1" t="s">
        <v>2049</v>
      </c>
      <c r="D737" s="1" t="s">
        <v>2840</v>
      </c>
      <c r="E737" s="1" t="s">
        <v>2840</v>
      </c>
      <c r="F737" s="1" t="s">
        <v>2841</v>
      </c>
      <c r="G737" s="1" t="s">
        <v>2842</v>
      </c>
      <c r="H737" s="1" t="s">
        <v>5043</v>
      </c>
      <c r="I737" s="18"/>
      <c r="J737" s="18"/>
      <c r="K737" s="18"/>
      <c r="L737" s="18"/>
      <c r="M737" s="2">
        <v>3000000</v>
      </c>
      <c r="N737" s="2">
        <v>3000000</v>
      </c>
      <c r="O737" s="2"/>
      <c r="P737" s="2" t="str">
        <f t="shared" si="44"/>
        <v/>
      </c>
      <c r="Q737" s="2">
        <v>4000000</v>
      </c>
      <c r="R737" s="2"/>
      <c r="S737" s="48">
        <v>46023</v>
      </c>
      <c r="T737" s="2">
        <v>0</v>
      </c>
      <c r="U737" s="2">
        <v>0</v>
      </c>
      <c r="V737" s="1"/>
      <c r="W737" s="6"/>
      <c r="X737" s="1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>
        <f t="shared" si="45"/>
        <v>0</v>
      </c>
      <c r="AX737" s="3">
        <f t="shared" si="46"/>
        <v>0</v>
      </c>
      <c r="AY737" s="4">
        <f t="shared" si="47"/>
        <v>0</v>
      </c>
      <c r="BA737" s="4" t="s">
        <v>5726</v>
      </c>
      <c r="BB737" s="2"/>
      <c r="BC737" s="3"/>
      <c r="BD737" s="4"/>
    </row>
    <row r="738" spans="1:56" ht="16.8" customHeight="1">
      <c r="A738" s="1">
        <v>737</v>
      </c>
      <c r="B738" s="1" t="s">
        <v>1816</v>
      </c>
      <c r="C738" s="1" t="s">
        <v>2049</v>
      </c>
      <c r="D738" s="1" t="s">
        <v>2843</v>
      </c>
      <c r="E738" s="1" t="s">
        <v>2843</v>
      </c>
      <c r="F738" s="1" t="s">
        <v>2844</v>
      </c>
      <c r="G738" s="1" t="s">
        <v>2845</v>
      </c>
      <c r="H738" s="1" t="s">
        <v>5235</v>
      </c>
      <c r="I738" s="18" t="s">
        <v>4783</v>
      </c>
      <c r="J738" s="18" t="s">
        <v>5018</v>
      </c>
      <c r="K738" s="18" t="s">
        <v>4752</v>
      </c>
      <c r="L738" s="18" t="s">
        <v>4734</v>
      </c>
      <c r="M738" s="2">
        <v>4000000</v>
      </c>
      <c r="N738" s="2">
        <v>4000000</v>
      </c>
      <c r="O738" s="2"/>
      <c r="P738" s="2" t="str">
        <f t="shared" si="44"/>
        <v/>
      </c>
      <c r="Q738" s="2"/>
      <c r="R738" s="2"/>
      <c r="S738" s="48"/>
      <c r="T738" s="2">
        <v>0</v>
      </c>
      <c r="U738" s="2">
        <v>0</v>
      </c>
      <c r="V738" s="1" t="s">
        <v>2845</v>
      </c>
      <c r="W738" s="6" t="s">
        <v>2846</v>
      </c>
      <c r="X738" s="1" t="s">
        <v>2010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>
        <v>4000000</v>
      </c>
      <c r="AL738" s="3">
        <v>4000000</v>
      </c>
      <c r="AM738" s="3">
        <v>4000000</v>
      </c>
      <c r="AN738" s="3">
        <v>4000000</v>
      </c>
      <c r="AO738" s="3">
        <v>4000000</v>
      </c>
      <c r="AP738" s="3">
        <v>4000000</v>
      </c>
      <c r="AQ738" s="3">
        <v>4000000</v>
      </c>
      <c r="AR738" s="3">
        <v>4000000</v>
      </c>
      <c r="AS738" s="3">
        <v>4000000</v>
      </c>
      <c r="AT738" s="3">
        <v>4000000</v>
      </c>
      <c r="AU738" s="3">
        <v>4000000</v>
      </c>
      <c r="AV738" s="3">
        <v>4000000</v>
      </c>
      <c r="AW738" s="3">
        <f t="shared" si="45"/>
        <v>0</v>
      </c>
      <c r="AX738" s="3">
        <f t="shared" si="46"/>
        <v>48000000</v>
      </c>
      <c r="AY738" s="4">
        <f t="shared" si="47"/>
        <v>12</v>
      </c>
      <c r="AZ738" s="8">
        <v>0</v>
      </c>
      <c r="BA738" s="4" t="s">
        <v>5726</v>
      </c>
      <c r="BB738" s="2">
        <v>48000000</v>
      </c>
      <c r="BC738" s="3"/>
      <c r="BD738" s="3"/>
    </row>
    <row r="739" spans="1:56" ht="16.8" customHeight="1">
      <c r="A739" s="1">
        <v>738</v>
      </c>
      <c r="B739" s="1" t="s">
        <v>1816</v>
      </c>
      <c r="C739" s="1" t="s">
        <v>2049</v>
      </c>
      <c r="D739" s="1" t="s">
        <v>2847</v>
      </c>
      <c r="E739" s="1" t="s">
        <v>2847</v>
      </c>
      <c r="F739" s="1" t="s">
        <v>2848</v>
      </c>
      <c r="G739" s="1" t="s">
        <v>2849</v>
      </c>
      <c r="H739" s="1" t="s">
        <v>5236</v>
      </c>
      <c r="I739" s="18" t="s">
        <v>4783</v>
      </c>
      <c r="J739" s="18" t="s">
        <v>5018</v>
      </c>
      <c r="K739" s="18" t="s">
        <v>4742</v>
      </c>
      <c r="L739" s="18" t="s">
        <v>4734</v>
      </c>
      <c r="M739" s="2">
        <v>3500000</v>
      </c>
      <c r="N739" s="2">
        <v>4000000</v>
      </c>
      <c r="O739" s="2"/>
      <c r="P739" s="2">
        <f t="shared" si="44"/>
        <v>500000</v>
      </c>
      <c r="Q739" s="2"/>
      <c r="R739" s="2"/>
      <c r="S739" s="48"/>
      <c r="T739" s="2">
        <v>0</v>
      </c>
      <c r="U739" s="2">
        <v>0</v>
      </c>
      <c r="V739" s="1" t="s">
        <v>2849</v>
      </c>
      <c r="W739" s="6" t="s">
        <v>2850</v>
      </c>
      <c r="X739" s="1" t="s">
        <v>154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>
        <v>4000000</v>
      </c>
      <c r="AL739" s="3">
        <v>4000000</v>
      </c>
      <c r="AM739" s="3">
        <v>4000000</v>
      </c>
      <c r="AN739" s="3">
        <v>4000000</v>
      </c>
      <c r="AO739" s="3">
        <v>4000000</v>
      </c>
      <c r="AP739" s="3">
        <v>4000000</v>
      </c>
      <c r="AQ739" s="3"/>
      <c r="AR739" s="3"/>
      <c r="AS739" s="3"/>
      <c r="AT739" s="3"/>
      <c r="AU739" s="3"/>
      <c r="AV739" s="3"/>
      <c r="AW739" s="3">
        <f t="shared" si="45"/>
        <v>0</v>
      </c>
      <c r="AX739" s="3">
        <f t="shared" si="46"/>
        <v>24000000</v>
      </c>
      <c r="AY739" s="4">
        <f t="shared" si="47"/>
        <v>6</v>
      </c>
      <c r="AZ739" s="8" t="s">
        <v>5595</v>
      </c>
      <c r="BA739" s="4" t="s">
        <v>5726</v>
      </c>
      <c r="BB739" s="2"/>
      <c r="BC739" s="3"/>
      <c r="BD739" s="3"/>
    </row>
    <row r="740" spans="1:56" ht="16.8" customHeight="1">
      <c r="A740" s="1">
        <v>739</v>
      </c>
      <c r="B740" s="1" t="s">
        <v>1816</v>
      </c>
      <c r="C740" s="1" t="s">
        <v>2049</v>
      </c>
      <c r="D740" s="1" t="s">
        <v>2851</v>
      </c>
      <c r="E740" s="1" t="s">
        <v>2851</v>
      </c>
      <c r="F740" s="1" t="s">
        <v>2852</v>
      </c>
      <c r="G740" s="1" t="s">
        <v>2853</v>
      </c>
      <c r="H740" s="1" t="s">
        <v>5237</v>
      </c>
      <c r="I740" s="18" t="s">
        <v>4783</v>
      </c>
      <c r="J740" s="18" t="s">
        <v>5018</v>
      </c>
      <c r="K740" s="18" t="s">
        <v>4752</v>
      </c>
      <c r="L740" s="18" t="s">
        <v>4734</v>
      </c>
      <c r="M740" s="2">
        <v>3500000</v>
      </c>
      <c r="N740" s="2">
        <v>3500000</v>
      </c>
      <c r="O740" s="2">
        <v>3500000</v>
      </c>
      <c r="P740" s="2" t="str">
        <f t="shared" si="44"/>
        <v/>
      </c>
      <c r="Q740" s="2"/>
      <c r="R740" s="2"/>
      <c r="S740" s="48"/>
      <c r="T740" s="2">
        <v>0</v>
      </c>
      <c r="U740" s="2">
        <v>0</v>
      </c>
      <c r="V740" s="1" t="s">
        <v>2853</v>
      </c>
      <c r="W740" s="6" t="s">
        <v>2854</v>
      </c>
      <c r="X740" s="1" t="s">
        <v>2211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>
        <v>3500000</v>
      </c>
      <c r="AL740" s="3">
        <v>3500000</v>
      </c>
      <c r="AM740" s="3">
        <v>3500000</v>
      </c>
      <c r="AN740" s="3">
        <v>3500000</v>
      </c>
      <c r="AO740" s="3">
        <v>3500000</v>
      </c>
      <c r="AP740" s="3">
        <v>3500000</v>
      </c>
      <c r="AQ740" s="3">
        <v>3500000</v>
      </c>
      <c r="AR740" s="3">
        <v>3500000</v>
      </c>
      <c r="AS740" s="3">
        <v>3500000</v>
      </c>
      <c r="AT740" s="3">
        <v>3500000</v>
      </c>
      <c r="AU740" s="3">
        <v>3500000</v>
      </c>
      <c r="AV740" s="3">
        <v>3500000</v>
      </c>
      <c r="AW740" s="3">
        <f t="shared" si="45"/>
        <v>0</v>
      </c>
      <c r="AX740" s="3">
        <f t="shared" si="46"/>
        <v>42000000</v>
      </c>
      <c r="AY740" s="4">
        <f t="shared" si="47"/>
        <v>12</v>
      </c>
      <c r="AZ740" s="8">
        <v>0</v>
      </c>
      <c r="BA740" s="4" t="s">
        <v>5726</v>
      </c>
      <c r="BB740" s="2">
        <v>42000000</v>
      </c>
      <c r="BC740" s="3"/>
      <c r="BD740" s="3"/>
    </row>
    <row r="741" spans="1:56" ht="16.8" customHeight="1">
      <c r="A741" s="1">
        <v>740</v>
      </c>
      <c r="B741" s="1" t="s">
        <v>1816</v>
      </c>
      <c r="C741" s="1" t="s">
        <v>2049</v>
      </c>
      <c r="D741" s="1" t="s">
        <v>2855</v>
      </c>
      <c r="E741" s="1" t="s">
        <v>2855</v>
      </c>
      <c r="F741" s="1" t="s">
        <v>2856</v>
      </c>
      <c r="G741" s="1" t="s">
        <v>2857</v>
      </c>
      <c r="H741" s="1" t="s">
        <v>5238</v>
      </c>
      <c r="I741" s="18" t="s">
        <v>4783</v>
      </c>
      <c r="J741" s="18" t="s">
        <v>5018</v>
      </c>
      <c r="K741" s="18" t="s">
        <v>4742</v>
      </c>
      <c r="L741" s="18" t="s">
        <v>4734</v>
      </c>
      <c r="M741" s="2">
        <v>4000000</v>
      </c>
      <c r="N741" s="2">
        <v>4000000</v>
      </c>
      <c r="O741" s="2"/>
      <c r="P741" s="2" t="str">
        <f t="shared" si="44"/>
        <v/>
      </c>
      <c r="Q741" s="2"/>
      <c r="R741" s="2"/>
      <c r="S741" s="48"/>
      <c r="T741" s="2">
        <v>0</v>
      </c>
      <c r="U741" s="2">
        <v>0</v>
      </c>
      <c r="V741" s="1" t="s">
        <v>2858</v>
      </c>
      <c r="W741" s="6" t="s">
        <v>2859</v>
      </c>
      <c r="X741" s="1" t="s">
        <v>2860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>
        <v>4000000</v>
      </c>
      <c r="AL741" s="3">
        <v>4000000</v>
      </c>
      <c r="AM741" s="3">
        <v>4000000</v>
      </c>
      <c r="AN741" s="3">
        <v>4000000</v>
      </c>
      <c r="AO741" s="3">
        <v>4000000</v>
      </c>
      <c r="AP741" s="3">
        <v>4000000</v>
      </c>
      <c r="AQ741" s="3">
        <v>4000000</v>
      </c>
      <c r="AR741" s="3">
        <v>4000000</v>
      </c>
      <c r="AS741" s="3">
        <v>4000000</v>
      </c>
      <c r="AT741" s="3">
        <v>4000000</v>
      </c>
      <c r="AU741" s="3">
        <v>4000000</v>
      </c>
      <c r="AV741" s="3">
        <v>4000000</v>
      </c>
      <c r="AW741" s="3">
        <f t="shared" si="45"/>
        <v>0</v>
      </c>
      <c r="AX741" s="3">
        <f t="shared" si="46"/>
        <v>48000000</v>
      </c>
      <c r="AY741" s="4">
        <f t="shared" si="47"/>
        <v>12</v>
      </c>
      <c r="AZ741" s="8">
        <v>0</v>
      </c>
      <c r="BA741" s="4" t="s">
        <v>5726</v>
      </c>
      <c r="BB741" s="2">
        <v>48000000</v>
      </c>
      <c r="BC741" s="3"/>
      <c r="BD741" s="3"/>
    </row>
    <row r="742" spans="1:56" ht="16.8" customHeight="1">
      <c r="A742" s="1">
        <v>741</v>
      </c>
      <c r="B742" s="1" t="s">
        <v>1816</v>
      </c>
      <c r="C742" s="1" t="s">
        <v>2049</v>
      </c>
      <c r="D742" s="1" t="s">
        <v>2861</v>
      </c>
      <c r="E742" s="1" t="s">
        <v>2861</v>
      </c>
      <c r="F742" s="1" t="s">
        <v>2862</v>
      </c>
      <c r="G742" s="1" t="s">
        <v>2863</v>
      </c>
      <c r="H742" s="1" t="s">
        <v>5239</v>
      </c>
      <c r="I742" s="18" t="s">
        <v>4783</v>
      </c>
      <c r="J742" s="18" t="s">
        <v>5132</v>
      </c>
      <c r="K742" s="18" t="s">
        <v>4741</v>
      </c>
      <c r="L742" s="18" t="s">
        <v>4734</v>
      </c>
      <c r="M742" s="2">
        <v>3000000</v>
      </c>
      <c r="N742" s="2">
        <v>3000000</v>
      </c>
      <c r="O742" s="2"/>
      <c r="P742" s="2" t="str">
        <f t="shared" si="44"/>
        <v/>
      </c>
      <c r="Q742" s="2"/>
      <c r="R742" s="2"/>
      <c r="S742" s="48"/>
      <c r="T742" s="2">
        <v>18000000</v>
      </c>
      <c r="U742" s="2">
        <v>0</v>
      </c>
      <c r="V742" s="1" t="s">
        <v>2864</v>
      </c>
      <c r="W742" s="6" t="s">
        <v>2865</v>
      </c>
      <c r="X742" s="1" t="s">
        <v>333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>
        <v>3000000</v>
      </c>
      <c r="AL742" s="3">
        <v>3000000</v>
      </c>
      <c r="AM742" s="3">
        <v>3000000</v>
      </c>
      <c r="AN742" s="3">
        <v>3000000</v>
      </c>
      <c r="AO742" s="3">
        <v>3000000</v>
      </c>
      <c r="AP742" s="3">
        <v>3000000</v>
      </c>
      <c r="AQ742" s="3"/>
      <c r="AR742" s="3"/>
      <c r="AS742" s="3"/>
      <c r="AT742" s="3"/>
      <c r="AU742" s="3"/>
      <c r="AV742" s="3"/>
      <c r="AW742" s="3">
        <f t="shared" si="45"/>
        <v>0</v>
      </c>
      <c r="AX742" s="3">
        <f t="shared" si="46"/>
        <v>18000000</v>
      </c>
      <c r="AY742" s="4">
        <f t="shared" si="47"/>
        <v>6</v>
      </c>
      <c r="AZ742" s="8">
        <v>0</v>
      </c>
      <c r="BA742" s="4" t="s">
        <v>5726</v>
      </c>
      <c r="BB742" s="2"/>
      <c r="BC742" s="3"/>
      <c r="BD742" s="3"/>
    </row>
    <row r="743" spans="1:56" ht="16.8" customHeight="1">
      <c r="A743" s="1">
        <v>742</v>
      </c>
      <c r="B743" s="1" t="s">
        <v>1816</v>
      </c>
      <c r="C743" s="1" t="s">
        <v>2049</v>
      </c>
      <c r="D743" s="1" t="s">
        <v>2866</v>
      </c>
      <c r="E743" s="1" t="s">
        <v>2866</v>
      </c>
      <c r="F743" s="1" t="s">
        <v>2867</v>
      </c>
      <c r="G743" s="1" t="s">
        <v>2868</v>
      </c>
      <c r="H743" s="1" t="s">
        <v>5240</v>
      </c>
      <c r="I743" s="18" t="s">
        <v>4783</v>
      </c>
      <c r="J743" s="18" t="s">
        <v>5241</v>
      </c>
      <c r="K743" s="18" t="s">
        <v>4733</v>
      </c>
      <c r="L743" s="18" t="s">
        <v>4734</v>
      </c>
      <c r="M743" s="2">
        <v>4000000</v>
      </c>
      <c r="N743" s="2">
        <v>4000000</v>
      </c>
      <c r="O743" s="2">
        <v>4000000</v>
      </c>
      <c r="P743" s="2" t="str">
        <f t="shared" si="44"/>
        <v/>
      </c>
      <c r="Q743" s="2"/>
      <c r="R743" s="2"/>
      <c r="S743" s="48"/>
      <c r="T743" s="2">
        <v>15000000</v>
      </c>
      <c r="U743" s="2">
        <v>0</v>
      </c>
      <c r="V743" s="1" t="s">
        <v>2869</v>
      </c>
      <c r="W743" s="6" t="s">
        <v>2870</v>
      </c>
      <c r="X743" s="1" t="s">
        <v>2211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>
        <f t="shared" si="45"/>
        <v>0</v>
      </c>
      <c r="AX743" s="3">
        <f t="shared" si="46"/>
        <v>0</v>
      </c>
      <c r="AY743" s="4">
        <f t="shared" si="47"/>
        <v>0</v>
      </c>
      <c r="AZ743" s="8" t="s">
        <v>5596</v>
      </c>
      <c r="BA743" s="4" t="s">
        <v>5726</v>
      </c>
      <c r="BB743" s="2"/>
      <c r="BC743" s="3"/>
      <c r="BD743" s="4"/>
    </row>
    <row r="744" spans="1:56" ht="16.8" customHeight="1">
      <c r="A744" s="1">
        <v>743</v>
      </c>
      <c r="B744" s="1" t="s">
        <v>1816</v>
      </c>
      <c r="C744" s="1" t="s">
        <v>2049</v>
      </c>
      <c r="D744" s="1" t="s">
        <v>2871</v>
      </c>
      <c r="E744" s="1" t="s">
        <v>2871</v>
      </c>
      <c r="F744" s="1" t="s">
        <v>2872</v>
      </c>
      <c r="G744" s="1" t="s">
        <v>2873</v>
      </c>
      <c r="H744" s="1" t="s">
        <v>5043</v>
      </c>
      <c r="I744" s="18"/>
      <c r="J744" s="18"/>
      <c r="K744" s="18"/>
      <c r="L744" s="18"/>
      <c r="M744" s="2">
        <v>3000000</v>
      </c>
      <c r="N744" s="2">
        <v>3000000</v>
      </c>
      <c r="O744" s="2"/>
      <c r="P744" s="2" t="str">
        <f t="shared" si="44"/>
        <v/>
      </c>
      <c r="Q744" s="2"/>
      <c r="R744" s="2"/>
      <c r="S744" s="48"/>
      <c r="T744" s="2">
        <v>0</v>
      </c>
      <c r="U744" s="2">
        <v>0</v>
      </c>
      <c r="V744" s="1"/>
      <c r="W744" s="6"/>
      <c r="X744" s="1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>
        <f t="shared" si="45"/>
        <v>0</v>
      </c>
      <c r="AX744" s="3">
        <f t="shared" si="46"/>
        <v>0</v>
      </c>
      <c r="AY744" s="4">
        <f t="shared" si="47"/>
        <v>0</v>
      </c>
      <c r="BA744" s="4" t="s">
        <v>5726</v>
      </c>
      <c r="BB744" s="2"/>
      <c r="BC744" s="3"/>
      <c r="BD744" s="4"/>
    </row>
    <row r="745" spans="1:56" ht="16.8" customHeight="1">
      <c r="A745" s="1">
        <v>744</v>
      </c>
      <c r="B745" s="1" t="s">
        <v>1816</v>
      </c>
      <c r="C745" s="1" t="s">
        <v>2049</v>
      </c>
      <c r="D745" s="1" t="s">
        <v>2874</v>
      </c>
      <c r="E745" s="1" t="s">
        <v>2874</v>
      </c>
      <c r="F745" s="1" t="s">
        <v>2875</v>
      </c>
      <c r="G745" s="1" t="s">
        <v>2876</v>
      </c>
      <c r="H745" s="1" t="s">
        <v>5242</v>
      </c>
      <c r="I745" s="18" t="s">
        <v>4783</v>
      </c>
      <c r="J745" s="18" t="s">
        <v>4783</v>
      </c>
      <c r="K745" s="18" t="s">
        <v>4733</v>
      </c>
      <c r="L745" s="18" t="s">
        <v>4734</v>
      </c>
      <c r="M745" s="2">
        <v>5500000</v>
      </c>
      <c r="N745" s="2">
        <v>5500000</v>
      </c>
      <c r="O745" s="2"/>
      <c r="P745" s="2" t="str">
        <f t="shared" si="44"/>
        <v/>
      </c>
      <c r="Q745" s="2"/>
      <c r="R745" s="2"/>
      <c r="S745" s="48"/>
      <c r="T745" s="2">
        <v>16500000</v>
      </c>
      <c r="U745" s="2">
        <v>0</v>
      </c>
      <c r="V745" s="1" t="s">
        <v>2877</v>
      </c>
      <c r="W745" s="6" t="s">
        <v>2878</v>
      </c>
      <c r="X745" s="1" t="s">
        <v>1222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>
        <v>5500000</v>
      </c>
      <c r="AI745" s="3">
        <v>5500000</v>
      </c>
      <c r="AJ745" s="3">
        <v>5500000</v>
      </c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>
        <f t="shared" si="45"/>
        <v>16500000</v>
      </c>
      <c r="AX745" s="3">
        <f t="shared" si="46"/>
        <v>0</v>
      </c>
      <c r="AY745" s="4">
        <f t="shared" si="47"/>
        <v>3</v>
      </c>
      <c r="AZ745" s="8">
        <v>0</v>
      </c>
      <c r="BA745" s="4" t="s">
        <v>5726</v>
      </c>
      <c r="BB745" s="2"/>
      <c r="BC745" s="3"/>
      <c r="BD745" s="4"/>
    </row>
    <row r="746" spans="1:56" ht="16.8" customHeight="1">
      <c r="A746" s="1">
        <v>745</v>
      </c>
      <c r="B746" s="1" t="s">
        <v>1816</v>
      </c>
      <c r="C746" s="1" t="s">
        <v>2049</v>
      </c>
      <c r="D746" s="1" t="s">
        <v>2879</v>
      </c>
      <c r="E746" s="1" t="s">
        <v>2879</v>
      </c>
      <c r="F746" s="1" t="s">
        <v>2880</v>
      </c>
      <c r="G746" s="1" t="s">
        <v>2881</v>
      </c>
      <c r="H746" s="1" t="s">
        <v>5243</v>
      </c>
      <c r="I746" s="18" t="s">
        <v>4783</v>
      </c>
      <c r="J746" s="18" t="s">
        <v>5074</v>
      </c>
      <c r="K746" s="18" t="s">
        <v>4752</v>
      </c>
      <c r="L746" s="18" t="s">
        <v>4734</v>
      </c>
      <c r="M746" s="2">
        <v>4000000</v>
      </c>
      <c r="N746" s="2">
        <v>4000000</v>
      </c>
      <c r="O746" s="2"/>
      <c r="P746" s="2" t="str">
        <f t="shared" si="44"/>
        <v/>
      </c>
      <c r="Q746" s="2"/>
      <c r="R746" s="2"/>
      <c r="S746" s="48"/>
      <c r="T746" s="2">
        <v>0</v>
      </c>
      <c r="U746" s="2">
        <v>0</v>
      </c>
      <c r="V746" s="1" t="s">
        <v>2881</v>
      </c>
      <c r="W746" s="6" t="s">
        <v>2882</v>
      </c>
      <c r="X746" s="1" t="s">
        <v>2883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>
        <v>4000000</v>
      </c>
      <c r="AL746" s="3">
        <v>4000000</v>
      </c>
      <c r="AM746" s="3">
        <v>4000000</v>
      </c>
      <c r="AN746" s="3">
        <v>4000000</v>
      </c>
      <c r="AO746" s="3">
        <v>4000000</v>
      </c>
      <c r="AP746" s="3">
        <v>4000000</v>
      </c>
      <c r="AQ746" s="3">
        <v>4000000</v>
      </c>
      <c r="AR746" s="3">
        <v>4000000</v>
      </c>
      <c r="AS746" s="3">
        <v>4000000</v>
      </c>
      <c r="AT746" s="3">
        <v>4000000</v>
      </c>
      <c r="AU746" s="3">
        <v>4000000</v>
      </c>
      <c r="AV746" s="3">
        <v>4000000</v>
      </c>
      <c r="AW746" s="3">
        <f t="shared" si="45"/>
        <v>0</v>
      </c>
      <c r="AX746" s="3">
        <f t="shared" si="46"/>
        <v>48000000</v>
      </c>
      <c r="AY746" s="4">
        <f t="shared" si="47"/>
        <v>12</v>
      </c>
      <c r="AZ746" s="8">
        <v>0</v>
      </c>
      <c r="BA746" s="4" t="s">
        <v>5726</v>
      </c>
      <c r="BB746" s="2">
        <v>24000000</v>
      </c>
      <c r="BC746" s="3"/>
      <c r="BD746" s="3"/>
    </row>
    <row r="747" spans="1:56" ht="16.8" customHeight="1">
      <c r="A747" s="1">
        <v>746</v>
      </c>
      <c r="B747" s="1" t="s">
        <v>1816</v>
      </c>
      <c r="C747" s="1" t="s">
        <v>2049</v>
      </c>
      <c r="D747" s="1" t="s">
        <v>2884</v>
      </c>
      <c r="E747" s="1" t="s">
        <v>2884</v>
      </c>
      <c r="F747" s="1" t="s">
        <v>2885</v>
      </c>
      <c r="G747" s="1" t="s">
        <v>2886</v>
      </c>
      <c r="H747" s="1" t="s">
        <v>5043</v>
      </c>
      <c r="I747" s="18"/>
      <c r="J747" s="18"/>
      <c r="K747" s="18"/>
      <c r="L747" s="18"/>
      <c r="M747" s="2">
        <v>3000000</v>
      </c>
      <c r="N747" s="2">
        <v>3000000</v>
      </c>
      <c r="O747" s="2"/>
      <c r="P747" s="2" t="str">
        <f t="shared" si="44"/>
        <v/>
      </c>
      <c r="Q747" s="2"/>
      <c r="R747" s="2"/>
      <c r="S747" s="48"/>
      <c r="T747" s="2">
        <v>0</v>
      </c>
      <c r="U747" s="2">
        <v>0</v>
      </c>
      <c r="V747" s="1" t="s">
        <v>2887</v>
      </c>
      <c r="W747" s="6" t="s">
        <v>2888</v>
      </c>
      <c r="X747" s="1" t="s">
        <v>333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>
        <v>3000000</v>
      </c>
      <c r="AL747" s="3">
        <v>3000000</v>
      </c>
      <c r="AM747" s="3">
        <v>3000000</v>
      </c>
      <c r="AN747" s="3">
        <v>3000000</v>
      </c>
      <c r="AO747" s="3">
        <v>3000000</v>
      </c>
      <c r="AP747" s="3">
        <v>3000000</v>
      </c>
      <c r="AQ747" s="3">
        <v>3000000</v>
      </c>
      <c r="AR747" s="3">
        <v>3000000</v>
      </c>
      <c r="AS747" s="3">
        <v>3000000</v>
      </c>
      <c r="AT747" s="3">
        <v>3000000</v>
      </c>
      <c r="AU747" s="3">
        <v>3000000</v>
      </c>
      <c r="AV747" s="3">
        <v>3000000</v>
      </c>
      <c r="AW747" s="3">
        <f t="shared" si="45"/>
        <v>0</v>
      </c>
      <c r="AX747" s="3">
        <f t="shared" si="46"/>
        <v>36000000</v>
      </c>
      <c r="AY747" s="4">
        <f t="shared" si="47"/>
        <v>12</v>
      </c>
      <c r="BA747" s="4" t="s">
        <v>5714</v>
      </c>
      <c r="BB747" s="2"/>
      <c r="BC747" s="3"/>
      <c r="BD747" s="4"/>
    </row>
    <row r="748" spans="1:56" ht="16.8" customHeight="1">
      <c r="A748" s="1">
        <v>747</v>
      </c>
      <c r="B748" s="1" t="s">
        <v>1816</v>
      </c>
      <c r="C748" s="1" t="s">
        <v>2049</v>
      </c>
      <c r="D748" s="1" t="s">
        <v>2889</v>
      </c>
      <c r="E748" s="1" t="s">
        <v>2889</v>
      </c>
      <c r="F748" s="1" t="s">
        <v>2890</v>
      </c>
      <c r="G748" s="1" t="s">
        <v>2891</v>
      </c>
      <c r="H748" s="1" t="s">
        <v>5244</v>
      </c>
      <c r="I748" s="18" t="s">
        <v>4783</v>
      </c>
      <c r="J748" s="18" t="s">
        <v>5018</v>
      </c>
      <c r="K748" s="18" t="s">
        <v>4742</v>
      </c>
      <c r="L748" s="18"/>
      <c r="M748" s="2">
        <v>2500000</v>
      </c>
      <c r="N748" s="2">
        <v>2500000</v>
      </c>
      <c r="O748" s="2"/>
      <c r="P748" s="2" t="str">
        <f t="shared" si="44"/>
        <v/>
      </c>
      <c r="Q748" s="2"/>
      <c r="R748" s="2"/>
      <c r="S748" s="48"/>
      <c r="T748" s="2">
        <v>0</v>
      </c>
      <c r="U748" s="2">
        <v>0</v>
      </c>
      <c r="V748" s="1" t="s">
        <v>2891</v>
      </c>
      <c r="W748" s="6" t="s">
        <v>2892</v>
      </c>
      <c r="X748" s="1" t="s">
        <v>154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>
        <v>3000000</v>
      </c>
      <c r="AL748" s="3">
        <v>3000000</v>
      </c>
      <c r="AM748" s="3">
        <v>3000000</v>
      </c>
      <c r="AN748" s="3">
        <v>3000000</v>
      </c>
      <c r="AO748" s="3">
        <v>3000000</v>
      </c>
      <c r="AP748" s="3">
        <v>3000000</v>
      </c>
      <c r="AQ748" s="3">
        <v>3000000</v>
      </c>
      <c r="AR748" s="3">
        <v>3000000</v>
      </c>
      <c r="AS748" s="3">
        <v>3000000</v>
      </c>
      <c r="AT748" s="3">
        <v>3000000</v>
      </c>
      <c r="AU748" s="3">
        <v>3000000</v>
      </c>
      <c r="AV748" s="3">
        <v>3000000</v>
      </c>
      <c r="AW748" s="3">
        <f t="shared" si="45"/>
        <v>0</v>
      </c>
      <c r="AX748" s="3">
        <f t="shared" si="46"/>
        <v>36000000</v>
      </c>
      <c r="AY748" s="4">
        <f t="shared" si="47"/>
        <v>12</v>
      </c>
      <c r="BA748" s="4" t="s">
        <v>5726</v>
      </c>
      <c r="BB748" s="2"/>
      <c r="BC748" s="3"/>
      <c r="BD748" s="3"/>
    </row>
    <row r="749" spans="1:56" ht="16.8" customHeight="1">
      <c r="A749" s="1">
        <v>748</v>
      </c>
      <c r="B749" s="1" t="s">
        <v>1816</v>
      </c>
      <c r="C749" s="1" t="s">
        <v>2049</v>
      </c>
      <c r="D749" s="1" t="s">
        <v>2893</v>
      </c>
      <c r="E749" s="1" t="s">
        <v>2893</v>
      </c>
      <c r="F749" s="1" t="s">
        <v>2894</v>
      </c>
      <c r="G749" s="1" t="s">
        <v>2895</v>
      </c>
      <c r="H749" s="1" t="s">
        <v>5043</v>
      </c>
      <c r="I749" s="18"/>
      <c r="J749" s="18"/>
      <c r="K749" s="18"/>
      <c r="L749" s="18"/>
      <c r="M749" s="2">
        <v>3000000</v>
      </c>
      <c r="N749" s="2">
        <v>3000000</v>
      </c>
      <c r="O749" s="2"/>
      <c r="P749" s="2" t="str">
        <f t="shared" si="44"/>
        <v/>
      </c>
      <c r="Q749" s="2">
        <v>5000000</v>
      </c>
      <c r="R749" s="2"/>
      <c r="S749" s="48">
        <v>46023</v>
      </c>
      <c r="T749" s="2">
        <v>0</v>
      </c>
      <c r="U749" s="2">
        <v>0</v>
      </c>
      <c r="V749" s="1"/>
      <c r="W749" s="6"/>
      <c r="X749" s="1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>
        <f t="shared" si="45"/>
        <v>0</v>
      </c>
      <c r="AX749" s="3">
        <f t="shared" si="46"/>
        <v>0</v>
      </c>
      <c r="AY749" s="4">
        <f t="shared" si="47"/>
        <v>0</v>
      </c>
      <c r="BA749" s="4" t="s">
        <v>5726</v>
      </c>
      <c r="BB749" s="2"/>
      <c r="BC749" s="3"/>
      <c r="BD749" s="4"/>
    </row>
    <row r="750" spans="1:56" ht="16.8" customHeight="1">
      <c r="A750" s="1">
        <v>749</v>
      </c>
      <c r="B750" s="1" t="s">
        <v>1816</v>
      </c>
      <c r="C750" s="1" t="s">
        <v>2049</v>
      </c>
      <c r="D750" s="1" t="s">
        <v>2896</v>
      </c>
      <c r="E750" s="1" t="s">
        <v>2896</v>
      </c>
      <c r="F750" s="1" t="s">
        <v>2897</v>
      </c>
      <c r="G750" s="1" t="s">
        <v>2898</v>
      </c>
      <c r="H750" s="1" t="s">
        <v>5043</v>
      </c>
      <c r="I750" s="18"/>
      <c r="J750" s="18"/>
      <c r="K750" s="18"/>
      <c r="L750" s="18"/>
      <c r="M750" s="2">
        <v>4000000</v>
      </c>
      <c r="N750" s="2">
        <v>4000000</v>
      </c>
      <c r="O750" s="2"/>
      <c r="P750" s="2" t="str">
        <f t="shared" si="44"/>
        <v/>
      </c>
      <c r="Q750" s="2"/>
      <c r="R750" s="2"/>
      <c r="S750" s="48"/>
      <c r="T750" s="2">
        <v>0</v>
      </c>
      <c r="U750" s="2">
        <v>0</v>
      </c>
      <c r="V750" s="1"/>
      <c r="W750" s="6"/>
      <c r="X750" s="1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>
        <f t="shared" si="45"/>
        <v>0</v>
      </c>
      <c r="AX750" s="3">
        <f t="shared" si="46"/>
        <v>0</v>
      </c>
      <c r="AY750" s="4">
        <f t="shared" si="47"/>
        <v>0</v>
      </c>
      <c r="BA750" s="4" t="s">
        <v>5726</v>
      </c>
      <c r="BB750" s="2"/>
      <c r="BC750" s="3"/>
      <c r="BD750" s="4"/>
    </row>
    <row r="751" spans="1:56" ht="16.8" customHeight="1">
      <c r="A751" s="1">
        <v>750</v>
      </c>
      <c r="B751" s="1" t="s">
        <v>1816</v>
      </c>
      <c r="C751" s="1" t="s">
        <v>2049</v>
      </c>
      <c r="D751" s="1" t="s">
        <v>2899</v>
      </c>
      <c r="E751" s="1" t="s">
        <v>2899</v>
      </c>
      <c r="F751" s="1" t="s">
        <v>2900</v>
      </c>
      <c r="G751" s="1" t="s">
        <v>2901</v>
      </c>
      <c r="H751" s="1" t="s">
        <v>5245</v>
      </c>
      <c r="I751" s="18" t="s">
        <v>4783</v>
      </c>
      <c r="J751" s="18" t="s">
        <v>5018</v>
      </c>
      <c r="K751" s="18" t="s">
        <v>4742</v>
      </c>
      <c r="L751" s="18" t="s">
        <v>4734</v>
      </c>
      <c r="M751" s="2">
        <v>5000000</v>
      </c>
      <c r="N751" s="2">
        <v>5000000</v>
      </c>
      <c r="O751" s="2"/>
      <c r="P751" s="2" t="str">
        <f t="shared" si="44"/>
        <v/>
      </c>
      <c r="Q751" s="2"/>
      <c r="R751" s="2"/>
      <c r="S751" s="48"/>
      <c r="T751" s="2">
        <v>0</v>
      </c>
      <c r="U751" s="2">
        <v>0</v>
      </c>
      <c r="V751" s="1" t="s">
        <v>2902</v>
      </c>
      <c r="W751" s="6" t="s">
        <v>2903</v>
      </c>
      <c r="X751" s="1" t="s">
        <v>2735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>
        <v>5000000</v>
      </c>
      <c r="AL751" s="3">
        <v>5000000</v>
      </c>
      <c r="AM751" s="3">
        <v>5000000</v>
      </c>
      <c r="AN751" s="3">
        <v>5000000</v>
      </c>
      <c r="AO751" s="3">
        <v>5000000</v>
      </c>
      <c r="AP751" s="3">
        <v>5000000</v>
      </c>
      <c r="AQ751" s="3">
        <v>5000000</v>
      </c>
      <c r="AR751" s="3">
        <v>5000000</v>
      </c>
      <c r="AS751" s="3">
        <v>5000000</v>
      </c>
      <c r="AT751" s="3">
        <v>5000000</v>
      </c>
      <c r="AU751" s="3">
        <v>5000000</v>
      </c>
      <c r="AV751" s="3">
        <v>5000000</v>
      </c>
      <c r="AW751" s="3">
        <f t="shared" si="45"/>
        <v>0</v>
      </c>
      <c r="AX751" s="3">
        <f t="shared" si="46"/>
        <v>60000000</v>
      </c>
      <c r="AY751" s="4">
        <f t="shared" si="47"/>
        <v>12</v>
      </c>
      <c r="AZ751" s="8">
        <v>0</v>
      </c>
      <c r="BA751" s="4" t="s">
        <v>5726</v>
      </c>
      <c r="BB751" s="2"/>
      <c r="BC751" s="3"/>
      <c r="BD751" s="3"/>
    </row>
    <row r="752" spans="1:56" ht="16.8" customHeight="1">
      <c r="A752" s="1">
        <v>751</v>
      </c>
      <c r="B752" s="1" t="s">
        <v>1816</v>
      </c>
      <c r="C752" s="1" t="s">
        <v>2049</v>
      </c>
      <c r="D752" s="1" t="s">
        <v>2904</v>
      </c>
      <c r="E752" s="1" t="s">
        <v>2904</v>
      </c>
      <c r="F752" s="1" t="s">
        <v>2905</v>
      </c>
      <c r="G752" s="1" t="s">
        <v>2906</v>
      </c>
      <c r="H752" s="1" t="s">
        <v>5043</v>
      </c>
      <c r="I752" s="18"/>
      <c r="J752" s="18"/>
      <c r="K752" s="18"/>
      <c r="L752" s="18"/>
      <c r="M752" s="2">
        <v>3000000</v>
      </c>
      <c r="N752" s="2">
        <v>3000000</v>
      </c>
      <c r="O752" s="2"/>
      <c r="P752" s="2" t="str">
        <f t="shared" si="44"/>
        <v/>
      </c>
      <c r="Q752" s="2"/>
      <c r="R752" s="2"/>
      <c r="S752" s="48"/>
      <c r="T752" s="2">
        <v>0</v>
      </c>
      <c r="U752" s="2">
        <v>18000000</v>
      </c>
      <c r="V752" s="1"/>
      <c r="W752" s="6"/>
      <c r="X752" s="1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>
        <f t="shared" si="45"/>
        <v>0</v>
      </c>
      <c r="AX752" s="3">
        <f t="shared" si="46"/>
        <v>0</v>
      </c>
      <c r="AY752" s="4">
        <f t="shared" si="47"/>
        <v>0</v>
      </c>
      <c r="BA752" s="4" t="s">
        <v>5726</v>
      </c>
      <c r="BB752" s="2"/>
      <c r="BC752" s="3"/>
      <c r="BD752" s="4"/>
    </row>
    <row r="753" spans="1:56" ht="16.8" customHeight="1">
      <c r="A753" s="1">
        <v>752</v>
      </c>
      <c r="B753" s="1" t="s">
        <v>1816</v>
      </c>
      <c r="C753" s="1" t="s">
        <v>2049</v>
      </c>
      <c r="D753" s="1" t="s">
        <v>2907</v>
      </c>
      <c r="E753" s="1" t="s">
        <v>2907</v>
      </c>
      <c r="F753" s="1" t="s">
        <v>2908</v>
      </c>
      <c r="G753" s="1" t="s">
        <v>2909</v>
      </c>
      <c r="H753" s="1" t="s">
        <v>5246</v>
      </c>
      <c r="I753" s="18" t="s">
        <v>4783</v>
      </c>
      <c r="J753" s="18" t="s">
        <v>5247</v>
      </c>
      <c r="K753" s="18" t="s">
        <v>4741</v>
      </c>
      <c r="L753" s="18" t="s">
        <v>4734</v>
      </c>
      <c r="M753" s="2">
        <v>3000000</v>
      </c>
      <c r="N753" s="2">
        <v>3000000</v>
      </c>
      <c r="O753" s="2"/>
      <c r="P753" s="2" t="str">
        <f t="shared" si="44"/>
        <v/>
      </c>
      <c r="Q753" s="2"/>
      <c r="R753" s="2"/>
      <c r="S753" s="48"/>
      <c r="T753" s="2">
        <v>72000000</v>
      </c>
      <c r="U753" s="2">
        <v>0</v>
      </c>
      <c r="V753" s="1" t="s">
        <v>2910</v>
      </c>
      <c r="W753" s="6" t="s">
        <v>2911</v>
      </c>
      <c r="X753" s="1" t="s">
        <v>2912</v>
      </c>
      <c r="Y753" s="3">
        <v>3000000</v>
      </c>
      <c r="Z753" s="3">
        <v>3000000</v>
      </c>
      <c r="AA753" s="3">
        <v>3000000</v>
      </c>
      <c r="AB753" s="3">
        <v>3000000</v>
      </c>
      <c r="AC753" s="3">
        <v>3000000</v>
      </c>
      <c r="AD753" s="3">
        <v>3000000</v>
      </c>
      <c r="AE753" s="3">
        <v>3000000</v>
      </c>
      <c r="AF753" s="3">
        <v>3000000</v>
      </c>
      <c r="AG753" s="3">
        <v>3000000</v>
      </c>
      <c r="AH753" s="3">
        <v>3000000</v>
      </c>
      <c r="AI753" s="3">
        <v>3000000</v>
      </c>
      <c r="AJ753" s="3">
        <v>3000000</v>
      </c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>
        <f t="shared" si="45"/>
        <v>36000000</v>
      </c>
      <c r="AX753" s="3">
        <f t="shared" si="46"/>
        <v>0</v>
      </c>
      <c r="AY753" s="4">
        <f t="shared" si="47"/>
        <v>12</v>
      </c>
      <c r="AZ753" s="8" t="s">
        <v>5564</v>
      </c>
      <c r="BA753" s="4" t="s">
        <v>5726</v>
      </c>
      <c r="BB753" s="2"/>
      <c r="BC753" s="3"/>
      <c r="BD753" s="4"/>
    </row>
    <row r="754" spans="1:56" ht="16.8" customHeight="1">
      <c r="A754" s="1">
        <v>753</v>
      </c>
      <c r="B754" s="1" t="s">
        <v>1816</v>
      </c>
      <c r="C754" s="1" t="s">
        <v>2049</v>
      </c>
      <c r="D754" s="1" t="s">
        <v>2913</v>
      </c>
      <c r="E754" s="1" t="s">
        <v>2913</v>
      </c>
      <c r="F754" s="1" t="s">
        <v>2914</v>
      </c>
      <c r="G754" s="1" t="s">
        <v>2915</v>
      </c>
      <c r="H754" s="1" t="s">
        <v>4585</v>
      </c>
      <c r="I754" s="18" t="s">
        <v>4783</v>
      </c>
      <c r="J754" s="18" t="s">
        <v>5074</v>
      </c>
      <c r="K754" s="18" t="s">
        <v>4737</v>
      </c>
      <c r="L754" s="18" t="s">
        <v>4734</v>
      </c>
      <c r="M754" s="2">
        <v>3000000</v>
      </c>
      <c r="N754" s="2">
        <v>3000000</v>
      </c>
      <c r="O754" s="2"/>
      <c r="P754" s="2" t="str">
        <f t="shared" si="44"/>
        <v/>
      </c>
      <c r="Q754" s="2"/>
      <c r="R754" s="2"/>
      <c r="S754" s="48"/>
      <c r="T754" s="2">
        <v>36000000</v>
      </c>
      <c r="U754" s="2">
        <v>0</v>
      </c>
      <c r="V754" s="1"/>
      <c r="W754" s="6"/>
      <c r="X754" s="1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>
        <f t="shared" si="45"/>
        <v>0</v>
      </c>
      <c r="AX754" s="3">
        <f t="shared" si="46"/>
        <v>0</v>
      </c>
      <c r="AY754" s="4">
        <f t="shared" si="47"/>
        <v>0</v>
      </c>
      <c r="AZ754" s="8" t="s">
        <v>5564</v>
      </c>
      <c r="BA754" s="4" t="s">
        <v>5726</v>
      </c>
      <c r="BB754" s="2"/>
      <c r="BC754" s="3"/>
      <c r="BD754" s="4"/>
    </row>
    <row r="755" spans="1:56" ht="16.8" customHeight="1">
      <c r="A755" s="1">
        <v>754</v>
      </c>
      <c r="B755" s="1" t="s">
        <v>1816</v>
      </c>
      <c r="C755" s="1" t="s">
        <v>2049</v>
      </c>
      <c r="D755" s="1" t="s">
        <v>2916</v>
      </c>
      <c r="E755" s="1" t="s">
        <v>2916</v>
      </c>
      <c r="F755" s="1" t="s">
        <v>2917</v>
      </c>
      <c r="G755" s="1" t="s">
        <v>2918</v>
      </c>
      <c r="H755" s="1" t="s">
        <v>5248</v>
      </c>
      <c r="I755" s="18" t="s">
        <v>4783</v>
      </c>
      <c r="J755" s="18" t="s">
        <v>5018</v>
      </c>
      <c r="K755" s="18" t="s">
        <v>4737</v>
      </c>
      <c r="L755" s="18" t="s">
        <v>4734</v>
      </c>
      <c r="M755" s="2">
        <v>4000000</v>
      </c>
      <c r="N755" s="2">
        <v>4500000</v>
      </c>
      <c r="O755" s="2"/>
      <c r="P755" s="2">
        <f t="shared" si="44"/>
        <v>500000</v>
      </c>
      <c r="Q755" s="2"/>
      <c r="R755" s="2"/>
      <c r="S755" s="48"/>
      <c r="T755" s="2">
        <v>0</v>
      </c>
      <c r="U755" s="2">
        <v>0</v>
      </c>
      <c r="V755" s="1" t="s">
        <v>2919</v>
      </c>
      <c r="W755" s="6" t="s">
        <v>2920</v>
      </c>
      <c r="X755" s="1" t="s">
        <v>2921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>
        <v>4500000</v>
      </c>
      <c r="AL755" s="3">
        <v>4500000</v>
      </c>
      <c r="AM755" s="3">
        <v>4500000</v>
      </c>
      <c r="AN755" s="3">
        <v>4500000</v>
      </c>
      <c r="AO755" s="3">
        <v>4500000</v>
      </c>
      <c r="AP755" s="3">
        <v>4500000</v>
      </c>
      <c r="AQ755" s="3">
        <v>4500000</v>
      </c>
      <c r="AR755" s="3">
        <v>4500000</v>
      </c>
      <c r="AS755" s="3">
        <v>4500000</v>
      </c>
      <c r="AT755" s="3">
        <v>4500000</v>
      </c>
      <c r="AU755" s="3">
        <v>4500000</v>
      </c>
      <c r="AV755" s="3">
        <v>4500000</v>
      </c>
      <c r="AW755" s="3">
        <f t="shared" si="45"/>
        <v>0</v>
      </c>
      <c r="AX755" s="3">
        <f t="shared" si="46"/>
        <v>54000000</v>
      </c>
      <c r="AY755" s="4">
        <f t="shared" si="47"/>
        <v>12</v>
      </c>
      <c r="AZ755" s="8">
        <v>0</v>
      </c>
      <c r="BA755" s="4" t="s">
        <v>5726</v>
      </c>
      <c r="BB755" s="2"/>
      <c r="BC755" s="3"/>
      <c r="BD755" s="3"/>
    </row>
    <row r="756" spans="1:56" ht="16.8" customHeight="1">
      <c r="A756" s="1">
        <v>755</v>
      </c>
      <c r="B756" s="1" t="s">
        <v>1816</v>
      </c>
      <c r="C756" s="1" t="s">
        <v>2049</v>
      </c>
      <c r="D756" s="1" t="s">
        <v>2922</v>
      </c>
      <c r="E756" s="1" t="s">
        <v>2922</v>
      </c>
      <c r="F756" s="1" t="s">
        <v>2923</v>
      </c>
      <c r="G756" s="1" t="s">
        <v>2924</v>
      </c>
      <c r="H756" s="1" t="s">
        <v>5249</v>
      </c>
      <c r="I756" s="18" t="s">
        <v>4783</v>
      </c>
      <c r="J756" s="18" t="s">
        <v>5018</v>
      </c>
      <c r="K756" s="18" t="s">
        <v>4753</v>
      </c>
      <c r="L756" s="18" t="s">
        <v>4734</v>
      </c>
      <c r="M756" s="2">
        <v>4000000</v>
      </c>
      <c r="N756" s="2">
        <v>4000000</v>
      </c>
      <c r="O756" s="2"/>
      <c r="P756" s="2" t="str">
        <f t="shared" si="44"/>
        <v/>
      </c>
      <c r="Q756" s="2"/>
      <c r="R756" s="2"/>
      <c r="S756" s="48"/>
      <c r="T756" s="2">
        <v>0</v>
      </c>
      <c r="U756" s="2">
        <v>0</v>
      </c>
      <c r="V756" s="1"/>
      <c r="W756" s="6"/>
      <c r="X756" s="1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>
        <v>4000000</v>
      </c>
      <c r="AL756" s="3">
        <v>4000000</v>
      </c>
      <c r="AM756" s="3">
        <v>4000000</v>
      </c>
      <c r="AN756" s="3">
        <v>4000000</v>
      </c>
      <c r="AO756" s="3">
        <v>4000000</v>
      </c>
      <c r="AP756" s="3">
        <v>4000000</v>
      </c>
      <c r="AQ756" s="3">
        <v>4000000</v>
      </c>
      <c r="AR756" s="3">
        <v>4000000</v>
      </c>
      <c r="AS756" s="3">
        <v>4000000</v>
      </c>
      <c r="AT756" s="3">
        <v>4000000</v>
      </c>
      <c r="AU756" s="3">
        <v>4000000</v>
      </c>
      <c r="AV756" s="3">
        <v>4000000</v>
      </c>
      <c r="AW756" s="3">
        <f t="shared" si="45"/>
        <v>0</v>
      </c>
      <c r="AX756" s="3">
        <f t="shared" si="46"/>
        <v>48000000</v>
      </c>
      <c r="AY756" s="4">
        <f t="shared" si="47"/>
        <v>12</v>
      </c>
      <c r="AZ756" s="8">
        <v>0</v>
      </c>
      <c r="BA756" s="4" t="s">
        <v>5726</v>
      </c>
      <c r="BB756" s="2">
        <v>48000000</v>
      </c>
      <c r="BC756" s="3"/>
      <c r="BD756" s="3"/>
    </row>
    <row r="757" spans="1:56" ht="16.8" customHeight="1">
      <c r="A757" s="1">
        <v>756</v>
      </c>
      <c r="B757" s="1" t="s">
        <v>1816</v>
      </c>
      <c r="C757" s="1" t="s">
        <v>2049</v>
      </c>
      <c r="D757" s="1" t="s">
        <v>2925</v>
      </c>
      <c r="E757" s="1" t="s">
        <v>2925</v>
      </c>
      <c r="F757" s="1" t="s">
        <v>2926</v>
      </c>
      <c r="G757" s="1" t="s">
        <v>2927</v>
      </c>
      <c r="H757" s="1" t="s">
        <v>5250</v>
      </c>
      <c r="I757" s="18" t="s">
        <v>4783</v>
      </c>
      <c r="J757" s="18" t="s">
        <v>5074</v>
      </c>
      <c r="K757" s="18" t="s">
        <v>4755</v>
      </c>
      <c r="L757" s="18" t="s">
        <v>4734</v>
      </c>
      <c r="M757" s="2">
        <v>3000000</v>
      </c>
      <c r="N757" s="2">
        <v>3000000</v>
      </c>
      <c r="O757" s="2"/>
      <c r="P757" s="2" t="str">
        <f t="shared" si="44"/>
        <v/>
      </c>
      <c r="Q757" s="2"/>
      <c r="R757" s="2"/>
      <c r="S757" s="48"/>
      <c r="T757" s="2">
        <v>36000000</v>
      </c>
      <c r="U757" s="2">
        <v>0</v>
      </c>
      <c r="V757" s="1" t="s">
        <v>2927</v>
      </c>
      <c r="W757" s="6" t="s">
        <v>2928</v>
      </c>
      <c r="X757" s="1" t="s">
        <v>2010</v>
      </c>
      <c r="Y757" s="3">
        <v>3000000</v>
      </c>
      <c r="Z757" s="3">
        <v>3000000</v>
      </c>
      <c r="AA757" s="3">
        <v>3000000</v>
      </c>
      <c r="AB757" s="3">
        <v>3000000</v>
      </c>
      <c r="AC757" s="3">
        <v>3000000</v>
      </c>
      <c r="AD757" s="3">
        <v>3000000</v>
      </c>
      <c r="AE757" s="3">
        <v>3000000</v>
      </c>
      <c r="AF757" s="3">
        <v>3000000</v>
      </c>
      <c r="AG757" s="3">
        <v>3000000</v>
      </c>
      <c r="AH757" s="3">
        <v>3000000</v>
      </c>
      <c r="AI757" s="3">
        <v>3000000</v>
      </c>
      <c r="AJ757" s="3">
        <v>3000000</v>
      </c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>
        <f t="shared" si="45"/>
        <v>36000000</v>
      </c>
      <c r="AX757" s="3">
        <f t="shared" si="46"/>
        <v>0</v>
      </c>
      <c r="AY757" s="4">
        <f t="shared" si="47"/>
        <v>12</v>
      </c>
      <c r="AZ757" s="8">
        <v>0</v>
      </c>
      <c r="BA757" s="4" t="s">
        <v>5726</v>
      </c>
      <c r="BB757" s="2"/>
      <c r="BC757" s="3"/>
      <c r="BD757" s="4"/>
    </row>
    <row r="758" spans="1:56" ht="16.8" customHeight="1">
      <c r="A758" s="1">
        <v>757</v>
      </c>
      <c r="B758" s="1" t="s">
        <v>1816</v>
      </c>
      <c r="C758" s="1" t="s">
        <v>2049</v>
      </c>
      <c r="D758" s="1" t="s">
        <v>2929</v>
      </c>
      <c r="E758" s="1" t="s">
        <v>2929</v>
      </c>
      <c r="F758" s="1" t="s">
        <v>2930</v>
      </c>
      <c r="G758" s="1" t="s">
        <v>2931</v>
      </c>
      <c r="H758" s="1" t="s">
        <v>5251</v>
      </c>
      <c r="I758" s="18" t="s">
        <v>4783</v>
      </c>
      <c r="J758" s="18" t="s">
        <v>5018</v>
      </c>
      <c r="K758" s="18" t="s">
        <v>4745</v>
      </c>
      <c r="L758" s="18" t="s">
        <v>4734</v>
      </c>
      <c r="M758" s="2">
        <v>3000000</v>
      </c>
      <c r="N758" s="2">
        <v>3000000</v>
      </c>
      <c r="O758" s="2"/>
      <c r="P758" s="2" t="str">
        <f t="shared" si="44"/>
        <v/>
      </c>
      <c r="Q758" s="2"/>
      <c r="R758" s="2"/>
      <c r="S758" s="48"/>
      <c r="T758" s="2">
        <v>0</v>
      </c>
      <c r="U758" s="2">
        <v>0</v>
      </c>
      <c r="V758" s="1"/>
      <c r="W758" s="6"/>
      <c r="X758" s="1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>
        <v>3000000</v>
      </c>
      <c r="AL758" s="3">
        <v>3000000</v>
      </c>
      <c r="AM758" s="3">
        <v>3000000</v>
      </c>
      <c r="AN758" s="3">
        <v>3000000</v>
      </c>
      <c r="AO758" s="3">
        <v>3000000</v>
      </c>
      <c r="AP758" s="3">
        <v>3000000</v>
      </c>
      <c r="AQ758" s="3">
        <v>3000000</v>
      </c>
      <c r="AR758" s="3">
        <v>3000000</v>
      </c>
      <c r="AS758" s="3">
        <v>3000000</v>
      </c>
      <c r="AT758" s="3">
        <v>3000000</v>
      </c>
      <c r="AU758" s="3">
        <v>3000000</v>
      </c>
      <c r="AV758" s="3">
        <v>3000000</v>
      </c>
      <c r="AW758" s="3">
        <f t="shared" si="45"/>
        <v>0</v>
      </c>
      <c r="AX758" s="3">
        <f t="shared" si="46"/>
        <v>36000000</v>
      </c>
      <c r="AY758" s="4">
        <f t="shared" si="47"/>
        <v>12</v>
      </c>
      <c r="AZ758" s="8">
        <v>0</v>
      </c>
      <c r="BA758" s="4" t="s">
        <v>5726</v>
      </c>
      <c r="BB758" s="2">
        <v>36000000</v>
      </c>
      <c r="BC758" s="3"/>
      <c r="BD758" s="3"/>
    </row>
    <row r="759" spans="1:56" ht="16.8" customHeight="1">
      <c r="A759" s="1">
        <v>758</v>
      </c>
      <c r="B759" s="1" t="s">
        <v>1816</v>
      </c>
      <c r="C759" s="1" t="s">
        <v>2049</v>
      </c>
      <c r="D759" s="1" t="s">
        <v>2932</v>
      </c>
      <c r="E759" s="1" t="s">
        <v>2932</v>
      </c>
      <c r="F759" s="1" t="s">
        <v>2933</v>
      </c>
      <c r="G759" s="1" t="s">
        <v>2934</v>
      </c>
      <c r="H759" s="1" t="s">
        <v>5043</v>
      </c>
      <c r="I759" s="18"/>
      <c r="J759" s="18"/>
      <c r="K759" s="18"/>
      <c r="L759" s="18"/>
      <c r="M759" s="2">
        <v>3500000</v>
      </c>
      <c r="N759" s="2">
        <v>3500000</v>
      </c>
      <c r="O759" s="2"/>
      <c r="P759" s="2" t="str">
        <f t="shared" si="44"/>
        <v/>
      </c>
      <c r="Q759" s="2"/>
      <c r="R759" s="2"/>
      <c r="S759" s="48"/>
      <c r="T759" s="2">
        <v>0</v>
      </c>
      <c r="U759" s="2">
        <v>0</v>
      </c>
      <c r="V759" s="1"/>
      <c r="W759" s="6"/>
      <c r="X759" s="1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>
        <f t="shared" si="45"/>
        <v>0</v>
      </c>
      <c r="AX759" s="3">
        <f t="shared" si="46"/>
        <v>0</v>
      </c>
      <c r="AY759" s="4">
        <f t="shared" si="47"/>
        <v>0</v>
      </c>
      <c r="BA759" s="4" t="s">
        <v>5726</v>
      </c>
      <c r="BB759" s="2"/>
      <c r="BC759" s="3"/>
      <c r="BD759" s="4"/>
    </row>
    <row r="760" spans="1:56" ht="16.8" customHeight="1">
      <c r="A760" s="1">
        <v>759</v>
      </c>
      <c r="B760" s="1" t="s">
        <v>1816</v>
      </c>
      <c r="C760" s="1" t="s">
        <v>2049</v>
      </c>
      <c r="D760" s="1" t="s">
        <v>2935</v>
      </c>
      <c r="E760" s="1" t="s">
        <v>2935</v>
      </c>
      <c r="F760" s="1" t="s">
        <v>2936</v>
      </c>
      <c r="G760" s="1" t="s">
        <v>2937</v>
      </c>
      <c r="H760" s="1" t="s">
        <v>5043</v>
      </c>
      <c r="I760" s="18"/>
      <c r="J760" s="18"/>
      <c r="K760" s="18"/>
      <c r="L760" s="18"/>
      <c r="M760" s="2">
        <v>8000000</v>
      </c>
      <c r="N760" s="2">
        <v>8000000</v>
      </c>
      <c r="O760" s="2"/>
      <c r="P760" s="2" t="str">
        <f t="shared" si="44"/>
        <v/>
      </c>
      <c r="Q760" s="2"/>
      <c r="R760" s="2"/>
      <c r="S760" s="48"/>
      <c r="T760" s="2">
        <v>0</v>
      </c>
      <c r="U760" s="2">
        <v>0</v>
      </c>
      <c r="V760" s="1"/>
      <c r="W760" s="6"/>
      <c r="X760" s="1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>
        <f t="shared" si="45"/>
        <v>0</v>
      </c>
      <c r="AX760" s="3">
        <f t="shared" si="46"/>
        <v>0</v>
      </c>
      <c r="AY760" s="4">
        <f t="shared" si="47"/>
        <v>0</v>
      </c>
      <c r="BA760" s="4" t="s">
        <v>5726</v>
      </c>
      <c r="BB760" s="2"/>
      <c r="BC760" s="3"/>
      <c r="BD760" s="4"/>
    </row>
    <row r="761" spans="1:56" ht="16.8" customHeight="1">
      <c r="A761" s="1">
        <v>760</v>
      </c>
      <c r="B761" s="1" t="s">
        <v>1816</v>
      </c>
      <c r="C761" s="1" t="s">
        <v>2049</v>
      </c>
      <c r="D761" s="1" t="s">
        <v>2938</v>
      </c>
      <c r="E761" s="1" t="s">
        <v>2938</v>
      </c>
      <c r="F761" s="1" t="s">
        <v>2939</v>
      </c>
      <c r="G761" s="1" t="s">
        <v>2940</v>
      </c>
      <c r="H761" s="1" t="s">
        <v>5252</v>
      </c>
      <c r="I761" s="18" t="s">
        <v>5131</v>
      </c>
      <c r="J761" s="18" t="s">
        <v>5018</v>
      </c>
      <c r="K761" s="18" t="s">
        <v>4748</v>
      </c>
      <c r="L761" s="18" t="s">
        <v>4734</v>
      </c>
      <c r="M761" s="2">
        <v>4000000</v>
      </c>
      <c r="N761" s="2">
        <v>4000000</v>
      </c>
      <c r="O761" s="2"/>
      <c r="P761" s="2" t="str">
        <f t="shared" si="44"/>
        <v/>
      </c>
      <c r="Q761" s="2"/>
      <c r="R761" s="2"/>
      <c r="S761" s="48"/>
      <c r="T761" s="2">
        <v>0</v>
      </c>
      <c r="U761" s="2">
        <v>0</v>
      </c>
      <c r="V761" s="1" t="s">
        <v>2941</v>
      </c>
      <c r="W761" s="6" t="s">
        <v>2942</v>
      </c>
      <c r="X761" s="1" t="s">
        <v>1879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>
        <v>4000000</v>
      </c>
      <c r="AL761" s="3">
        <v>4000000</v>
      </c>
      <c r="AM761" s="3">
        <v>4000000</v>
      </c>
      <c r="AN761" s="3">
        <v>4000000</v>
      </c>
      <c r="AO761" s="3">
        <v>4000000</v>
      </c>
      <c r="AP761" s="3">
        <v>4000000</v>
      </c>
      <c r="AQ761" s="3">
        <v>4000000</v>
      </c>
      <c r="AR761" s="3">
        <v>4000000</v>
      </c>
      <c r="AS761" s="3">
        <v>4000000</v>
      </c>
      <c r="AT761" s="3">
        <v>4000000</v>
      </c>
      <c r="AU761" s="3">
        <v>4000000</v>
      </c>
      <c r="AV761" s="3">
        <v>4000000</v>
      </c>
      <c r="AW761" s="3">
        <f t="shared" si="45"/>
        <v>0</v>
      </c>
      <c r="AX761" s="3">
        <f t="shared" si="46"/>
        <v>48000000</v>
      </c>
      <c r="AY761" s="4">
        <f t="shared" si="47"/>
        <v>12</v>
      </c>
      <c r="AZ761" s="8" t="s">
        <v>5597</v>
      </c>
      <c r="BA761" s="4" t="s">
        <v>5726</v>
      </c>
      <c r="BB761" s="2"/>
      <c r="BC761" s="3"/>
      <c r="BD761" s="3"/>
    </row>
    <row r="762" spans="1:56" ht="16.8" customHeight="1">
      <c r="A762" s="1">
        <v>761</v>
      </c>
      <c r="B762" s="1" t="s">
        <v>1816</v>
      </c>
      <c r="C762" s="1" t="s">
        <v>2049</v>
      </c>
      <c r="D762" s="1" t="s">
        <v>2943</v>
      </c>
      <c r="E762" s="1" t="s">
        <v>2943</v>
      </c>
      <c r="F762" s="1" t="s">
        <v>2944</v>
      </c>
      <c r="G762" s="1" t="s">
        <v>2945</v>
      </c>
      <c r="H762" s="1" t="s">
        <v>5253</v>
      </c>
      <c r="I762" s="18" t="s">
        <v>4783</v>
      </c>
      <c r="J762" s="18" t="s">
        <v>5018</v>
      </c>
      <c r="K762" s="18" t="s">
        <v>5254</v>
      </c>
      <c r="L762" s="18" t="s">
        <v>4734</v>
      </c>
      <c r="M762" s="2">
        <v>3636364</v>
      </c>
      <c r="N762" s="2">
        <v>3636364</v>
      </c>
      <c r="O762" s="2"/>
      <c r="P762" s="2" t="str">
        <f t="shared" si="44"/>
        <v/>
      </c>
      <c r="Q762" s="2"/>
      <c r="R762" s="2"/>
      <c r="S762" s="48"/>
      <c r="T762" s="2">
        <v>0</v>
      </c>
      <c r="U762" s="2">
        <v>0</v>
      </c>
      <c r="V762" s="1" t="s">
        <v>2945</v>
      </c>
      <c r="W762" s="6" t="s">
        <v>2946</v>
      </c>
      <c r="X762" s="1" t="s">
        <v>2947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>
        <v>3636364</v>
      </c>
      <c r="AL762" s="3">
        <v>3636364</v>
      </c>
      <c r="AM762" s="3">
        <v>3636364</v>
      </c>
      <c r="AN762" s="3">
        <v>3636364</v>
      </c>
      <c r="AO762" s="3">
        <v>3636364</v>
      </c>
      <c r="AP762" s="3">
        <v>3636364</v>
      </c>
      <c r="AQ762" s="3">
        <v>3636364</v>
      </c>
      <c r="AR762" s="3">
        <v>3636364</v>
      </c>
      <c r="AS762" s="3">
        <v>3636364</v>
      </c>
      <c r="AT762" s="3">
        <v>3636364</v>
      </c>
      <c r="AU762" s="3">
        <v>3636364</v>
      </c>
      <c r="AV762" s="3">
        <v>3636364</v>
      </c>
      <c r="AW762" s="3">
        <f t="shared" si="45"/>
        <v>0</v>
      </c>
      <c r="AX762" s="3">
        <f t="shared" si="46"/>
        <v>43636368</v>
      </c>
      <c r="AY762" s="4">
        <f t="shared" si="47"/>
        <v>12</v>
      </c>
      <c r="AZ762" s="8" t="s">
        <v>5495</v>
      </c>
      <c r="BA762" s="4" t="s">
        <v>5726</v>
      </c>
      <c r="BB762" s="2"/>
      <c r="BC762" s="3"/>
      <c r="BD762" s="3"/>
    </row>
    <row r="763" spans="1:56" ht="16.8" customHeight="1">
      <c r="A763" s="1">
        <v>762</v>
      </c>
      <c r="B763" s="1" t="s">
        <v>1816</v>
      </c>
      <c r="C763" s="1" t="s">
        <v>2049</v>
      </c>
      <c r="D763" s="1" t="s">
        <v>2948</v>
      </c>
      <c r="E763" s="1" t="s">
        <v>2948</v>
      </c>
      <c r="F763" s="1" t="s">
        <v>2949</v>
      </c>
      <c r="G763" s="1" t="s">
        <v>2950</v>
      </c>
      <c r="H763" s="1" t="s">
        <v>5255</v>
      </c>
      <c r="I763" s="18" t="s">
        <v>4783</v>
      </c>
      <c r="J763" s="18" t="s">
        <v>5074</v>
      </c>
      <c r="K763" s="18" t="s">
        <v>4742</v>
      </c>
      <c r="L763" s="18" t="s">
        <v>4734</v>
      </c>
      <c r="M763" s="2">
        <v>3000000</v>
      </c>
      <c r="N763" s="2">
        <v>3000000</v>
      </c>
      <c r="O763" s="2"/>
      <c r="P763" s="2" t="str">
        <f t="shared" si="44"/>
        <v/>
      </c>
      <c r="Q763" s="2"/>
      <c r="R763" s="2"/>
      <c r="S763" s="48"/>
      <c r="T763" s="2">
        <v>56100000</v>
      </c>
      <c r="U763" s="2">
        <v>0</v>
      </c>
      <c r="V763" s="1" t="s">
        <v>2950</v>
      </c>
      <c r="W763" s="6" t="s">
        <v>2951</v>
      </c>
      <c r="X763" s="1" t="s">
        <v>2190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>
        <f t="shared" si="45"/>
        <v>0</v>
      </c>
      <c r="AX763" s="3">
        <f t="shared" si="46"/>
        <v>0</v>
      </c>
      <c r="AY763" s="4">
        <f t="shared" si="47"/>
        <v>0</v>
      </c>
      <c r="AZ763" s="8">
        <v>0</v>
      </c>
      <c r="BA763" s="4" t="s">
        <v>5726</v>
      </c>
      <c r="BB763" s="2"/>
      <c r="BC763" s="3"/>
      <c r="BD763" s="4"/>
    </row>
    <row r="764" spans="1:56" ht="16.8" customHeight="1">
      <c r="A764" s="1">
        <v>763</v>
      </c>
      <c r="B764" s="1" t="s">
        <v>1816</v>
      </c>
      <c r="C764" s="1" t="s">
        <v>2049</v>
      </c>
      <c r="D764" s="1" t="s">
        <v>2952</v>
      </c>
      <c r="E764" s="1" t="s">
        <v>2952</v>
      </c>
      <c r="F764" s="1" t="s">
        <v>2953</v>
      </c>
      <c r="G764" s="1" t="s">
        <v>2954</v>
      </c>
      <c r="H764" s="1" t="s">
        <v>5256</v>
      </c>
      <c r="I764" s="18" t="s">
        <v>4783</v>
      </c>
      <c r="J764" s="18" t="s">
        <v>5018</v>
      </c>
      <c r="K764" s="18" t="s">
        <v>5214</v>
      </c>
      <c r="L764" s="18"/>
      <c r="M764" s="2">
        <v>4000000</v>
      </c>
      <c r="N764" s="2">
        <v>4000000</v>
      </c>
      <c r="O764" s="2"/>
      <c r="P764" s="2" t="str">
        <f t="shared" si="44"/>
        <v/>
      </c>
      <c r="Q764" s="2"/>
      <c r="R764" s="2"/>
      <c r="S764" s="48"/>
      <c r="T764" s="2">
        <v>0</v>
      </c>
      <c r="U764" s="2">
        <v>0</v>
      </c>
      <c r="V764" s="1" t="s">
        <v>2955</v>
      </c>
      <c r="W764" s="6" t="s">
        <v>2956</v>
      </c>
      <c r="X764" s="1" t="s">
        <v>2211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>
        <v>4000000</v>
      </c>
      <c r="AL764" s="3">
        <v>4000000</v>
      </c>
      <c r="AM764" s="3">
        <v>4000000</v>
      </c>
      <c r="AN764" s="3">
        <v>4000000</v>
      </c>
      <c r="AO764" s="3">
        <v>4000000</v>
      </c>
      <c r="AP764" s="3">
        <v>4000000</v>
      </c>
      <c r="AQ764" s="3">
        <v>4000000</v>
      </c>
      <c r="AR764" s="3">
        <v>4000000</v>
      </c>
      <c r="AS764" s="3">
        <v>4000000</v>
      </c>
      <c r="AT764" s="3">
        <v>4000000</v>
      </c>
      <c r="AU764" s="3">
        <v>4000000</v>
      </c>
      <c r="AV764" s="3">
        <v>4000000</v>
      </c>
      <c r="AW764" s="3">
        <f t="shared" si="45"/>
        <v>0</v>
      </c>
      <c r="AX764" s="3">
        <f t="shared" si="46"/>
        <v>48000000</v>
      </c>
      <c r="AY764" s="4">
        <f t="shared" si="47"/>
        <v>12</v>
      </c>
      <c r="BA764" s="4" t="s">
        <v>5726</v>
      </c>
      <c r="BB764" s="2">
        <v>48000000</v>
      </c>
      <c r="BC764" s="3"/>
      <c r="BD764" s="3"/>
    </row>
    <row r="765" spans="1:56" ht="16.8" customHeight="1">
      <c r="A765" s="1">
        <v>764</v>
      </c>
      <c r="B765" s="1" t="s">
        <v>1816</v>
      </c>
      <c r="C765" s="1" t="s">
        <v>2049</v>
      </c>
      <c r="D765" s="1" t="s">
        <v>2957</v>
      </c>
      <c r="E765" s="1" t="s">
        <v>2957</v>
      </c>
      <c r="F765" s="1" t="s">
        <v>2958</v>
      </c>
      <c r="G765" s="1" t="s">
        <v>2959</v>
      </c>
      <c r="H765" s="1" t="s">
        <v>5043</v>
      </c>
      <c r="I765" s="18"/>
      <c r="J765" s="18"/>
      <c r="K765" s="18"/>
      <c r="L765" s="18"/>
      <c r="M765" s="2">
        <v>4000000</v>
      </c>
      <c r="N765" s="2">
        <v>4000000</v>
      </c>
      <c r="O765" s="2"/>
      <c r="P765" s="2" t="str">
        <f t="shared" si="44"/>
        <v/>
      </c>
      <c r="Q765" s="2"/>
      <c r="R765" s="2"/>
      <c r="S765" s="48"/>
      <c r="T765" s="2">
        <v>13200000</v>
      </c>
      <c r="U765" s="2">
        <v>0</v>
      </c>
      <c r="V765" s="1" t="s">
        <v>2960</v>
      </c>
      <c r="W765" s="6" t="s">
        <v>2961</v>
      </c>
      <c r="X765" s="1" t="s">
        <v>2962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>
        <v>4000000</v>
      </c>
      <c r="AL765" s="3">
        <v>4000000</v>
      </c>
      <c r="AM765" s="3">
        <v>4000000</v>
      </c>
      <c r="AN765" s="3">
        <v>4000000</v>
      </c>
      <c r="AO765" s="3">
        <v>4000000</v>
      </c>
      <c r="AP765" s="3">
        <v>4000000</v>
      </c>
      <c r="AQ765" s="3">
        <v>4000000</v>
      </c>
      <c r="AR765" s="3">
        <v>4000000</v>
      </c>
      <c r="AS765" s="3">
        <v>4000000</v>
      </c>
      <c r="AT765" s="3"/>
      <c r="AU765" s="3"/>
      <c r="AV765" s="3"/>
      <c r="AW765" s="3">
        <f t="shared" si="45"/>
        <v>0</v>
      </c>
      <c r="AX765" s="3">
        <f t="shared" si="46"/>
        <v>36000000</v>
      </c>
      <c r="AY765" s="4">
        <f t="shared" si="47"/>
        <v>9</v>
      </c>
      <c r="BA765" s="4" t="s">
        <v>5718</v>
      </c>
      <c r="BB765" s="2">
        <v>12000000</v>
      </c>
      <c r="BC765" s="3"/>
      <c r="BD765" s="3"/>
    </row>
    <row r="766" spans="1:56" ht="16.8" customHeight="1">
      <c r="A766" s="1">
        <v>765</v>
      </c>
      <c r="B766" s="1" t="s">
        <v>1816</v>
      </c>
      <c r="C766" s="1" t="s">
        <v>2049</v>
      </c>
      <c r="D766" s="1" t="s">
        <v>2963</v>
      </c>
      <c r="E766" s="1" t="s">
        <v>2963</v>
      </c>
      <c r="F766" s="1" t="s">
        <v>2964</v>
      </c>
      <c r="G766" s="1" t="s">
        <v>2965</v>
      </c>
      <c r="H766" s="1" t="s">
        <v>5043</v>
      </c>
      <c r="I766" s="18"/>
      <c r="J766" s="18"/>
      <c r="K766" s="18"/>
      <c r="L766" s="18"/>
      <c r="M766" s="2">
        <v>3000000</v>
      </c>
      <c r="N766" s="2">
        <v>3000000</v>
      </c>
      <c r="O766" s="2"/>
      <c r="P766" s="2" t="str">
        <f t="shared" si="44"/>
        <v/>
      </c>
      <c r="Q766" s="2"/>
      <c r="R766" s="2"/>
      <c r="S766" s="48"/>
      <c r="T766" s="2">
        <v>0</v>
      </c>
      <c r="U766" s="2">
        <v>0</v>
      </c>
      <c r="V766" s="1"/>
      <c r="W766" s="6"/>
      <c r="X766" s="1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>
        <f t="shared" si="45"/>
        <v>0</v>
      </c>
      <c r="AX766" s="3">
        <f t="shared" si="46"/>
        <v>0</v>
      </c>
      <c r="AY766" s="4">
        <f t="shared" si="47"/>
        <v>0</v>
      </c>
      <c r="BA766" s="4" t="s">
        <v>5726</v>
      </c>
      <c r="BB766" s="2"/>
      <c r="BC766" s="3"/>
      <c r="BD766" s="4"/>
    </row>
    <row r="767" spans="1:56" ht="16.8" customHeight="1">
      <c r="A767" s="1">
        <v>766</v>
      </c>
      <c r="B767" s="1" t="s">
        <v>1816</v>
      </c>
      <c r="C767" s="1" t="s">
        <v>2049</v>
      </c>
      <c r="D767" s="1" t="s">
        <v>2966</v>
      </c>
      <c r="E767" s="1" t="s">
        <v>2966</v>
      </c>
      <c r="F767" s="1" t="s">
        <v>2967</v>
      </c>
      <c r="G767" s="1" t="s">
        <v>2968</v>
      </c>
      <c r="H767" s="1" t="s">
        <v>5257</v>
      </c>
      <c r="I767" s="18" t="s">
        <v>5258</v>
      </c>
      <c r="J767" s="18" t="s">
        <v>5018</v>
      </c>
      <c r="K767" s="18" t="s">
        <v>5003</v>
      </c>
      <c r="L767" s="18" t="s">
        <v>4734</v>
      </c>
      <c r="M767" s="2">
        <v>4000000</v>
      </c>
      <c r="N767" s="2">
        <v>4000000</v>
      </c>
      <c r="O767" s="2"/>
      <c r="P767" s="2" t="str">
        <f t="shared" si="44"/>
        <v/>
      </c>
      <c r="Q767" s="2"/>
      <c r="R767" s="2"/>
      <c r="S767" s="48"/>
      <c r="T767" s="2">
        <v>0</v>
      </c>
      <c r="U767" s="2">
        <v>0</v>
      </c>
      <c r="V767" s="1" t="s">
        <v>2969</v>
      </c>
      <c r="W767" s="6" t="s">
        <v>2970</v>
      </c>
      <c r="X767" s="1" t="s">
        <v>1222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>
        <v>4000000</v>
      </c>
      <c r="AL767" s="3">
        <v>4000000</v>
      </c>
      <c r="AM767" s="3">
        <v>4000000</v>
      </c>
      <c r="AN767" s="3">
        <v>4000000</v>
      </c>
      <c r="AO767" s="3">
        <v>4000000</v>
      </c>
      <c r="AP767" s="3">
        <v>4000000</v>
      </c>
      <c r="AQ767" s="3">
        <v>4000000</v>
      </c>
      <c r="AR767" s="3">
        <v>4000000</v>
      </c>
      <c r="AS767" s="3">
        <v>4000000</v>
      </c>
      <c r="AT767" s="3">
        <v>4000000</v>
      </c>
      <c r="AU767" s="3">
        <v>4000000</v>
      </c>
      <c r="AV767" s="3">
        <v>4000000</v>
      </c>
      <c r="AW767" s="3">
        <f t="shared" si="45"/>
        <v>0</v>
      </c>
      <c r="AX767" s="3">
        <f t="shared" si="46"/>
        <v>48000000</v>
      </c>
      <c r="AY767" s="4">
        <f t="shared" si="47"/>
        <v>12</v>
      </c>
      <c r="AZ767" s="8" t="s">
        <v>5598</v>
      </c>
      <c r="BA767" s="4" t="s">
        <v>5726</v>
      </c>
      <c r="BB767" s="2"/>
      <c r="BC767" s="3"/>
      <c r="BD767" s="3"/>
    </row>
    <row r="768" spans="1:56" ht="16.8" customHeight="1">
      <c r="A768" s="1">
        <v>767</v>
      </c>
      <c r="B768" s="1" t="s">
        <v>1816</v>
      </c>
      <c r="C768" s="1" t="s">
        <v>2049</v>
      </c>
      <c r="D768" s="1" t="s">
        <v>2971</v>
      </c>
      <c r="E768" s="1" t="s">
        <v>2971</v>
      </c>
      <c r="F768" s="1" t="s">
        <v>2972</v>
      </c>
      <c r="G768" s="1" t="s">
        <v>2973</v>
      </c>
      <c r="H768" s="1" t="s">
        <v>5259</v>
      </c>
      <c r="I768" s="18" t="s">
        <v>5018</v>
      </c>
      <c r="J768" s="18" t="s">
        <v>5018</v>
      </c>
      <c r="K768" s="18" t="s">
        <v>5260</v>
      </c>
      <c r="L768" s="18" t="s">
        <v>4734</v>
      </c>
      <c r="M768" s="2">
        <v>4000000</v>
      </c>
      <c r="N768" s="2">
        <v>4000000</v>
      </c>
      <c r="O768" s="2"/>
      <c r="P768" s="2" t="str">
        <f t="shared" si="44"/>
        <v/>
      </c>
      <c r="Q768" s="2"/>
      <c r="R768" s="2"/>
      <c r="S768" s="48"/>
      <c r="T768" s="2">
        <v>0</v>
      </c>
      <c r="U768" s="2">
        <v>0</v>
      </c>
      <c r="V768" s="1" t="s">
        <v>2974</v>
      </c>
      <c r="W768" s="6" t="s">
        <v>2975</v>
      </c>
      <c r="X768" s="1" t="s">
        <v>2976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>
        <v>4000000</v>
      </c>
      <c r="AL768" s="3">
        <v>4000000</v>
      </c>
      <c r="AM768" s="3">
        <v>4000000</v>
      </c>
      <c r="AN768" s="3">
        <v>4000000</v>
      </c>
      <c r="AO768" s="3">
        <v>4000000</v>
      </c>
      <c r="AP768" s="3">
        <v>4000000</v>
      </c>
      <c r="AQ768" s="3">
        <v>4000000</v>
      </c>
      <c r="AR768" s="3">
        <v>4000000</v>
      </c>
      <c r="AS768" s="3">
        <v>4000000</v>
      </c>
      <c r="AT768" s="3">
        <v>4000000</v>
      </c>
      <c r="AU768" s="3">
        <v>4000000</v>
      </c>
      <c r="AV768" s="3">
        <v>4000000</v>
      </c>
      <c r="AW768" s="3">
        <f t="shared" si="45"/>
        <v>0</v>
      </c>
      <c r="AX768" s="3">
        <f t="shared" si="46"/>
        <v>48000000</v>
      </c>
      <c r="AY768" s="4">
        <f t="shared" si="47"/>
        <v>12</v>
      </c>
      <c r="AZ768" s="8" t="s">
        <v>5599</v>
      </c>
      <c r="BA768" s="4" t="s">
        <v>5726</v>
      </c>
      <c r="BB768" s="2">
        <v>48000000</v>
      </c>
      <c r="BC768" s="3"/>
      <c r="BD768" s="3"/>
    </row>
    <row r="769" spans="1:56" ht="16.8" customHeight="1">
      <c r="A769" s="1">
        <v>768</v>
      </c>
      <c r="B769" s="1" t="s">
        <v>1816</v>
      </c>
      <c r="C769" s="1" t="s">
        <v>2049</v>
      </c>
      <c r="D769" s="1" t="s">
        <v>2977</v>
      </c>
      <c r="E769" s="1" t="s">
        <v>2977</v>
      </c>
      <c r="F769" s="1" t="s">
        <v>2978</v>
      </c>
      <c r="G769" s="1" t="s">
        <v>2979</v>
      </c>
      <c r="H769" s="1" t="s">
        <v>5043</v>
      </c>
      <c r="I769" s="18"/>
      <c r="J769" s="18"/>
      <c r="K769" s="18"/>
      <c r="L769" s="18"/>
      <c r="M769" s="2">
        <v>4000000</v>
      </c>
      <c r="N769" s="2">
        <v>4000000</v>
      </c>
      <c r="O769" s="2"/>
      <c r="P769" s="2" t="str">
        <f t="shared" si="44"/>
        <v/>
      </c>
      <c r="Q769" s="2"/>
      <c r="R769" s="2"/>
      <c r="S769" s="48"/>
      <c r="T769" s="2">
        <v>0</v>
      </c>
      <c r="U769" s="2">
        <v>0</v>
      </c>
      <c r="V769" s="1"/>
      <c r="W769" s="6"/>
      <c r="X769" s="1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>
        <f t="shared" si="45"/>
        <v>0</v>
      </c>
      <c r="AX769" s="3">
        <f t="shared" si="46"/>
        <v>0</v>
      </c>
      <c r="AY769" s="4">
        <f t="shared" si="47"/>
        <v>0</v>
      </c>
      <c r="BA769" s="4" t="s">
        <v>5726</v>
      </c>
      <c r="BB769" s="2"/>
      <c r="BC769" s="3"/>
      <c r="BD769" s="4"/>
    </row>
    <row r="770" spans="1:56" ht="16.8" customHeight="1">
      <c r="A770" s="1">
        <v>769</v>
      </c>
      <c r="B770" s="1" t="s">
        <v>1816</v>
      </c>
      <c r="C770" s="1" t="s">
        <v>2049</v>
      </c>
      <c r="D770" s="1" t="s">
        <v>2980</v>
      </c>
      <c r="E770" s="1" t="s">
        <v>2980</v>
      </c>
      <c r="F770" s="1" t="s">
        <v>2981</v>
      </c>
      <c r="G770" s="1" t="s">
        <v>2982</v>
      </c>
      <c r="H770" s="1" t="s">
        <v>5043</v>
      </c>
      <c r="I770" s="18"/>
      <c r="J770" s="18"/>
      <c r="K770" s="18"/>
      <c r="L770" s="18"/>
      <c r="M770" s="2">
        <v>4000000</v>
      </c>
      <c r="N770" s="2">
        <v>4000000</v>
      </c>
      <c r="O770" s="2"/>
      <c r="P770" s="2" t="str">
        <f t="shared" ref="P770:P833" si="48">IF(OR(M770="",N770="",M770=N770),"",N770-M770)</f>
        <v/>
      </c>
      <c r="Q770" s="2"/>
      <c r="R770" s="2"/>
      <c r="S770" s="48"/>
      <c r="T770" s="2">
        <v>0</v>
      </c>
      <c r="U770" s="2">
        <v>0</v>
      </c>
      <c r="V770" s="1"/>
      <c r="W770" s="6"/>
      <c r="X770" s="1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>
        <v>4000000</v>
      </c>
      <c r="AL770" s="3">
        <v>4000000</v>
      </c>
      <c r="AM770" s="3">
        <v>4000000</v>
      </c>
      <c r="AN770" s="3">
        <v>4000000</v>
      </c>
      <c r="AO770" s="3">
        <v>4000000</v>
      </c>
      <c r="AP770" s="3">
        <v>4000000</v>
      </c>
      <c r="AQ770" s="3">
        <v>4000000</v>
      </c>
      <c r="AR770" s="3">
        <v>4000000</v>
      </c>
      <c r="AS770" s="3">
        <v>4000000</v>
      </c>
      <c r="AT770" s="3">
        <v>4000000</v>
      </c>
      <c r="AU770" s="3">
        <v>4000000</v>
      </c>
      <c r="AV770" s="3">
        <v>4000000</v>
      </c>
      <c r="AW770" s="3">
        <f t="shared" ref="AW770:AW833" si="49">SUM(Y770:AJ770)</f>
        <v>0</v>
      </c>
      <c r="AX770" s="3">
        <f t="shared" ref="AX770:AX833" si="50">SUM(AK770:AV770)</f>
        <v>48000000</v>
      </c>
      <c r="AY770" s="4">
        <f t="shared" ref="AY770:AY833" si="51">COUNT(Y770:AV770)</f>
        <v>12</v>
      </c>
      <c r="BA770" s="4" t="s">
        <v>5714</v>
      </c>
      <c r="BB770" s="2"/>
      <c r="BC770" s="3"/>
      <c r="BD770" s="3"/>
    </row>
    <row r="771" spans="1:56" ht="16.8" customHeight="1">
      <c r="A771" s="1">
        <v>770</v>
      </c>
      <c r="B771" s="1" t="s">
        <v>1816</v>
      </c>
      <c r="C771" s="1" t="s">
        <v>2049</v>
      </c>
      <c r="D771" s="1" t="s">
        <v>2983</v>
      </c>
      <c r="E771" s="1" t="s">
        <v>2983</v>
      </c>
      <c r="F771" s="1" t="s">
        <v>2984</v>
      </c>
      <c r="G771" s="1" t="s">
        <v>2985</v>
      </c>
      <c r="H771" s="1" t="s">
        <v>5261</v>
      </c>
      <c r="I771" s="18" t="s">
        <v>4783</v>
      </c>
      <c r="J771" s="18" t="s">
        <v>5018</v>
      </c>
      <c r="K771" s="18" t="s">
        <v>4737</v>
      </c>
      <c r="L771" s="18" t="s">
        <v>4734</v>
      </c>
      <c r="M771" s="2">
        <v>3000000</v>
      </c>
      <c r="N771" s="2">
        <v>3000000</v>
      </c>
      <c r="O771" s="2"/>
      <c r="P771" s="2" t="str">
        <f t="shared" si="48"/>
        <v/>
      </c>
      <c r="Q771" s="2"/>
      <c r="R771" s="2"/>
      <c r="S771" s="48"/>
      <c r="T771" s="2">
        <v>0</v>
      </c>
      <c r="U771" s="2">
        <v>0</v>
      </c>
      <c r="V771" s="1" t="s">
        <v>2986</v>
      </c>
      <c r="W771" s="6" t="s">
        <v>2987</v>
      </c>
      <c r="X771" s="1" t="s">
        <v>2988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>
        <v>3000000</v>
      </c>
      <c r="AL771" s="3">
        <v>3000000</v>
      </c>
      <c r="AM771" s="3">
        <v>3000000</v>
      </c>
      <c r="AN771" s="3">
        <v>3000000</v>
      </c>
      <c r="AO771" s="3">
        <v>3000000</v>
      </c>
      <c r="AP771" s="3">
        <v>3000000</v>
      </c>
      <c r="AQ771" s="3">
        <v>3000000</v>
      </c>
      <c r="AR771" s="3">
        <v>3000000</v>
      </c>
      <c r="AS771" s="3">
        <v>3000000</v>
      </c>
      <c r="AT771" s="3">
        <v>3000000</v>
      </c>
      <c r="AU771" s="3">
        <v>3000000</v>
      </c>
      <c r="AV771" s="3">
        <v>3000000</v>
      </c>
      <c r="AW771" s="3">
        <f t="shared" si="49"/>
        <v>0</v>
      </c>
      <c r="AX771" s="3">
        <f t="shared" si="50"/>
        <v>36000000</v>
      </c>
      <c r="AY771" s="4">
        <f t="shared" si="51"/>
        <v>12</v>
      </c>
      <c r="AZ771" s="8" t="s">
        <v>5600</v>
      </c>
      <c r="BA771" s="4" t="s">
        <v>5726</v>
      </c>
      <c r="BB771" s="2"/>
      <c r="BC771" s="3"/>
      <c r="BD771" s="3"/>
    </row>
    <row r="772" spans="1:56" ht="16.8" customHeight="1">
      <c r="A772" s="1">
        <v>771</v>
      </c>
      <c r="B772" s="1" t="s">
        <v>1816</v>
      </c>
      <c r="C772" s="1" t="s">
        <v>2049</v>
      </c>
      <c r="D772" s="1" t="s">
        <v>2989</v>
      </c>
      <c r="E772" s="1" t="s">
        <v>2989</v>
      </c>
      <c r="F772" s="1" t="s">
        <v>2990</v>
      </c>
      <c r="G772" s="1"/>
      <c r="H772" s="1"/>
      <c r="I772" s="18"/>
      <c r="J772" s="18"/>
      <c r="K772" s="18"/>
      <c r="L772" s="18"/>
      <c r="M772" s="2">
        <v>4000000</v>
      </c>
      <c r="N772" s="2">
        <v>4000000</v>
      </c>
      <c r="O772" s="2"/>
      <c r="P772" s="2" t="str">
        <f t="shared" si="48"/>
        <v/>
      </c>
      <c r="Q772" s="2"/>
      <c r="R772" s="2"/>
      <c r="S772" s="48"/>
      <c r="T772" s="2">
        <v>0</v>
      </c>
      <c r="U772" s="2">
        <v>12000000</v>
      </c>
      <c r="V772" s="1"/>
      <c r="W772" s="6"/>
      <c r="X772" s="1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>
        <f t="shared" si="49"/>
        <v>0</v>
      </c>
      <c r="AX772" s="3">
        <f t="shared" si="50"/>
        <v>0</v>
      </c>
      <c r="AY772" s="4">
        <f t="shared" si="51"/>
        <v>0</v>
      </c>
      <c r="BA772" s="4" t="s">
        <v>5726</v>
      </c>
      <c r="BB772" s="2"/>
      <c r="BC772" s="3"/>
      <c r="BD772" s="4"/>
    </row>
    <row r="773" spans="1:56" ht="16.8" customHeight="1">
      <c r="A773" s="1">
        <v>772</v>
      </c>
      <c r="B773" s="1" t="s">
        <v>1816</v>
      </c>
      <c r="C773" s="1" t="s">
        <v>1817</v>
      </c>
      <c r="D773" s="1" t="s">
        <v>2991</v>
      </c>
      <c r="E773" s="1" t="s">
        <v>2991</v>
      </c>
      <c r="F773" s="1" t="s">
        <v>2992</v>
      </c>
      <c r="G773" s="1" t="s">
        <v>2993</v>
      </c>
      <c r="H773" s="1" t="s">
        <v>5043</v>
      </c>
      <c r="I773" s="18"/>
      <c r="J773" s="18"/>
      <c r="K773" s="18"/>
      <c r="L773" s="18"/>
      <c r="M773" s="2">
        <v>1833333</v>
      </c>
      <c r="N773" s="2">
        <v>1833333</v>
      </c>
      <c r="O773" s="2"/>
      <c r="P773" s="2" t="str">
        <f t="shared" si="48"/>
        <v/>
      </c>
      <c r="Q773" s="2"/>
      <c r="R773" s="2"/>
      <c r="S773" s="48"/>
      <c r="T773" s="2">
        <v>0</v>
      </c>
      <c r="U773" s="2">
        <v>0</v>
      </c>
      <c r="V773" s="1"/>
      <c r="W773" s="6"/>
      <c r="X773" s="1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>
        <f t="shared" si="49"/>
        <v>0</v>
      </c>
      <c r="AX773" s="3">
        <f t="shared" si="50"/>
        <v>0</v>
      </c>
      <c r="AY773" s="4">
        <f t="shared" si="51"/>
        <v>0</v>
      </c>
      <c r="BA773" s="4" t="s">
        <v>5726</v>
      </c>
      <c r="BB773" s="2"/>
      <c r="BC773" s="3"/>
      <c r="BD773" s="4"/>
    </row>
    <row r="774" spans="1:56" ht="16.8" customHeight="1">
      <c r="A774" s="1">
        <v>773</v>
      </c>
      <c r="B774" s="1" t="s">
        <v>1816</v>
      </c>
      <c r="C774" s="1" t="s">
        <v>1817</v>
      </c>
      <c r="D774" s="1" t="s">
        <v>2994</v>
      </c>
      <c r="E774" s="1" t="s">
        <v>2994</v>
      </c>
      <c r="F774" s="1" t="s">
        <v>2995</v>
      </c>
      <c r="G774" s="1" t="s">
        <v>2996</v>
      </c>
      <c r="H774" s="1" t="s">
        <v>5043</v>
      </c>
      <c r="I774" s="18"/>
      <c r="J774" s="18"/>
      <c r="K774" s="18"/>
      <c r="L774" s="18"/>
      <c r="M774" s="2">
        <v>2000000</v>
      </c>
      <c r="N774" s="2">
        <v>2000000</v>
      </c>
      <c r="O774" s="2"/>
      <c r="P774" s="2" t="str">
        <f t="shared" si="48"/>
        <v/>
      </c>
      <c r="Q774" s="2"/>
      <c r="R774" s="2"/>
      <c r="S774" s="48"/>
      <c r="T774" s="2">
        <v>0</v>
      </c>
      <c r="U774" s="2">
        <v>0</v>
      </c>
      <c r="V774" s="1" t="s">
        <v>2996</v>
      </c>
      <c r="W774" s="6" t="s">
        <v>2997</v>
      </c>
      <c r="X774" s="1" t="s">
        <v>333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>
        <v>2000000</v>
      </c>
      <c r="AL774" s="3">
        <v>2000000</v>
      </c>
      <c r="AM774" s="3">
        <v>2000000</v>
      </c>
      <c r="AN774" s="3">
        <v>2000000</v>
      </c>
      <c r="AO774" s="3">
        <v>2000000</v>
      </c>
      <c r="AP774" s="3">
        <v>2000000</v>
      </c>
      <c r="AQ774" s="3"/>
      <c r="AR774" s="3"/>
      <c r="AS774" s="3"/>
      <c r="AT774" s="3"/>
      <c r="AU774" s="3"/>
      <c r="AV774" s="3"/>
      <c r="AW774" s="3">
        <f t="shared" si="49"/>
        <v>0</v>
      </c>
      <c r="AX774" s="3">
        <f t="shared" si="50"/>
        <v>12000000</v>
      </c>
      <c r="AY774" s="4">
        <f t="shared" si="51"/>
        <v>6</v>
      </c>
      <c r="BA774" s="4" t="s">
        <v>5715</v>
      </c>
      <c r="BB774" s="2"/>
      <c r="BC774" s="3"/>
      <c r="BD774" s="4"/>
    </row>
    <row r="775" spans="1:56" ht="16.8" customHeight="1">
      <c r="A775" s="1">
        <v>774</v>
      </c>
      <c r="B775" s="1" t="s">
        <v>1816</v>
      </c>
      <c r="C775" s="1" t="s">
        <v>1817</v>
      </c>
      <c r="D775" s="1" t="s">
        <v>2998</v>
      </c>
      <c r="E775" s="1" t="s">
        <v>2998</v>
      </c>
      <c r="F775" s="1" t="s">
        <v>2999</v>
      </c>
      <c r="G775" s="1" t="s">
        <v>3000</v>
      </c>
      <c r="H775" s="1" t="s">
        <v>5043</v>
      </c>
      <c r="I775" s="18"/>
      <c r="J775" s="18"/>
      <c r="K775" s="18"/>
      <c r="L775" s="18"/>
      <c r="M775" s="2">
        <v>1833333</v>
      </c>
      <c r="N775" s="2">
        <v>1833333</v>
      </c>
      <c r="O775" s="2"/>
      <c r="P775" s="2" t="str">
        <f t="shared" si="48"/>
        <v/>
      </c>
      <c r="Q775" s="2"/>
      <c r="R775" s="2"/>
      <c r="S775" s="48"/>
      <c r="T775" s="2">
        <v>0</v>
      </c>
      <c r="U775" s="2">
        <v>0</v>
      </c>
      <c r="V775" s="1"/>
      <c r="W775" s="6"/>
      <c r="X775" s="1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>
        <f t="shared" si="49"/>
        <v>0</v>
      </c>
      <c r="AX775" s="3">
        <f t="shared" si="50"/>
        <v>0</v>
      </c>
      <c r="AY775" s="4">
        <f t="shared" si="51"/>
        <v>0</v>
      </c>
      <c r="BA775" s="4" t="s">
        <v>5726</v>
      </c>
      <c r="BB775" s="2"/>
      <c r="BC775" s="3"/>
      <c r="BD775" s="4"/>
    </row>
    <row r="776" spans="1:56" ht="16.8" customHeight="1">
      <c r="A776" s="1">
        <v>775</v>
      </c>
      <c r="B776" s="1" t="s">
        <v>1816</v>
      </c>
      <c r="C776" s="1" t="s">
        <v>1817</v>
      </c>
      <c r="D776" s="1" t="s">
        <v>3001</v>
      </c>
      <c r="E776" s="1" t="s">
        <v>3001</v>
      </c>
      <c r="F776" s="1" t="s">
        <v>3002</v>
      </c>
      <c r="G776" s="1" t="s">
        <v>3003</v>
      </c>
      <c r="H776" s="1" t="s">
        <v>5262</v>
      </c>
      <c r="I776" s="18" t="s">
        <v>4783</v>
      </c>
      <c r="J776" s="18" t="s">
        <v>5018</v>
      </c>
      <c r="K776" s="18" t="s">
        <v>4777</v>
      </c>
      <c r="L776" s="18" t="s">
        <v>4734</v>
      </c>
      <c r="M776" s="2">
        <v>2000000</v>
      </c>
      <c r="N776" s="2">
        <v>2400000</v>
      </c>
      <c r="O776" s="2">
        <v>2400000</v>
      </c>
      <c r="P776" s="2">
        <f t="shared" si="48"/>
        <v>400000</v>
      </c>
      <c r="Q776" s="2"/>
      <c r="R776" s="2"/>
      <c r="S776" s="48"/>
      <c r="T776" s="2">
        <v>0</v>
      </c>
      <c r="U776" s="2">
        <v>0</v>
      </c>
      <c r="V776" s="1" t="s">
        <v>3003</v>
      </c>
      <c r="W776" s="6" t="s">
        <v>3004</v>
      </c>
      <c r="X776" s="1" t="s">
        <v>3005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>
        <v>2133333.3333333335</v>
      </c>
      <c r="AL776" s="3">
        <v>2133333.3333333335</v>
      </c>
      <c r="AM776" s="3">
        <v>2133333.3333333335</v>
      </c>
      <c r="AN776" s="3">
        <v>2133333.3333333335</v>
      </c>
      <c r="AO776" s="3">
        <v>2133333.3333333335</v>
      </c>
      <c r="AP776" s="3">
        <v>2133333.3333333335</v>
      </c>
      <c r="AQ776" s="3"/>
      <c r="AR776" s="3"/>
      <c r="AS776" s="3"/>
      <c r="AT776" s="3"/>
      <c r="AU776" s="3"/>
      <c r="AV776" s="3"/>
      <c r="AW776" s="3">
        <f t="shared" si="49"/>
        <v>0</v>
      </c>
      <c r="AX776" s="3">
        <f t="shared" si="50"/>
        <v>12800000.000000002</v>
      </c>
      <c r="AY776" s="4">
        <f t="shared" si="51"/>
        <v>6</v>
      </c>
      <c r="AZ776" s="8" t="s">
        <v>5601</v>
      </c>
      <c r="BA776" s="4" t="s">
        <v>5726</v>
      </c>
      <c r="BB776" s="2"/>
      <c r="BC776" s="3"/>
      <c r="BD776" s="3"/>
    </row>
    <row r="777" spans="1:56" ht="16.8" customHeight="1">
      <c r="A777" s="1">
        <v>776</v>
      </c>
      <c r="B777" s="1" t="s">
        <v>1816</v>
      </c>
      <c r="C777" s="1" t="s">
        <v>1817</v>
      </c>
      <c r="D777" s="1" t="s">
        <v>3006</v>
      </c>
      <c r="E777" s="1" t="s">
        <v>3006</v>
      </c>
      <c r="F777" s="1" t="s">
        <v>3007</v>
      </c>
      <c r="G777" s="1" t="s">
        <v>3008</v>
      </c>
      <c r="H777" s="1" t="s">
        <v>5263</v>
      </c>
      <c r="I777" s="18" t="s">
        <v>4783</v>
      </c>
      <c r="J777" s="18" t="s">
        <v>5018</v>
      </c>
      <c r="K777" s="18" t="s">
        <v>4777</v>
      </c>
      <c r="L777" s="18" t="s">
        <v>4734</v>
      </c>
      <c r="M777" s="2">
        <v>1500000</v>
      </c>
      <c r="N777" s="2">
        <v>1500000</v>
      </c>
      <c r="O777" s="2"/>
      <c r="P777" s="2" t="str">
        <f t="shared" si="48"/>
        <v/>
      </c>
      <c r="Q777" s="2"/>
      <c r="R777" s="2"/>
      <c r="S777" s="48"/>
      <c r="T777" s="2">
        <v>0</v>
      </c>
      <c r="U777" s="2">
        <v>0</v>
      </c>
      <c r="V777" s="1" t="s">
        <v>3008</v>
      </c>
      <c r="W777" s="6" t="s">
        <v>3009</v>
      </c>
      <c r="X777" s="1" t="s">
        <v>70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>
        <v>1500000</v>
      </c>
      <c r="AL777" s="3">
        <v>1500000</v>
      </c>
      <c r="AM777" s="3">
        <v>1500000</v>
      </c>
      <c r="AN777" s="3">
        <v>1500000</v>
      </c>
      <c r="AO777" s="3">
        <v>1500000</v>
      </c>
      <c r="AP777" s="3">
        <v>1500000</v>
      </c>
      <c r="AQ777" s="3"/>
      <c r="AR777" s="3"/>
      <c r="AS777" s="3"/>
      <c r="AT777" s="3"/>
      <c r="AU777" s="3"/>
      <c r="AV777" s="3"/>
      <c r="AW777" s="3">
        <f t="shared" si="49"/>
        <v>0</v>
      </c>
      <c r="AX777" s="3">
        <f t="shared" si="50"/>
        <v>9000000</v>
      </c>
      <c r="AY777" s="4">
        <f t="shared" si="51"/>
        <v>6</v>
      </c>
      <c r="AZ777" s="8">
        <v>0</v>
      </c>
      <c r="BA777" s="4" t="s">
        <v>5726</v>
      </c>
      <c r="BB777" s="2"/>
      <c r="BC777" s="3"/>
      <c r="BD777" s="3"/>
    </row>
    <row r="778" spans="1:56" ht="16.8" customHeight="1">
      <c r="A778" s="1">
        <v>777</v>
      </c>
      <c r="B778" s="1" t="s">
        <v>1816</v>
      </c>
      <c r="C778" s="1" t="s">
        <v>1817</v>
      </c>
      <c r="D778" s="1" t="s">
        <v>3010</v>
      </c>
      <c r="E778" s="1" t="s">
        <v>3010</v>
      </c>
      <c r="F778" s="1" t="s">
        <v>3011</v>
      </c>
      <c r="G778" s="1" t="s">
        <v>1854</v>
      </c>
      <c r="H778" s="1" t="s">
        <v>5047</v>
      </c>
      <c r="I778" s="18" t="s">
        <v>4783</v>
      </c>
      <c r="J778" s="18" t="s">
        <v>5018</v>
      </c>
      <c r="K778" s="18" t="s">
        <v>4777</v>
      </c>
      <c r="L778" s="18" t="s">
        <v>4734</v>
      </c>
      <c r="M778" s="2">
        <v>2000000</v>
      </c>
      <c r="N778" s="2">
        <v>2000000</v>
      </c>
      <c r="O778" s="2"/>
      <c r="P778" s="2" t="str">
        <f t="shared" si="48"/>
        <v/>
      </c>
      <c r="Q778" s="2"/>
      <c r="R778" s="2"/>
      <c r="S778" s="48"/>
      <c r="T778" s="2">
        <v>0</v>
      </c>
      <c r="U778" s="2">
        <v>0</v>
      </c>
      <c r="V778" s="1" t="s">
        <v>1854</v>
      </c>
      <c r="W778" s="6" t="s">
        <v>1855</v>
      </c>
      <c r="X778" s="1" t="s">
        <v>154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>
        <v>2000000</v>
      </c>
      <c r="AL778" s="3">
        <v>2000000</v>
      </c>
      <c r="AM778" s="3">
        <v>2000000</v>
      </c>
      <c r="AN778" s="3">
        <v>2000000</v>
      </c>
      <c r="AO778" s="3">
        <v>2000000</v>
      </c>
      <c r="AP778" s="3">
        <v>2000000</v>
      </c>
      <c r="AQ778" s="3"/>
      <c r="AR778" s="3"/>
      <c r="AS778" s="3"/>
      <c r="AT778" s="3"/>
      <c r="AU778" s="3"/>
      <c r="AV778" s="3"/>
      <c r="AW778" s="3">
        <f t="shared" si="49"/>
        <v>0</v>
      </c>
      <c r="AX778" s="3">
        <f t="shared" si="50"/>
        <v>12000000</v>
      </c>
      <c r="AY778" s="4">
        <f t="shared" si="51"/>
        <v>6</v>
      </c>
      <c r="AZ778" s="8">
        <v>0</v>
      </c>
      <c r="BA778" s="4" t="s">
        <v>5726</v>
      </c>
      <c r="BB778" s="2"/>
      <c r="BC778" s="3"/>
      <c r="BD778" s="3"/>
    </row>
    <row r="779" spans="1:56" ht="16.8" customHeight="1">
      <c r="A779" s="1">
        <v>778</v>
      </c>
      <c r="B779" s="1" t="s">
        <v>1816</v>
      </c>
      <c r="C779" s="1" t="s">
        <v>1817</v>
      </c>
      <c r="D779" s="1" t="s">
        <v>3012</v>
      </c>
      <c r="E779" s="1" t="s">
        <v>3012</v>
      </c>
      <c r="F779" s="1" t="s">
        <v>3013</v>
      </c>
      <c r="G779" s="1" t="s">
        <v>3014</v>
      </c>
      <c r="H779" s="1" t="s">
        <v>5264</v>
      </c>
      <c r="I779" s="18" t="s">
        <v>4783</v>
      </c>
      <c r="J779" s="18" t="s">
        <v>5018</v>
      </c>
      <c r="K779" s="18" t="s">
        <v>4777</v>
      </c>
      <c r="L779" s="18" t="s">
        <v>4734</v>
      </c>
      <c r="M779" s="2">
        <v>2000000</v>
      </c>
      <c r="N779" s="2">
        <v>2000000</v>
      </c>
      <c r="O779" s="2"/>
      <c r="P779" s="2" t="str">
        <f t="shared" si="48"/>
        <v/>
      </c>
      <c r="Q779" s="2"/>
      <c r="R779" s="2"/>
      <c r="S779" s="48"/>
      <c r="T779" s="2">
        <v>0</v>
      </c>
      <c r="U779" s="2">
        <v>0</v>
      </c>
      <c r="V779" s="1" t="s">
        <v>3014</v>
      </c>
      <c r="W779" s="6" t="s">
        <v>3015</v>
      </c>
      <c r="X779" s="1" t="s">
        <v>2211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>
        <v>2000000</v>
      </c>
      <c r="AL779" s="3">
        <v>2000000</v>
      </c>
      <c r="AM779" s="3">
        <v>2000000</v>
      </c>
      <c r="AN779" s="3">
        <v>2000000</v>
      </c>
      <c r="AO779" s="3">
        <v>2000000</v>
      </c>
      <c r="AP779" s="3">
        <v>2000000</v>
      </c>
      <c r="AQ779" s="3"/>
      <c r="AR779" s="3"/>
      <c r="AS779" s="3"/>
      <c r="AT779" s="3"/>
      <c r="AU779" s="3"/>
      <c r="AV779" s="3"/>
      <c r="AW779" s="3">
        <f t="shared" si="49"/>
        <v>0</v>
      </c>
      <c r="AX779" s="3">
        <f t="shared" si="50"/>
        <v>12000000</v>
      </c>
      <c r="AY779" s="4">
        <f t="shared" si="51"/>
        <v>6</v>
      </c>
      <c r="AZ779" s="8">
        <v>0</v>
      </c>
      <c r="BA779" s="4" t="s">
        <v>5726</v>
      </c>
      <c r="BB779" s="2"/>
      <c r="BC779" s="3"/>
      <c r="BD779" s="3"/>
    </row>
    <row r="780" spans="1:56" ht="16.8" customHeight="1">
      <c r="A780" s="1">
        <v>779</v>
      </c>
      <c r="B780" s="1" t="s">
        <v>1816</v>
      </c>
      <c r="C780" s="1" t="s">
        <v>1817</v>
      </c>
      <c r="D780" s="1" t="s">
        <v>3016</v>
      </c>
      <c r="E780" s="1" t="s">
        <v>3016</v>
      </c>
      <c r="F780" s="1" t="s">
        <v>3017</v>
      </c>
      <c r="G780" s="1" t="s">
        <v>3018</v>
      </c>
      <c r="H780" s="1" t="s">
        <v>5265</v>
      </c>
      <c r="I780" s="18" t="s">
        <v>4783</v>
      </c>
      <c r="J780" s="18" t="s">
        <v>4783</v>
      </c>
      <c r="K780" s="18" t="s">
        <v>4737</v>
      </c>
      <c r="L780" s="18" t="s">
        <v>4734</v>
      </c>
      <c r="M780" s="2">
        <v>2000000</v>
      </c>
      <c r="N780" s="2">
        <v>2000000</v>
      </c>
      <c r="O780" s="2"/>
      <c r="P780" s="2" t="str">
        <f t="shared" si="48"/>
        <v/>
      </c>
      <c r="Q780" s="2"/>
      <c r="R780" s="2"/>
      <c r="S780" s="48"/>
      <c r="T780" s="2">
        <v>6000000</v>
      </c>
      <c r="U780" s="2">
        <v>0</v>
      </c>
      <c r="V780" s="1"/>
      <c r="W780" s="6"/>
      <c r="X780" s="1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>
        <f t="shared" si="49"/>
        <v>0</v>
      </c>
      <c r="AX780" s="3">
        <f t="shared" si="50"/>
        <v>0</v>
      </c>
      <c r="AY780" s="4">
        <f t="shared" si="51"/>
        <v>0</v>
      </c>
      <c r="AZ780" s="8">
        <v>0</v>
      </c>
      <c r="BA780" s="4" t="s">
        <v>5726</v>
      </c>
      <c r="BB780" s="2"/>
      <c r="BC780" s="3"/>
      <c r="BD780" s="4"/>
    </row>
    <row r="781" spans="1:56" ht="16.8" customHeight="1">
      <c r="A781" s="1">
        <v>780</v>
      </c>
      <c r="B781" s="1" t="s">
        <v>1816</v>
      </c>
      <c r="C781" s="1" t="s">
        <v>1817</v>
      </c>
      <c r="D781" s="1" t="s">
        <v>3019</v>
      </c>
      <c r="E781" s="1" t="s">
        <v>3019</v>
      </c>
      <c r="F781" s="1" t="s">
        <v>3020</v>
      </c>
      <c r="G781" s="1" t="s">
        <v>3021</v>
      </c>
      <c r="H781" s="1" t="s">
        <v>5266</v>
      </c>
      <c r="I781" s="18" t="s">
        <v>4783</v>
      </c>
      <c r="J781" s="18" t="s">
        <v>5018</v>
      </c>
      <c r="K781" s="18" t="s">
        <v>4777</v>
      </c>
      <c r="L781" s="18" t="s">
        <v>4734</v>
      </c>
      <c r="M781" s="2">
        <v>2000000</v>
      </c>
      <c r="N781" s="2">
        <v>2000000</v>
      </c>
      <c r="O781" s="2"/>
      <c r="P781" s="2" t="str">
        <f t="shared" si="48"/>
        <v/>
      </c>
      <c r="Q781" s="2"/>
      <c r="R781" s="2"/>
      <c r="S781" s="48"/>
      <c r="T781" s="2">
        <v>0</v>
      </c>
      <c r="U781" s="2">
        <v>0</v>
      </c>
      <c r="V781" s="1" t="s">
        <v>3021</v>
      </c>
      <c r="W781" s="6" t="s">
        <v>3022</v>
      </c>
      <c r="X781" s="1" t="s">
        <v>397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>
        <v>2000000</v>
      </c>
      <c r="AL781" s="3">
        <v>2000000</v>
      </c>
      <c r="AM781" s="3">
        <v>2000000</v>
      </c>
      <c r="AN781" s="3">
        <v>2000000</v>
      </c>
      <c r="AO781" s="3">
        <v>2000000</v>
      </c>
      <c r="AP781" s="3">
        <v>2000000</v>
      </c>
      <c r="AQ781" s="3"/>
      <c r="AR781" s="3"/>
      <c r="AS781" s="3"/>
      <c r="AT781" s="3"/>
      <c r="AU781" s="3"/>
      <c r="AV781" s="3"/>
      <c r="AW781" s="3">
        <f t="shared" si="49"/>
        <v>0</v>
      </c>
      <c r="AX781" s="3">
        <f t="shared" si="50"/>
        <v>12000000</v>
      </c>
      <c r="AY781" s="4">
        <f t="shared" si="51"/>
        <v>6</v>
      </c>
      <c r="AZ781" s="8">
        <v>0</v>
      </c>
      <c r="BA781" s="4" t="s">
        <v>5726</v>
      </c>
      <c r="BB781" s="2"/>
      <c r="BC781" s="3"/>
      <c r="BD781" s="3"/>
    </row>
    <row r="782" spans="1:56" ht="16.8" customHeight="1">
      <c r="A782" s="1">
        <v>781</v>
      </c>
      <c r="B782" s="1" t="s">
        <v>1816</v>
      </c>
      <c r="C782" s="1" t="s">
        <v>1817</v>
      </c>
      <c r="D782" s="1" t="s">
        <v>3023</v>
      </c>
      <c r="E782" s="1" t="s">
        <v>3023</v>
      </c>
      <c r="F782" s="1" t="s">
        <v>3024</v>
      </c>
      <c r="G782" s="1" t="s">
        <v>3025</v>
      </c>
      <c r="H782" s="1" t="s">
        <v>5176</v>
      </c>
      <c r="I782" s="18" t="s">
        <v>5131</v>
      </c>
      <c r="J782" s="18" t="s">
        <v>4783</v>
      </c>
      <c r="K782" s="18" t="s">
        <v>5267</v>
      </c>
      <c r="L782" s="18" t="s">
        <v>4734</v>
      </c>
      <c r="M782" s="2">
        <v>2500000</v>
      </c>
      <c r="N782" s="2">
        <v>2500000</v>
      </c>
      <c r="O782" s="2"/>
      <c r="P782" s="2" t="str">
        <f t="shared" si="48"/>
        <v/>
      </c>
      <c r="Q782" s="2"/>
      <c r="R782" s="2"/>
      <c r="S782" s="48"/>
      <c r="T782" s="2">
        <v>7500000</v>
      </c>
      <c r="U782" s="2">
        <v>0</v>
      </c>
      <c r="V782" s="1"/>
      <c r="W782" s="6"/>
      <c r="X782" s="1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>
        <f t="shared" si="49"/>
        <v>0</v>
      </c>
      <c r="AX782" s="3">
        <f t="shared" si="50"/>
        <v>0</v>
      </c>
      <c r="AY782" s="4">
        <f t="shared" si="51"/>
        <v>0</v>
      </c>
      <c r="AZ782" s="8" t="s">
        <v>5599</v>
      </c>
      <c r="BA782" s="4" t="s">
        <v>5726</v>
      </c>
      <c r="BB782" s="2"/>
      <c r="BC782" s="3"/>
      <c r="BD782" s="4"/>
    </row>
    <row r="783" spans="1:56" ht="16.8" customHeight="1">
      <c r="A783" s="1">
        <v>782</v>
      </c>
      <c r="B783" s="1" t="s">
        <v>1816</v>
      </c>
      <c r="C783" s="1" t="s">
        <v>1817</v>
      </c>
      <c r="D783" s="1" t="s">
        <v>3026</v>
      </c>
      <c r="E783" s="1" t="s">
        <v>3026</v>
      </c>
      <c r="F783" s="1" t="s">
        <v>3027</v>
      </c>
      <c r="G783" s="1" t="s">
        <v>1906</v>
      </c>
      <c r="H783" s="1" t="s">
        <v>5268</v>
      </c>
      <c r="I783" s="18" t="s">
        <v>4783</v>
      </c>
      <c r="J783" s="18" t="s">
        <v>5018</v>
      </c>
      <c r="K783" s="18" t="s">
        <v>4777</v>
      </c>
      <c r="L783" s="18" t="s">
        <v>4734</v>
      </c>
      <c r="M783" s="2">
        <v>2000000</v>
      </c>
      <c r="N783" s="2">
        <v>2000000</v>
      </c>
      <c r="O783" s="2"/>
      <c r="P783" s="2" t="str">
        <f t="shared" si="48"/>
        <v/>
      </c>
      <c r="Q783" s="2"/>
      <c r="R783" s="2"/>
      <c r="S783" s="48"/>
      <c r="T783" s="2">
        <v>0</v>
      </c>
      <c r="U783" s="2">
        <v>0</v>
      </c>
      <c r="V783" s="1" t="s">
        <v>1906</v>
      </c>
      <c r="W783" s="6" t="s">
        <v>1907</v>
      </c>
      <c r="X783" s="1" t="s">
        <v>70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>
        <v>2000000</v>
      </c>
      <c r="AL783" s="3">
        <v>2000000</v>
      </c>
      <c r="AM783" s="3">
        <v>2000000</v>
      </c>
      <c r="AN783" s="3">
        <v>2000000</v>
      </c>
      <c r="AO783" s="3">
        <v>2000000</v>
      </c>
      <c r="AP783" s="3">
        <v>2000000</v>
      </c>
      <c r="AQ783" s="3"/>
      <c r="AR783" s="3"/>
      <c r="AS783" s="3"/>
      <c r="AT783" s="3"/>
      <c r="AU783" s="3"/>
      <c r="AV783" s="3"/>
      <c r="AW783" s="3">
        <f t="shared" si="49"/>
        <v>0</v>
      </c>
      <c r="AX783" s="3">
        <f t="shared" si="50"/>
        <v>12000000</v>
      </c>
      <c r="AY783" s="4">
        <f t="shared" si="51"/>
        <v>6</v>
      </c>
      <c r="AZ783" s="8">
        <v>0</v>
      </c>
      <c r="BA783" s="4" t="s">
        <v>5726</v>
      </c>
      <c r="BB783" s="2"/>
      <c r="BC783" s="3"/>
      <c r="BD783" s="3"/>
    </row>
    <row r="784" spans="1:56" ht="16.8" customHeight="1">
      <c r="A784" s="1">
        <v>783</v>
      </c>
      <c r="B784" s="1" t="s">
        <v>1816</v>
      </c>
      <c r="C784" s="1" t="s">
        <v>1817</v>
      </c>
      <c r="D784" s="1" t="s">
        <v>3028</v>
      </c>
      <c r="E784" s="1" t="s">
        <v>3028</v>
      </c>
      <c r="F784" s="1" t="s">
        <v>3029</v>
      </c>
      <c r="G784" s="1" t="s">
        <v>3030</v>
      </c>
      <c r="H784" s="1" t="s">
        <v>5269</v>
      </c>
      <c r="I784" s="18" t="s">
        <v>4783</v>
      </c>
      <c r="J784" s="18" t="s">
        <v>5018</v>
      </c>
      <c r="K784" s="18" t="s">
        <v>4777</v>
      </c>
      <c r="L784" s="18" t="s">
        <v>4734</v>
      </c>
      <c r="M784" s="2">
        <v>2000000</v>
      </c>
      <c r="N784" s="2">
        <v>2000000</v>
      </c>
      <c r="O784" s="2"/>
      <c r="P784" s="2" t="str">
        <f t="shared" si="48"/>
        <v/>
      </c>
      <c r="Q784" s="2"/>
      <c r="R784" s="2"/>
      <c r="S784" s="48"/>
      <c r="T784" s="2">
        <v>0</v>
      </c>
      <c r="U784" s="2">
        <v>0</v>
      </c>
      <c r="V784" s="1" t="s">
        <v>3030</v>
      </c>
      <c r="W784" s="6" t="s">
        <v>3031</v>
      </c>
      <c r="X784" s="1" t="s">
        <v>1873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>
        <v>2000000</v>
      </c>
      <c r="AL784" s="3">
        <v>2000000</v>
      </c>
      <c r="AM784" s="3">
        <v>2000000</v>
      </c>
      <c r="AN784" s="3">
        <v>2000000</v>
      </c>
      <c r="AO784" s="3">
        <v>2000000</v>
      </c>
      <c r="AP784" s="3">
        <v>2000000</v>
      </c>
      <c r="AQ784" s="3"/>
      <c r="AR784" s="3"/>
      <c r="AS784" s="3"/>
      <c r="AT784" s="3"/>
      <c r="AU784" s="3"/>
      <c r="AV784" s="3"/>
      <c r="AW784" s="3">
        <f t="shared" si="49"/>
        <v>0</v>
      </c>
      <c r="AX784" s="3">
        <f t="shared" si="50"/>
        <v>12000000</v>
      </c>
      <c r="AY784" s="4">
        <f t="shared" si="51"/>
        <v>6</v>
      </c>
      <c r="AZ784" s="8" t="s">
        <v>5602</v>
      </c>
      <c r="BA784" s="4" t="s">
        <v>5726</v>
      </c>
      <c r="BB784" s="2"/>
      <c r="BC784" s="3"/>
      <c r="BD784" s="3"/>
    </row>
    <row r="785" spans="1:56" ht="16.8" customHeight="1">
      <c r="A785" s="1">
        <v>784</v>
      </c>
      <c r="B785" s="1" t="s">
        <v>1816</v>
      </c>
      <c r="C785" s="1" t="s">
        <v>1817</v>
      </c>
      <c r="D785" s="1" t="s">
        <v>3032</v>
      </c>
      <c r="E785" s="1" t="s">
        <v>3032</v>
      </c>
      <c r="F785" s="1" t="s">
        <v>3033</v>
      </c>
      <c r="G785" s="1" t="s">
        <v>3034</v>
      </c>
      <c r="H785" s="1" t="s">
        <v>5270</v>
      </c>
      <c r="I785" s="18" t="s">
        <v>4783</v>
      </c>
      <c r="J785" s="18" t="s">
        <v>5018</v>
      </c>
      <c r="K785" s="18" t="s">
        <v>4777</v>
      </c>
      <c r="L785" s="18" t="s">
        <v>4734</v>
      </c>
      <c r="M785" s="2">
        <v>2000000</v>
      </c>
      <c r="N785" s="2">
        <v>2000000</v>
      </c>
      <c r="O785" s="2"/>
      <c r="P785" s="2" t="str">
        <f t="shared" si="48"/>
        <v/>
      </c>
      <c r="Q785" s="2"/>
      <c r="R785" s="2"/>
      <c r="S785" s="48"/>
      <c r="T785" s="2">
        <v>0</v>
      </c>
      <c r="U785" s="2">
        <v>0</v>
      </c>
      <c r="V785" s="1" t="s">
        <v>3034</v>
      </c>
      <c r="W785" s="6" t="s">
        <v>3035</v>
      </c>
      <c r="X785" s="1" t="s">
        <v>1627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>
        <v>2000000</v>
      </c>
      <c r="AL785" s="3">
        <v>2000000</v>
      </c>
      <c r="AM785" s="3">
        <v>2000000</v>
      </c>
      <c r="AN785" s="3">
        <v>2000000</v>
      </c>
      <c r="AO785" s="3">
        <v>2000000</v>
      </c>
      <c r="AP785" s="3">
        <v>2000000</v>
      </c>
      <c r="AQ785" s="3"/>
      <c r="AR785" s="3"/>
      <c r="AS785" s="3"/>
      <c r="AT785" s="3"/>
      <c r="AU785" s="3"/>
      <c r="AV785" s="3"/>
      <c r="AW785" s="3">
        <f t="shared" si="49"/>
        <v>0</v>
      </c>
      <c r="AX785" s="3">
        <f t="shared" si="50"/>
        <v>12000000</v>
      </c>
      <c r="AY785" s="4">
        <f t="shared" si="51"/>
        <v>6</v>
      </c>
      <c r="AZ785" s="8">
        <v>0</v>
      </c>
      <c r="BA785" s="4" t="s">
        <v>5726</v>
      </c>
      <c r="BB785" s="2"/>
      <c r="BC785" s="3"/>
      <c r="BD785" s="3"/>
    </row>
    <row r="786" spans="1:56" ht="16.8" customHeight="1">
      <c r="A786" s="1">
        <v>785</v>
      </c>
      <c r="B786" s="1" t="s">
        <v>1816</v>
      </c>
      <c r="C786" s="1" t="s">
        <v>1817</v>
      </c>
      <c r="D786" s="1" t="s">
        <v>3036</v>
      </c>
      <c r="E786" s="1" t="s">
        <v>3036</v>
      </c>
      <c r="F786" s="1" t="s">
        <v>3037</v>
      </c>
      <c r="G786" s="1" t="s">
        <v>1918</v>
      </c>
      <c r="H786" s="1" t="s">
        <v>5271</v>
      </c>
      <c r="I786" s="18" t="s">
        <v>4783</v>
      </c>
      <c r="J786" s="18" t="s">
        <v>5018</v>
      </c>
      <c r="K786" s="18" t="s">
        <v>4777</v>
      </c>
      <c r="L786" s="18" t="s">
        <v>4734</v>
      </c>
      <c r="M786" s="2">
        <v>2000000</v>
      </c>
      <c r="N786" s="2">
        <v>2000000</v>
      </c>
      <c r="O786" s="2"/>
      <c r="P786" s="2" t="str">
        <f t="shared" si="48"/>
        <v/>
      </c>
      <c r="Q786" s="2"/>
      <c r="R786" s="2"/>
      <c r="S786" s="48"/>
      <c r="T786" s="2">
        <v>0</v>
      </c>
      <c r="U786" s="2">
        <v>0</v>
      </c>
      <c r="V786" s="1" t="s">
        <v>1918</v>
      </c>
      <c r="W786" s="6" t="s">
        <v>1919</v>
      </c>
      <c r="X786" s="1" t="s">
        <v>154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>
        <v>2000000</v>
      </c>
      <c r="AL786" s="3">
        <v>2000000</v>
      </c>
      <c r="AM786" s="3">
        <v>2000000</v>
      </c>
      <c r="AN786" s="3">
        <v>2000000</v>
      </c>
      <c r="AO786" s="3">
        <v>2000000</v>
      </c>
      <c r="AP786" s="3">
        <v>2000000</v>
      </c>
      <c r="AQ786" s="3"/>
      <c r="AR786" s="3"/>
      <c r="AS786" s="3"/>
      <c r="AT786" s="3"/>
      <c r="AU786" s="3"/>
      <c r="AV786" s="3"/>
      <c r="AW786" s="3">
        <f t="shared" si="49"/>
        <v>0</v>
      </c>
      <c r="AX786" s="3">
        <f t="shared" si="50"/>
        <v>12000000</v>
      </c>
      <c r="AY786" s="4">
        <f t="shared" si="51"/>
        <v>6</v>
      </c>
      <c r="AZ786" s="8">
        <v>0</v>
      </c>
      <c r="BA786" s="4" t="s">
        <v>5726</v>
      </c>
      <c r="BB786" s="2"/>
      <c r="BC786" s="3"/>
      <c r="BD786" s="3"/>
    </row>
    <row r="787" spans="1:56" ht="16.8" customHeight="1">
      <c r="A787" s="1">
        <v>786</v>
      </c>
      <c r="B787" s="1" t="s">
        <v>1816</v>
      </c>
      <c r="C787" s="1" t="s">
        <v>1817</v>
      </c>
      <c r="D787" s="1" t="s">
        <v>3038</v>
      </c>
      <c r="E787" s="1" t="s">
        <v>3038</v>
      </c>
      <c r="F787" s="1" t="s">
        <v>3039</v>
      </c>
      <c r="G787" s="1" t="s">
        <v>1886</v>
      </c>
      <c r="H787" s="1" t="s">
        <v>5272</v>
      </c>
      <c r="I787" s="18" t="s">
        <v>4783</v>
      </c>
      <c r="J787" s="18" t="s">
        <v>5018</v>
      </c>
      <c r="K787" s="18" t="s">
        <v>4777</v>
      </c>
      <c r="L787" s="18" t="s">
        <v>4734</v>
      </c>
      <c r="M787" s="2">
        <v>2000000</v>
      </c>
      <c r="N787" s="2">
        <v>2000000</v>
      </c>
      <c r="O787" s="2"/>
      <c r="P787" s="2" t="str">
        <f t="shared" si="48"/>
        <v/>
      </c>
      <c r="Q787" s="2"/>
      <c r="R787" s="2"/>
      <c r="S787" s="48"/>
      <c r="T787" s="2">
        <v>0</v>
      </c>
      <c r="U787" s="2">
        <v>0</v>
      </c>
      <c r="V787" s="1" t="s">
        <v>1886</v>
      </c>
      <c r="W787" s="6" t="s">
        <v>1887</v>
      </c>
      <c r="X787" s="1" t="s">
        <v>1873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>
        <v>2000000</v>
      </c>
      <c r="AL787" s="3">
        <v>2000000</v>
      </c>
      <c r="AM787" s="3">
        <v>2000000</v>
      </c>
      <c r="AN787" s="3">
        <v>2000000</v>
      </c>
      <c r="AO787" s="3">
        <v>2000000</v>
      </c>
      <c r="AP787" s="3">
        <v>2000000</v>
      </c>
      <c r="AQ787" s="3"/>
      <c r="AR787" s="3"/>
      <c r="AS787" s="3"/>
      <c r="AT787" s="3"/>
      <c r="AU787" s="3"/>
      <c r="AV787" s="3"/>
      <c r="AW787" s="3">
        <f t="shared" si="49"/>
        <v>0</v>
      </c>
      <c r="AX787" s="3">
        <f t="shared" si="50"/>
        <v>12000000</v>
      </c>
      <c r="AY787" s="4">
        <f t="shared" si="51"/>
        <v>6</v>
      </c>
      <c r="AZ787" s="8" t="s">
        <v>5602</v>
      </c>
      <c r="BA787" s="4" t="s">
        <v>5726</v>
      </c>
      <c r="BB787" s="2"/>
      <c r="BC787" s="3"/>
      <c r="BD787" s="3"/>
    </row>
    <row r="788" spans="1:56" ht="16.8" customHeight="1">
      <c r="A788" s="1">
        <v>787</v>
      </c>
      <c r="B788" s="1" t="s">
        <v>1816</v>
      </c>
      <c r="C788" s="1" t="s">
        <v>3040</v>
      </c>
      <c r="D788" s="1" t="s">
        <v>3041</v>
      </c>
      <c r="E788" s="1" t="s">
        <v>3041</v>
      </c>
      <c r="F788" s="1" t="s">
        <v>3042</v>
      </c>
      <c r="G788" s="1" t="s">
        <v>3043</v>
      </c>
      <c r="H788" s="1" t="s">
        <v>3044</v>
      </c>
      <c r="I788" s="18" t="s">
        <v>4783</v>
      </c>
      <c r="J788" s="18" t="s">
        <v>5018</v>
      </c>
      <c r="K788" s="18" t="s">
        <v>4737</v>
      </c>
      <c r="L788" s="18" t="s">
        <v>4734</v>
      </c>
      <c r="M788" s="2">
        <v>2000000</v>
      </c>
      <c r="N788" s="2">
        <v>2000000</v>
      </c>
      <c r="O788" s="2"/>
      <c r="P788" s="2" t="str">
        <f t="shared" si="48"/>
        <v/>
      </c>
      <c r="Q788" s="2"/>
      <c r="R788" s="2"/>
      <c r="S788" s="48"/>
      <c r="T788" s="2">
        <v>0</v>
      </c>
      <c r="U788" s="2">
        <v>0</v>
      </c>
      <c r="V788" s="1"/>
      <c r="W788" s="6"/>
      <c r="X788" s="1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>
        <f t="shared" si="49"/>
        <v>0</v>
      </c>
      <c r="AX788" s="3">
        <f t="shared" si="50"/>
        <v>0</v>
      </c>
      <c r="AY788" s="4">
        <f t="shared" si="51"/>
        <v>0</v>
      </c>
      <c r="AZ788" s="8" t="s">
        <v>5528</v>
      </c>
      <c r="BA788" s="4" t="s">
        <v>5726</v>
      </c>
      <c r="BB788" s="2"/>
      <c r="BC788" s="3"/>
      <c r="BD788" s="4"/>
    </row>
    <row r="789" spans="1:56" ht="16.8" customHeight="1">
      <c r="A789" s="1">
        <v>788</v>
      </c>
      <c r="B789" s="1" t="s">
        <v>1816</v>
      </c>
      <c r="C789" s="1" t="s">
        <v>1817</v>
      </c>
      <c r="D789" s="1" t="s">
        <v>3045</v>
      </c>
      <c r="E789" s="1" t="s">
        <v>3045</v>
      </c>
      <c r="F789" s="1" t="s">
        <v>3046</v>
      </c>
      <c r="G789" s="1" t="s">
        <v>3047</v>
      </c>
      <c r="H789" s="1" t="s">
        <v>3048</v>
      </c>
      <c r="I789" s="18" t="s">
        <v>5225</v>
      </c>
      <c r="J789" s="18" t="s">
        <v>5018</v>
      </c>
      <c r="K789" s="18" t="s">
        <v>5273</v>
      </c>
      <c r="L789" s="18" t="s">
        <v>4734</v>
      </c>
      <c r="M789" s="2">
        <v>2000000</v>
      </c>
      <c r="N789" s="2">
        <v>2000000</v>
      </c>
      <c r="O789" s="2"/>
      <c r="P789" s="2" t="str">
        <f t="shared" si="48"/>
        <v/>
      </c>
      <c r="Q789" s="2"/>
      <c r="R789" s="2"/>
      <c r="S789" s="48"/>
      <c r="T789" s="2">
        <v>0</v>
      </c>
      <c r="U789" s="2">
        <v>0</v>
      </c>
      <c r="V789" s="1"/>
      <c r="W789" s="6"/>
      <c r="X789" s="1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>
        <f t="shared" si="49"/>
        <v>0</v>
      </c>
      <c r="AX789" s="3">
        <f t="shared" si="50"/>
        <v>0</v>
      </c>
      <c r="AY789" s="4">
        <f t="shared" si="51"/>
        <v>0</v>
      </c>
      <c r="AZ789" s="8" t="s">
        <v>5603</v>
      </c>
      <c r="BA789" s="4" t="s">
        <v>5726</v>
      </c>
      <c r="BB789" s="2"/>
      <c r="BC789" s="3"/>
      <c r="BD789" s="4"/>
    </row>
    <row r="790" spans="1:56" ht="16.8" customHeight="1">
      <c r="A790" s="1">
        <v>789</v>
      </c>
      <c r="B790" s="1" t="s">
        <v>1816</v>
      </c>
      <c r="C790" s="1" t="s">
        <v>1817</v>
      </c>
      <c r="D790" s="1" t="s">
        <v>3049</v>
      </c>
      <c r="E790" s="1" t="s">
        <v>3049</v>
      </c>
      <c r="F790" s="1" t="s">
        <v>3050</v>
      </c>
      <c r="G790" s="1" t="s">
        <v>3051</v>
      </c>
      <c r="H790" s="1"/>
      <c r="I790" s="18"/>
      <c r="J790" s="18"/>
      <c r="K790" s="18"/>
      <c r="L790" s="18"/>
      <c r="M790" s="2">
        <v>1500000</v>
      </c>
      <c r="N790" s="2">
        <v>1500000</v>
      </c>
      <c r="O790" s="2"/>
      <c r="P790" s="2" t="str">
        <f t="shared" si="48"/>
        <v/>
      </c>
      <c r="Q790" s="2"/>
      <c r="R790" s="2"/>
      <c r="S790" s="48"/>
      <c r="T790" s="2">
        <v>0</v>
      </c>
      <c r="U790" s="2">
        <v>0</v>
      </c>
      <c r="V790" s="1"/>
      <c r="W790" s="6"/>
      <c r="X790" s="1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>
        <f t="shared" si="49"/>
        <v>0</v>
      </c>
      <c r="AX790" s="3">
        <f t="shared" si="50"/>
        <v>0</v>
      </c>
      <c r="AY790" s="4">
        <f t="shared" si="51"/>
        <v>0</v>
      </c>
      <c r="BA790" s="4" t="s">
        <v>5726</v>
      </c>
      <c r="BB790" s="2"/>
      <c r="BC790" s="3"/>
      <c r="BD790" s="4"/>
    </row>
    <row r="791" spans="1:56" ht="16.8" customHeight="1">
      <c r="A791" s="1">
        <v>790</v>
      </c>
      <c r="B791" s="1" t="s">
        <v>1816</v>
      </c>
      <c r="C791" s="1" t="s">
        <v>1920</v>
      </c>
      <c r="D791" s="1" t="s">
        <v>3053</v>
      </c>
      <c r="E791" s="1" t="s">
        <v>3053</v>
      </c>
      <c r="F791" s="1" t="s">
        <v>3054</v>
      </c>
      <c r="G791" s="1" t="s">
        <v>3055</v>
      </c>
      <c r="H791" s="1"/>
      <c r="I791" s="18"/>
      <c r="J791" s="18"/>
      <c r="K791" s="18"/>
      <c r="L791" s="18"/>
      <c r="M791" s="2">
        <v>1500000</v>
      </c>
      <c r="N791" s="2">
        <v>1500000</v>
      </c>
      <c r="O791" s="2"/>
      <c r="P791" s="2" t="str">
        <f t="shared" si="48"/>
        <v/>
      </c>
      <c r="Q791" s="2"/>
      <c r="R791" s="2"/>
      <c r="S791" s="48"/>
      <c r="T791" s="2">
        <v>0</v>
      </c>
      <c r="U791" s="2">
        <v>0</v>
      </c>
      <c r="V791" s="1"/>
      <c r="W791" s="6"/>
      <c r="X791" s="1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>
        <f t="shared" si="49"/>
        <v>0</v>
      </c>
      <c r="AX791" s="3">
        <f t="shared" si="50"/>
        <v>0</v>
      </c>
      <c r="AY791" s="4">
        <f t="shared" si="51"/>
        <v>0</v>
      </c>
      <c r="BA791" s="4" t="s">
        <v>5726</v>
      </c>
      <c r="BB791" s="2"/>
      <c r="BC791" s="3"/>
      <c r="BD791" s="4"/>
    </row>
    <row r="792" spans="1:56" ht="16.8" customHeight="1">
      <c r="A792" s="1">
        <v>791</v>
      </c>
      <c r="B792" s="1" t="s">
        <v>1816</v>
      </c>
      <c r="C792" s="1" t="s">
        <v>1920</v>
      </c>
      <c r="D792" s="1" t="s">
        <v>3057</v>
      </c>
      <c r="E792" s="1" t="s">
        <v>3057</v>
      </c>
      <c r="F792" s="1" t="s">
        <v>3058</v>
      </c>
      <c r="G792" s="1" t="s">
        <v>3059</v>
      </c>
      <c r="H792" s="1" t="s">
        <v>3060</v>
      </c>
      <c r="I792" s="18" t="s">
        <v>4783</v>
      </c>
      <c r="J792" s="18" t="s">
        <v>5018</v>
      </c>
      <c r="K792" s="18" t="s">
        <v>4733</v>
      </c>
      <c r="L792" s="18" t="s">
        <v>4734</v>
      </c>
      <c r="M792" s="2">
        <v>2000000</v>
      </c>
      <c r="N792" s="2">
        <v>2000000</v>
      </c>
      <c r="O792" s="2"/>
      <c r="P792" s="2" t="str">
        <f t="shared" si="48"/>
        <v/>
      </c>
      <c r="Q792" s="2"/>
      <c r="R792" s="2"/>
      <c r="S792" s="48"/>
      <c r="T792" s="2">
        <v>0</v>
      </c>
      <c r="U792" s="2">
        <v>0</v>
      </c>
      <c r="V792" s="1"/>
      <c r="W792" s="6"/>
      <c r="X792" s="1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>
        <f t="shared" si="49"/>
        <v>0</v>
      </c>
      <c r="AX792" s="3">
        <f t="shared" si="50"/>
        <v>0</v>
      </c>
      <c r="AY792" s="4">
        <f t="shared" si="51"/>
        <v>0</v>
      </c>
      <c r="AZ792" s="8">
        <v>0</v>
      </c>
      <c r="BA792" s="4" t="s">
        <v>5726</v>
      </c>
      <c r="BB792" s="2"/>
      <c r="BC792" s="3"/>
      <c r="BD792" s="4"/>
    </row>
    <row r="793" spans="1:56" ht="16.8" customHeight="1">
      <c r="A793" s="1">
        <v>792</v>
      </c>
      <c r="B793" s="1" t="s">
        <v>1816</v>
      </c>
      <c r="C793" s="1" t="s">
        <v>1920</v>
      </c>
      <c r="D793" s="1" t="s">
        <v>3061</v>
      </c>
      <c r="E793" s="1" t="s">
        <v>3061</v>
      </c>
      <c r="F793" s="1" t="s">
        <v>3062</v>
      </c>
      <c r="G793" s="1" t="s">
        <v>3063</v>
      </c>
      <c r="H793" s="1" t="s">
        <v>3064</v>
      </c>
      <c r="I793" s="18" t="s">
        <v>5225</v>
      </c>
      <c r="J793" s="18" t="s">
        <v>5018</v>
      </c>
      <c r="K793" s="18" t="s">
        <v>5273</v>
      </c>
      <c r="L793" s="18" t="s">
        <v>4734</v>
      </c>
      <c r="M793" s="2">
        <v>1800000</v>
      </c>
      <c r="N793" s="2">
        <v>1800000</v>
      </c>
      <c r="O793" s="2"/>
      <c r="P793" s="2" t="str">
        <f t="shared" si="48"/>
        <v/>
      </c>
      <c r="Q793" s="2"/>
      <c r="R793" s="2"/>
      <c r="S793" s="48"/>
      <c r="T793" s="2">
        <v>0</v>
      </c>
      <c r="U793" s="2">
        <v>0</v>
      </c>
      <c r="V793" s="1"/>
      <c r="W793" s="6"/>
      <c r="X793" s="1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>
        <f t="shared" si="49"/>
        <v>0</v>
      </c>
      <c r="AX793" s="3">
        <f t="shared" si="50"/>
        <v>0</v>
      </c>
      <c r="AY793" s="4">
        <f t="shared" si="51"/>
        <v>0</v>
      </c>
      <c r="AZ793" s="8">
        <v>0</v>
      </c>
      <c r="BA793" s="4" t="s">
        <v>5726</v>
      </c>
      <c r="BB793" s="2"/>
      <c r="BC793" s="3"/>
      <c r="BD793" s="4"/>
    </row>
    <row r="794" spans="1:56" ht="16.8" customHeight="1">
      <c r="A794" s="1">
        <v>793</v>
      </c>
      <c r="B794" s="1" t="s">
        <v>1816</v>
      </c>
      <c r="C794" s="1" t="s">
        <v>1920</v>
      </c>
      <c r="D794" s="1" t="s">
        <v>3065</v>
      </c>
      <c r="E794" s="1" t="s">
        <v>3065</v>
      </c>
      <c r="F794" s="1" t="s">
        <v>3066</v>
      </c>
      <c r="G794" s="1" t="s">
        <v>3067</v>
      </c>
      <c r="H794" s="1"/>
      <c r="I794" s="18"/>
      <c r="J794" s="18"/>
      <c r="K794" s="18"/>
      <c r="L794" s="18"/>
      <c r="M794" s="2">
        <v>2000000</v>
      </c>
      <c r="N794" s="2">
        <v>2000000</v>
      </c>
      <c r="O794" s="2"/>
      <c r="P794" s="2" t="str">
        <f t="shared" si="48"/>
        <v/>
      </c>
      <c r="Q794" s="2"/>
      <c r="R794" s="2"/>
      <c r="S794" s="48"/>
      <c r="T794" s="2">
        <v>0</v>
      </c>
      <c r="U794" s="2">
        <v>0</v>
      </c>
      <c r="V794" s="1"/>
      <c r="W794" s="6"/>
      <c r="X794" s="1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>
        <f t="shared" si="49"/>
        <v>0</v>
      </c>
      <c r="AX794" s="3">
        <f t="shared" si="50"/>
        <v>0</v>
      </c>
      <c r="AY794" s="4">
        <f t="shared" si="51"/>
        <v>0</v>
      </c>
      <c r="BA794" s="4" t="s">
        <v>5726</v>
      </c>
      <c r="BB794" s="2"/>
      <c r="BC794" s="3"/>
      <c r="BD794" s="4"/>
    </row>
    <row r="795" spans="1:56" ht="16.8" customHeight="1">
      <c r="A795" s="1">
        <v>794</v>
      </c>
      <c r="B795" s="1" t="s">
        <v>1816</v>
      </c>
      <c r="C795" s="1" t="s">
        <v>1920</v>
      </c>
      <c r="D795" s="1" t="s">
        <v>3069</v>
      </c>
      <c r="E795" s="1" t="s">
        <v>3069</v>
      </c>
      <c r="F795" s="1" t="s">
        <v>3070</v>
      </c>
      <c r="G795" s="1" t="s">
        <v>3071</v>
      </c>
      <c r="H795" s="1"/>
      <c r="I795" s="18"/>
      <c r="J795" s="18"/>
      <c r="K795" s="18"/>
      <c r="L795" s="18"/>
      <c r="M795" s="2">
        <v>1500000</v>
      </c>
      <c r="N795" s="2">
        <v>1500000</v>
      </c>
      <c r="O795" s="2"/>
      <c r="P795" s="2" t="str">
        <f t="shared" si="48"/>
        <v/>
      </c>
      <c r="Q795" s="2"/>
      <c r="R795" s="2"/>
      <c r="S795" s="48"/>
      <c r="T795" s="2">
        <v>0</v>
      </c>
      <c r="U795" s="2">
        <v>0</v>
      </c>
      <c r="V795" s="1"/>
      <c r="W795" s="6"/>
      <c r="X795" s="1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>
        <f t="shared" si="49"/>
        <v>0</v>
      </c>
      <c r="AX795" s="3">
        <f t="shared" si="50"/>
        <v>0</v>
      </c>
      <c r="AY795" s="4">
        <f t="shared" si="51"/>
        <v>0</v>
      </c>
      <c r="BA795" s="4" t="s">
        <v>5726</v>
      </c>
      <c r="BB795" s="2"/>
      <c r="BC795" s="3"/>
      <c r="BD795" s="4"/>
    </row>
    <row r="796" spans="1:56" ht="16.8" customHeight="1">
      <c r="A796" s="1">
        <v>795</v>
      </c>
      <c r="B796" s="1" t="s">
        <v>1816</v>
      </c>
      <c r="C796" s="1" t="s">
        <v>1920</v>
      </c>
      <c r="D796" s="1" t="s">
        <v>3073</v>
      </c>
      <c r="E796" s="1" t="s">
        <v>3073</v>
      </c>
      <c r="F796" s="1" t="s">
        <v>3074</v>
      </c>
      <c r="G796" s="1" t="s">
        <v>3075</v>
      </c>
      <c r="H796" s="1"/>
      <c r="I796" s="18"/>
      <c r="J796" s="18"/>
      <c r="K796" s="18"/>
      <c r="L796" s="18"/>
      <c r="M796" s="2">
        <v>2000000</v>
      </c>
      <c r="N796" s="2">
        <v>2000000</v>
      </c>
      <c r="O796" s="2"/>
      <c r="P796" s="2" t="str">
        <f t="shared" si="48"/>
        <v/>
      </c>
      <c r="Q796" s="2"/>
      <c r="R796" s="2"/>
      <c r="S796" s="48"/>
      <c r="T796" s="2">
        <v>0</v>
      </c>
      <c r="U796" s="2">
        <v>0</v>
      </c>
      <c r="V796" s="1"/>
      <c r="W796" s="6"/>
      <c r="X796" s="1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>
        <f t="shared" si="49"/>
        <v>0</v>
      </c>
      <c r="AX796" s="3">
        <f t="shared" si="50"/>
        <v>0</v>
      </c>
      <c r="AY796" s="4">
        <f t="shared" si="51"/>
        <v>0</v>
      </c>
      <c r="BA796" s="4" t="s">
        <v>5726</v>
      </c>
      <c r="BB796" s="2"/>
      <c r="BC796" s="3"/>
      <c r="BD796" s="4"/>
    </row>
    <row r="797" spans="1:56" ht="16.8" customHeight="1">
      <c r="A797" s="1">
        <v>796</v>
      </c>
      <c r="B797" s="1" t="s">
        <v>1816</v>
      </c>
      <c r="C797" s="1" t="s">
        <v>1920</v>
      </c>
      <c r="D797" s="1" t="s">
        <v>3077</v>
      </c>
      <c r="E797" s="1" t="s">
        <v>3077</v>
      </c>
      <c r="F797" s="1" t="s">
        <v>3078</v>
      </c>
      <c r="G797" s="1" t="s">
        <v>3079</v>
      </c>
      <c r="H797" s="1"/>
      <c r="I797" s="18"/>
      <c r="J797" s="18"/>
      <c r="K797" s="18"/>
      <c r="L797" s="18"/>
      <c r="M797" s="2">
        <v>1600000</v>
      </c>
      <c r="N797" s="2">
        <v>1600000</v>
      </c>
      <c r="O797" s="2"/>
      <c r="P797" s="2" t="str">
        <f t="shared" si="48"/>
        <v/>
      </c>
      <c r="Q797" s="2"/>
      <c r="R797" s="2"/>
      <c r="S797" s="48"/>
      <c r="T797" s="2">
        <v>0</v>
      </c>
      <c r="U797" s="2">
        <v>0</v>
      </c>
      <c r="V797" s="1"/>
      <c r="W797" s="6"/>
      <c r="X797" s="1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>
        <f t="shared" si="49"/>
        <v>0</v>
      </c>
      <c r="AX797" s="3">
        <f t="shared" si="50"/>
        <v>0</v>
      </c>
      <c r="AY797" s="4">
        <f t="shared" si="51"/>
        <v>0</v>
      </c>
      <c r="BA797" s="4" t="s">
        <v>5726</v>
      </c>
      <c r="BB797" s="2"/>
      <c r="BC797" s="3"/>
      <c r="BD797" s="4"/>
    </row>
    <row r="798" spans="1:56" ht="16.8" customHeight="1">
      <c r="A798" s="1">
        <v>797</v>
      </c>
      <c r="B798" s="1" t="s">
        <v>1816</v>
      </c>
      <c r="C798" s="1" t="s">
        <v>1920</v>
      </c>
      <c r="D798" s="1" t="s">
        <v>3081</v>
      </c>
      <c r="E798" s="1" t="s">
        <v>3081</v>
      </c>
      <c r="F798" s="1" t="s">
        <v>3081</v>
      </c>
      <c r="G798" s="1" t="s">
        <v>3082</v>
      </c>
      <c r="H798" s="1" t="s">
        <v>3083</v>
      </c>
      <c r="I798" s="18" t="s">
        <v>4783</v>
      </c>
      <c r="J798" s="18" t="s">
        <v>5018</v>
      </c>
      <c r="K798" s="18" t="s">
        <v>4733</v>
      </c>
      <c r="L798" s="18" t="s">
        <v>4734</v>
      </c>
      <c r="M798" s="2">
        <v>1600000</v>
      </c>
      <c r="N798" s="2">
        <v>1600000</v>
      </c>
      <c r="O798" s="2"/>
      <c r="P798" s="2" t="str">
        <f t="shared" si="48"/>
        <v/>
      </c>
      <c r="Q798" s="2"/>
      <c r="R798" s="2"/>
      <c r="S798" s="48"/>
      <c r="T798" s="2">
        <v>0</v>
      </c>
      <c r="U798" s="2">
        <v>0</v>
      </c>
      <c r="V798" s="1" t="s">
        <v>3082</v>
      </c>
      <c r="W798" s="6" t="s">
        <v>3084</v>
      </c>
      <c r="X798" s="1" t="s">
        <v>101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>
        <v>1600000</v>
      </c>
      <c r="AL798" s="3">
        <v>1600000</v>
      </c>
      <c r="AM798" s="3">
        <v>1600000</v>
      </c>
      <c r="AN798" s="3">
        <v>1600000</v>
      </c>
      <c r="AO798" s="3">
        <v>1600000</v>
      </c>
      <c r="AP798" s="3">
        <v>1600000</v>
      </c>
      <c r="AQ798" s="3"/>
      <c r="AR798" s="3"/>
      <c r="AS798" s="3"/>
      <c r="AT798" s="3"/>
      <c r="AU798" s="3"/>
      <c r="AV798" s="3"/>
      <c r="AW798" s="3">
        <f t="shared" si="49"/>
        <v>0</v>
      </c>
      <c r="AX798" s="3">
        <f t="shared" si="50"/>
        <v>9600000</v>
      </c>
      <c r="AY798" s="4">
        <f t="shared" si="51"/>
        <v>6</v>
      </c>
      <c r="AZ798" s="8">
        <v>0</v>
      </c>
      <c r="BA798" s="4" t="s">
        <v>5726</v>
      </c>
      <c r="BB798" s="2"/>
      <c r="BC798" s="3"/>
      <c r="BD798" s="3"/>
    </row>
    <row r="799" spans="1:56" ht="16.8" customHeight="1">
      <c r="A799" s="1">
        <v>798</v>
      </c>
      <c r="B799" s="1" t="s">
        <v>1816</v>
      </c>
      <c r="C799" s="1" t="s">
        <v>1920</v>
      </c>
      <c r="D799" s="1" t="s">
        <v>3085</v>
      </c>
      <c r="E799" s="1" t="s">
        <v>3085</v>
      </c>
      <c r="F799" s="1" t="s">
        <v>3086</v>
      </c>
      <c r="G799" s="1" t="s">
        <v>3087</v>
      </c>
      <c r="H799" s="1" t="s">
        <v>1538</v>
      </c>
      <c r="I799" s="18" t="s">
        <v>5225</v>
      </c>
      <c r="J799" s="18" t="s">
        <v>5018</v>
      </c>
      <c r="K799" s="18" t="s">
        <v>5273</v>
      </c>
      <c r="L799" s="18" t="s">
        <v>4734</v>
      </c>
      <c r="M799" s="2">
        <v>1800000</v>
      </c>
      <c r="N799" s="2">
        <v>1800000</v>
      </c>
      <c r="O799" s="2"/>
      <c r="P799" s="2" t="str">
        <f t="shared" si="48"/>
        <v/>
      </c>
      <c r="Q799" s="2"/>
      <c r="R799" s="2"/>
      <c r="S799" s="48"/>
      <c r="T799" s="2">
        <v>0</v>
      </c>
      <c r="U799" s="2">
        <v>0</v>
      </c>
      <c r="V799" s="1"/>
      <c r="W799" s="6"/>
      <c r="X799" s="1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>
        <f t="shared" si="49"/>
        <v>0</v>
      </c>
      <c r="AX799" s="3">
        <f t="shared" si="50"/>
        <v>0</v>
      </c>
      <c r="AY799" s="4">
        <f t="shared" si="51"/>
        <v>0</v>
      </c>
      <c r="AZ799" s="8">
        <v>0</v>
      </c>
      <c r="BA799" s="4" t="s">
        <v>5726</v>
      </c>
      <c r="BB799" s="2"/>
      <c r="BC799" s="3"/>
      <c r="BD799" s="4"/>
    </row>
    <row r="800" spans="1:56" ht="16.8" customHeight="1">
      <c r="A800" s="1">
        <v>799</v>
      </c>
      <c r="B800" s="1" t="s">
        <v>1816</v>
      </c>
      <c r="C800" s="1" t="s">
        <v>1920</v>
      </c>
      <c r="D800" s="1" t="s">
        <v>3088</v>
      </c>
      <c r="E800" s="1" t="s">
        <v>3088</v>
      </c>
      <c r="F800" s="1" t="s">
        <v>3089</v>
      </c>
      <c r="G800" s="1" t="s">
        <v>3090</v>
      </c>
      <c r="H800" s="1" t="s">
        <v>3091</v>
      </c>
      <c r="I800" s="18" t="s">
        <v>4783</v>
      </c>
      <c r="J800" s="18" t="s">
        <v>5018</v>
      </c>
      <c r="K800" s="18" t="s">
        <v>4733</v>
      </c>
      <c r="L800" s="18" t="s">
        <v>4734</v>
      </c>
      <c r="M800" s="2">
        <v>1800000</v>
      </c>
      <c r="N800" s="2">
        <v>1800000</v>
      </c>
      <c r="O800" s="2"/>
      <c r="P800" s="2" t="str">
        <f t="shared" si="48"/>
        <v/>
      </c>
      <c r="Q800" s="2"/>
      <c r="R800" s="2"/>
      <c r="S800" s="48"/>
      <c r="T800" s="2">
        <v>0</v>
      </c>
      <c r="U800" s="2">
        <v>0</v>
      </c>
      <c r="V800" s="1"/>
      <c r="W800" s="6"/>
      <c r="X800" s="1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>
        <f t="shared" si="49"/>
        <v>0</v>
      </c>
      <c r="AX800" s="3">
        <f t="shared" si="50"/>
        <v>0</v>
      </c>
      <c r="AY800" s="4">
        <f t="shared" si="51"/>
        <v>0</v>
      </c>
      <c r="AZ800" s="8" t="s">
        <v>5604</v>
      </c>
      <c r="BA800" s="4" t="s">
        <v>5726</v>
      </c>
      <c r="BB800" s="2"/>
      <c r="BC800" s="3"/>
      <c r="BD800" s="4"/>
    </row>
    <row r="801" spans="1:56" ht="16.8" customHeight="1">
      <c r="A801" s="1">
        <v>800</v>
      </c>
      <c r="B801" s="1" t="s">
        <v>1816</v>
      </c>
      <c r="C801" s="1" t="s">
        <v>1920</v>
      </c>
      <c r="D801" s="1" t="s">
        <v>3092</v>
      </c>
      <c r="E801" s="1" t="s">
        <v>3092</v>
      </c>
      <c r="F801" s="1" t="s">
        <v>3093</v>
      </c>
      <c r="G801" s="1" t="s">
        <v>3094</v>
      </c>
      <c r="H801" s="1" t="s">
        <v>3095</v>
      </c>
      <c r="I801" s="18" t="s">
        <v>4783</v>
      </c>
      <c r="J801" s="18" t="s">
        <v>5018</v>
      </c>
      <c r="K801" s="18" t="s">
        <v>4733</v>
      </c>
      <c r="L801" s="18" t="s">
        <v>4734</v>
      </c>
      <c r="M801" s="2">
        <v>2000000</v>
      </c>
      <c r="N801" s="2">
        <v>2000000</v>
      </c>
      <c r="O801" s="2"/>
      <c r="P801" s="2" t="str">
        <f t="shared" si="48"/>
        <v/>
      </c>
      <c r="Q801" s="2"/>
      <c r="R801" s="2"/>
      <c r="S801" s="48"/>
      <c r="T801" s="2">
        <v>0</v>
      </c>
      <c r="U801" s="2">
        <v>0</v>
      </c>
      <c r="V801" s="1"/>
      <c r="W801" s="6"/>
      <c r="X801" s="1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>
        <f t="shared" si="49"/>
        <v>0</v>
      </c>
      <c r="AX801" s="3">
        <f t="shared" si="50"/>
        <v>0</v>
      </c>
      <c r="AY801" s="4">
        <f t="shared" si="51"/>
        <v>0</v>
      </c>
      <c r="AZ801" s="8" t="s">
        <v>5604</v>
      </c>
      <c r="BA801" s="4" t="s">
        <v>5726</v>
      </c>
      <c r="BB801" s="2"/>
      <c r="BC801" s="3"/>
      <c r="BD801" s="4"/>
    </row>
    <row r="802" spans="1:56" ht="16.8" customHeight="1">
      <c r="A802" s="1">
        <v>801</v>
      </c>
      <c r="B802" s="1" t="s">
        <v>1816</v>
      </c>
      <c r="C802" s="1" t="s">
        <v>1920</v>
      </c>
      <c r="D802" s="1" t="s">
        <v>3096</v>
      </c>
      <c r="E802" s="1" t="s">
        <v>3096</v>
      </c>
      <c r="F802" s="1" t="s">
        <v>3097</v>
      </c>
      <c r="G802" s="1" t="s">
        <v>3098</v>
      </c>
      <c r="H802" s="1"/>
      <c r="I802" s="18"/>
      <c r="J802" s="18"/>
      <c r="K802" s="18"/>
      <c r="L802" s="18"/>
      <c r="M802" s="2">
        <v>1500000</v>
      </c>
      <c r="N802" s="2">
        <v>1500000</v>
      </c>
      <c r="O802" s="2"/>
      <c r="P802" s="2" t="str">
        <f t="shared" si="48"/>
        <v/>
      </c>
      <c r="Q802" s="2"/>
      <c r="R802" s="2"/>
      <c r="S802" s="48"/>
      <c r="T802" s="2">
        <v>0</v>
      </c>
      <c r="U802" s="2">
        <v>0</v>
      </c>
      <c r="V802" s="1"/>
      <c r="W802" s="6"/>
      <c r="X802" s="1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>
        <f t="shared" si="49"/>
        <v>0</v>
      </c>
      <c r="AX802" s="3">
        <f t="shared" si="50"/>
        <v>0</v>
      </c>
      <c r="AY802" s="4">
        <f t="shared" si="51"/>
        <v>0</v>
      </c>
      <c r="BA802" s="4" t="s">
        <v>5726</v>
      </c>
      <c r="BB802" s="2"/>
      <c r="BC802" s="3"/>
      <c r="BD802" s="4"/>
    </row>
    <row r="803" spans="1:56" ht="16.8" customHeight="1">
      <c r="A803" s="1">
        <v>802</v>
      </c>
      <c r="B803" s="1" t="s">
        <v>1816</v>
      </c>
      <c r="C803" s="1" t="s">
        <v>1920</v>
      </c>
      <c r="D803" s="1" t="s">
        <v>3100</v>
      </c>
      <c r="E803" s="1" t="s">
        <v>3100</v>
      </c>
      <c r="F803" s="1" t="s">
        <v>3101</v>
      </c>
      <c r="G803" s="1" t="s">
        <v>3102</v>
      </c>
      <c r="H803" s="1" t="s">
        <v>5274</v>
      </c>
      <c r="I803" s="18" t="s">
        <v>5225</v>
      </c>
      <c r="J803" s="18" t="s">
        <v>5018</v>
      </c>
      <c r="K803" s="18" t="s">
        <v>4733</v>
      </c>
      <c r="L803" s="18" t="s">
        <v>4734</v>
      </c>
      <c r="M803" s="2">
        <v>1800000</v>
      </c>
      <c r="N803" s="2">
        <v>1800000</v>
      </c>
      <c r="O803" s="2"/>
      <c r="P803" s="2" t="str">
        <f t="shared" si="48"/>
        <v/>
      </c>
      <c r="Q803" s="2"/>
      <c r="R803" s="2"/>
      <c r="S803" s="48"/>
      <c r="T803" s="2">
        <v>0</v>
      </c>
      <c r="U803" s="2">
        <v>0</v>
      </c>
      <c r="V803" s="1"/>
      <c r="W803" s="6"/>
      <c r="X803" s="1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>
        <f t="shared" si="49"/>
        <v>0</v>
      </c>
      <c r="AX803" s="3">
        <f t="shared" si="50"/>
        <v>0</v>
      </c>
      <c r="AY803" s="4">
        <f t="shared" si="51"/>
        <v>0</v>
      </c>
      <c r="AZ803" s="8" t="s">
        <v>5605</v>
      </c>
      <c r="BA803" s="4" t="s">
        <v>5726</v>
      </c>
      <c r="BB803" s="2"/>
      <c r="BC803" s="3"/>
      <c r="BD803" s="4"/>
    </row>
    <row r="804" spans="1:56" ht="16.8" customHeight="1">
      <c r="A804" s="1">
        <v>803</v>
      </c>
      <c r="B804" s="1" t="s">
        <v>1816</v>
      </c>
      <c r="C804" s="1" t="s">
        <v>1920</v>
      </c>
      <c r="D804" s="1" t="s">
        <v>3104</v>
      </c>
      <c r="E804" s="1" t="s">
        <v>3104</v>
      </c>
      <c r="F804" s="1" t="s">
        <v>3105</v>
      </c>
      <c r="G804" s="1" t="s">
        <v>3106</v>
      </c>
      <c r="H804" s="1"/>
      <c r="I804" s="18"/>
      <c r="J804" s="18"/>
      <c r="K804" s="18"/>
      <c r="L804" s="18"/>
      <c r="M804" s="2">
        <v>1800000</v>
      </c>
      <c r="N804" s="2">
        <v>1800000</v>
      </c>
      <c r="O804" s="2"/>
      <c r="P804" s="2" t="str">
        <f t="shared" si="48"/>
        <v/>
      </c>
      <c r="Q804" s="2"/>
      <c r="R804" s="2"/>
      <c r="S804" s="48"/>
      <c r="T804" s="2">
        <v>0</v>
      </c>
      <c r="U804" s="2">
        <v>0</v>
      </c>
      <c r="V804" s="1"/>
      <c r="W804" s="6"/>
      <c r="X804" s="1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>
        <f t="shared" si="49"/>
        <v>0</v>
      </c>
      <c r="AX804" s="3">
        <f t="shared" si="50"/>
        <v>0</v>
      </c>
      <c r="AY804" s="4">
        <f t="shared" si="51"/>
        <v>0</v>
      </c>
      <c r="BA804" s="4" t="s">
        <v>5726</v>
      </c>
      <c r="BB804" s="2"/>
      <c r="BC804" s="3"/>
      <c r="BD804" s="4"/>
    </row>
    <row r="805" spans="1:56" ht="16.8" customHeight="1">
      <c r="A805" s="1">
        <v>804</v>
      </c>
      <c r="B805" s="1" t="s">
        <v>1816</v>
      </c>
      <c r="C805" s="1" t="s">
        <v>1920</v>
      </c>
      <c r="D805" s="1" t="s">
        <v>3107</v>
      </c>
      <c r="E805" s="1" t="s">
        <v>3107</v>
      </c>
      <c r="F805" s="1" t="s">
        <v>3108</v>
      </c>
      <c r="G805" s="1" t="s">
        <v>3109</v>
      </c>
      <c r="H805" s="1" t="s">
        <v>3110</v>
      </c>
      <c r="I805" s="18" t="s">
        <v>5225</v>
      </c>
      <c r="J805" s="18" t="s">
        <v>5018</v>
      </c>
      <c r="K805" s="18" t="s">
        <v>5273</v>
      </c>
      <c r="L805" s="18" t="s">
        <v>4734</v>
      </c>
      <c r="M805" s="2">
        <v>1800000</v>
      </c>
      <c r="N805" s="2">
        <v>2000000</v>
      </c>
      <c r="O805" s="2"/>
      <c r="P805" s="2">
        <f t="shared" si="48"/>
        <v>200000</v>
      </c>
      <c r="Q805" s="2"/>
      <c r="R805" s="2"/>
      <c r="S805" s="48"/>
      <c r="T805" s="2">
        <v>0</v>
      </c>
      <c r="U805" s="2">
        <v>0</v>
      </c>
      <c r="V805" s="1"/>
      <c r="W805" s="6"/>
      <c r="X805" s="1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>
        <f t="shared" si="49"/>
        <v>0</v>
      </c>
      <c r="AX805" s="3">
        <f t="shared" si="50"/>
        <v>0</v>
      </c>
      <c r="AY805" s="4">
        <f t="shared" si="51"/>
        <v>0</v>
      </c>
      <c r="AZ805" s="8">
        <v>0</v>
      </c>
      <c r="BA805" s="4" t="s">
        <v>5726</v>
      </c>
      <c r="BB805" s="2"/>
      <c r="BC805" s="3"/>
      <c r="BD805" s="4"/>
    </row>
    <row r="806" spans="1:56" ht="16.8" customHeight="1">
      <c r="A806" s="1">
        <v>805</v>
      </c>
      <c r="B806" s="1" t="s">
        <v>1816</v>
      </c>
      <c r="C806" s="1" t="s">
        <v>2049</v>
      </c>
      <c r="D806" s="1" t="s">
        <v>3111</v>
      </c>
      <c r="E806" s="1" t="s">
        <v>3111</v>
      </c>
      <c r="F806" s="1" t="s">
        <v>3112</v>
      </c>
      <c r="G806" s="1" t="s">
        <v>3113</v>
      </c>
      <c r="H806" s="1"/>
      <c r="I806" s="18"/>
      <c r="J806" s="18"/>
      <c r="K806" s="18"/>
      <c r="L806" s="18"/>
      <c r="M806" s="2">
        <v>2000000</v>
      </c>
      <c r="N806" s="2">
        <v>2000000</v>
      </c>
      <c r="O806" s="2"/>
      <c r="P806" s="2" t="str">
        <f t="shared" si="48"/>
        <v/>
      </c>
      <c r="Q806" s="2"/>
      <c r="R806" s="2"/>
      <c r="S806" s="48"/>
      <c r="T806" s="2">
        <v>0</v>
      </c>
      <c r="U806" s="2">
        <v>0</v>
      </c>
      <c r="V806" s="1"/>
      <c r="W806" s="6"/>
      <c r="X806" s="1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>
        <f t="shared" si="49"/>
        <v>0</v>
      </c>
      <c r="AX806" s="3">
        <f t="shared" si="50"/>
        <v>0</v>
      </c>
      <c r="AY806" s="4">
        <f t="shared" si="51"/>
        <v>0</v>
      </c>
      <c r="BA806" s="4" t="s">
        <v>5726</v>
      </c>
      <c r="BB806" s="2"/>
      <c r="BC806" s="3"/>
      <c r="BD806" s="4"/>
    </row>
    <row r="807" spans="1:56" ht="16.8" customHeight="1">
      <c r="A807" s="1">
        <v>806</v>
      </c>
      <c r="B807" s="1" t="s">
        <v>1816</v>
      </c>
      <c r="C807" s="1" t="s">
        <v>1817</v>
      </c>
      <c r="D807" s="1" t="s">
        <v>3114</v>
      </c>
      <c r="E807" s="1" t="s">
        <v>3114</v>
      </c>
      <c r="F807" s="1" t="s">
        <v>3115</v>
      </c>
      <c r="G807" s="1" t="s">
        <v>3116</v>
      </c>
      <c r="H807" s="1"/>
      <c r="I807" s="18"/>
      <c r="J807" s="18"/>
      <c r="K807" s="18"/>
      <c r="L807" s="18"/>
      <c r="M807" s="2">
        <v>1500000</v>
      </c>
      <c r="N807" s="2">
        <v>1500000</v>
      </c>
      <c r="O807" s="2"/>
      <c r="P807" s="2" t="str">
        <f t="shared" si="48"/>
        <v/>
      </c>
      <c r="Q807" s="2"/>
      <c r="R807" s="2"/>
      <c r="S807" s="48"/>
      <c r="T807" s="2">
        <v>0</v>
      </c>
      <c r="U807" s="2">
        <v>0</v>
      </c>
      <c r="V807" s="1"/>
      <c r="W807" s="6"/>
      <c r="X807" s="1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>
        <f t="shared" si="49"/>
        <v>0</v>
      </c>
      <c r="AX807" s="3">
        <f t="shared" si="50"/>
        <v>0</v>
      </c>
      <c r="AY807" s="4">
        <f t="shared" si="51"/>
        <v>0</v>
      </c>
      <c r="BA807" s="4" t="s">
        <v>5726</v>
      </c>
      <c r="BB807" s="2"/>
      <c r="BC807" s="3"/>
      <c r="BD807" s="4"/>
    </row>
    <row r="808" spans="1:56" ht="16.8" customHeight="1">
      <c r="A808" s="1">
        <v>807</v>
      </c>
      <c r="B808" s="1" t="s">
        <v>1816</v>
      </c>
      <c r="C808" s="1" t="s">
        <v>1817</v>
      </c>
      <c r="D808" s="1" t="s">
        <v>3117</v>
      </c>
      <c r="E808" s="1" t="s">
        <v>3117</v>
      </c>
      <c r="F808" s="1" t="s">
        <v>3118</v>
      </c>
      <c r="G808" s="1" t="s">
        <v>3119</v>
      </c>
      <c r="H808" s="1"/>
      <c r="I808" s="18"/>
      <c r="J808" s="18"/>
      <c r="K808" s="18"/>
      <c r="L808" s="18"/>
      <c r="M808" s="2">
        <v>1500000</v>
      </c>
      <c r="N808" s="2">
        <v>1500000</v>
      </c>
      <c r="O808" s="2"/>
      <c r="P808" s="2" t="str">
        <f t="shared" si="48"/>
        <v/>
      </c>
      <c r="Q808" s="2"/>
      <c r="R808" s="2"/>
      <c r="S808" s="48"/>
      <c r="T808" s="2">
        <v>0</v>
      </c>
      <c r="U808" s="2">
        <v>0</v>
      </c>
      <c r="V808" s="1"/>
      <c r="W808" s="6"/>
      <c r="X808" s="1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>
        <f t="shared" si="49"/>
        <v>0</v>
      </c>
      <c r="AX808" s="3">
        <f t="shared" si="50"/>
        <v>0</v>
      </c>
      <c r="AY808" s="4">
        <f t="shared" si="51"/>
        <v>0</v>
      </c>
      <c r="BA808" s="4" t="s">
        <v>5726</v>
      </c>
      <c r="BB808" s="2"/>
      <c r="BC808" s="3"/>
      <c r="BD808" s="4"/>
    </row>
    <row r="809" spans="1:56" ht="16.8" customHeight="1">
      <c r="A809" s="1">
        <v>808</v>
      </c>
      <c r="B809" s="1" t="s">
        <v>1816</v>
      </c>
      <c r="C809" s="1" t="s">
        <v>2049</v>
      </c>
      <c r="D809" s="1" t="s">
        <v>3120</v>
      </c>
      <c r="E809" s="1" t="s">
        <v>3120</v>
      </c>
      <c r="F809" s="1" t="s">
        <v>3121</v>
      </c>
      <c r="G809" s="1" t="s">
        <v>3122</v>
      </c>
      <c r="H809" s="1"/>
      <c r="I809" s="18"/>
      <c r="J809" s="18"/>
      <c r="K809" s="18"/>
      <c r="L809" s="18"/>
      <c r="M809" s="2">
        <v>1500000</v>
      </c>
      <c r="N809" s="2">
        <v>1500000</v>
      </c>
      <c r="O809" s="2"/>
      <c r="P809" s="2" t="str">
        <f t="shared" si="48"/>
        <v/>
      </c>
      <c r="Q809" s="2"/>
      <c r="R809" s="2"/>
      <c r="S809" s="48"/>
      <c r="T809" s="2">
        <v>0</v>
      </c>
      <c r="U809" s="2">
        <v>0</v>
      </c>
      <c r="V809" s="1"/>
      <c r="W809" s="6"/>
      <c r="X809" s="1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>
        <f t="shared" si="49"/>
        <v>0</v>
      </c>
      <c r="AX809" s="3">
        <f t="shared" si="50"/>
        <v>0</v>
      </c>
      <c r="AY809" s="4">
        <f t="shared" si="51"/>
        <v>0</v>
      </c>
      <c r="BA809" s="4" t="s">
        <v>5726</v>
      </c>
      <c r="BB809" s="2"/>
      <c r="BC809" s="3"/>
      <c r="BD809" s="4"/>
    </row>
    <row r="810" spans="1:56" ht="16.8" customHeight="1">
      <c r="A810" s="1">
        <v>809</v>
      </c>
      <c r="B810" s="1" t="s">
        <v>1816</v>
      </c>
      <c r="C810" s="1" t="s">
        <v>2049</v>
      </c>
      <c r="D810" s="1" t="s">
        <v>3123</v>
      </c>
      <c r="E810" s="1" t="s">
        <v>3123</v>
      </c>
      <c r="F810" s="1" t="s">
        <v>3124</v>
      </c>
      <c r="G810" s="1" t="s">
        <v>3125</v>
      </c>
      <c r="H810" s="1"/>
      <c r="I810" s="18"/>
      <c r="J810" s="18"/>
      <c r="K810" s="18"/>
      <c r="L810" s="18"/>
      <c r="M810" s="2">
        <v>1500000</v>
      </c>
      <c r="N810" s="2">
        <v>1500000</v>
      </c>
      <c r="O810" s="2"/>
      <c r="P810" s="2" t="str">
        <f t="shared" si="48"/>
        <v/>
      </c>
      <c r="Q810" s="2"/>
      <c r="R810" s="2"/>
      <c r="S810" s="48"/>
      <c r="T810" s="2">
        <v>0</v>
      </c>
      <c r="U810" s="2">
        <v>0</v>
      </c>
      <c r="V810" s="1"/>
      <c r="W810" s="6"/>
      <c r="X810" s="1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>
        <f t="shared" si="49"/>
        <v>0</v>
      </c>
      <c r="AX810" s="3">
        <f t="shared" si="50"/>
        <v>0</v>
      </c>
      <c r="AY810" s="4">
        <f t="shared" si="51"/>
        <v>0</v>
      </c>
      <c r="BA810" s="4" t="s">
        <v>5726</v>
      </c>
      <c r="BB810" s="2"/>
      <c r="BC810" s="3"/>
      <c r="BD810" s="4"/>
    </row>
    <row r="811" spans="1:56" ht="16.8" customHeight="1">
      <c r="A811" s="1">
        <v>810</v>
      </c>
      <c r="B811" s="1" t="s">
        <v>1816</v>
      </c>
      <c r="C811" s="1" t="s">
        <v>3040</v>
      </c>
      <c r="D811" s="1" t="s">
        <v>3126</v>
      </c>
      <c r="E811" s="1" t="s">
        <v>3126</v>
      </c>
      <c r="F811" s="1" t="s">
        <v>3127</v>
      </c>
      <c r="G811" s="1" t="s">
        <v>3128</v>
      </c>
      <c r="H811" s="1" t="s">
        <v>3129</v>
      </c>
      <c r="I811" s="18" t="s">
        <v>5225</v>
      </c>
      <c r="J811" s="18" t="s">
        <v>5018</v>
      </c>
      <c r="K811" s="18" t="s">
        <v>5273</v>
      </c>
      <c r="L811" s="18" t="s">
        <v>4734</v>
      </c>
      <c r="M811" s="2">
        <v>2000000</v>
      </c>
      <c r="N811" s="2">
        <v>2000000</v>
      </c>
      <c r="O811" s="2"/>
      <c r="P811" s="2" t="str">
        <f t="shared" si="48"/>
        <v/>
      </c>
      <c r="Q811" s="2"/>
      <c r="R811" s="2"/>
      <c r="S811" s="48"/>
      <c r="T811" s="2">
        <v>0</v>
      </c>
      <c r="U811" s="2">
        <v>0</v>
      </c>
      <c r="V811" s="1"/>
      <c r="W811" s="6"/>
      <c r="X811" s="1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>
        <f t="shared" si="49"/>
        <v>0</v>
      </c>
      <c r="AX811" s="3">
        <f t="shared" si="50"/>
        <v>0</v>
      </c>
      <c r="AY811" s="4">
        <f t="shared" si="51"/>
        <v>0</v>
      </c>
      <c r="AZ811" s="8" t="s">
        <v>5592</v>
      </c>
      <c r="BA811" s="4" t="s">
        <v>5726</v>
      </c>
      <c r="BB811" s="2"/>
      <c r="BC811" s="3"/>
      <c r="BD811" s="4"/>
    </row>
    <row r="812" spans="1:56" ht="16.8" customHeight="1">
      <c r="A812" s="1">
        <v>811</v>
      </c>
      <c r="B812" s="1" t="s">
        <v>1816</v>
      </c>
      <c r="C812" s="1" t="s">
        <v>2049</v>
      </c>
      <c r="D812" s="1" t="s">
        <v>3130</v>
      </c>
      <c r="E812" s="1" t="s">
        <v>3130</v>
      </c>
      <c r="F812" s="1" t="s">
        <v>3131</v>
      </c>
      <c r="G812" s="1" t="s">
        <v>3132</v>
      </c>
      <c r="H812" s="1"/>
      <c r="I812" s="18"/>
      <c r="J812" s="18"/>
      <c r="K812" s="18"/>
      <c r="L812" s="18"/>
      <c r="M812" s="2">
        <v>3500000</v>
      </c>
      <c r="N812" s="2">
        <v>3500000</v>
      </c>
      <c r="O812" s="2"/>
      <c r="P812" s="2" t="str">
        <f t="shared" si="48"/>
        <v/>
      </c>
      <c r="Q812" s="2"/>
      <c r="R812" s="2"/>
      <c r="S812" s="48"/>
      <c r="T812" s="2">
        <v>0</v>
      </c>
      <c r="U812" s="2">
        <v>0</v>
      </c>
      <c r="V812" s="1"/>
      <c r="W812" s="6"/>
      <c r="X812" s="1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>
        <v>3500000</v>
      </c>
      <c r="AL812" s="3">
        <v>3500000</v>
      </c>
      <c r="AM812" s="3">
        <v>3500000</v>
      </c>
      <c r="AN812" s="3">
        <v>3500000</v>
      </c>
      <c r="AO812" s="3">
        <v>3500000</v>
      </c>
      <c r="AP812" s="3">
        <v>3500000</v>
      </c>
      <c r="AQ812" s="3">
        <v>3500000</v>
      </c>
      <c r="AR812" s="3">
        <v>3500000</v>
      </c>
      <c r="AS812" s="3">
        <v>3500000</v>
      </c>
      <c r="AT812" s="3">
        <v>3500000</v>
      </c>
      <c r="AU812" s="3">
        <v>3500000</v>
      </c>
      <c r="AV812" s="3">
        <v>3500000</v>
      </c>
      <c r="AW812" s="3">
        <f t="shared" si="49"/>
        <v>0</v>
      </c>
      <c r="AX812" s="3">
        <f t="shared" si="50"/>
        <v>42000000</v>
      </c>
      <c r="AY812" s="4">
        <f t="shared" si="51"/>
        <v>12</v>
      </c>
      <c r="BA812" s="4" t="s">
        <v>5726</v>
      </c>
      <c r="BB812" s="2">
        <v>42000000</v>
      </c>
      <c r="BC812" s="3"/>
      <c r="BD812" s="3"/>
    </row>
    <row r="813" spans="1:56" ht="16.8" customHeight="1">
      <c r="A813" s="1">
        <v>812</v>
      </c>
      <c r="B813" s="1" t="s">
        <v>1816</v>
      </c>
      <c r="C813" s="1" t="s">
        <v>1817</v>
      </c>
      <c r="D813" s="1" t="s">
        <v>3134</v>
      </c>
      <c r="E813" s="1" t="s">
        <v>3134</v>
      </c>
      <c r="F813" s="1" t="s">
        <v>3135</v>
      </c>
      <c r="G813" s="1" t="s">
        <v>3136</v>
      </c>
      <c r="H813" s="1"/>
      <c r="I813" s="18"/>
      <c r="J813" s="18"/>
      <c r="K813" s="18"/>
      <c r="L813" s="18"/>
      <c r="M813" s="2">
        <v>1500000</v>
      </c>
      <c r="N813" s="2">
        <v>1500000</v>
      </c>
      <c r="O813" s="2"/>
      <c r="P813" s="2" t="str">
        <f t="shared" si="48"/>
        <v/>
      </c>
      <c r="Q813" s="2"/>
      <c r="R813" s="2"/>
      <c r="S813" s="48"/>
      <c r="T813" s="2">
        <v>0</v>
      </c>
      <c r="U813" s="2">
        <v>0</v>
      </c>
      <c r="V813" s="1"/>
      <c r="W813" s="6"/>
      <c r="X813" s="1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>
        <f t="shared" si="49"/>
        <v>0</v>
      </c>
      <c r="AX813" s="3">
        <f t="shared" si="50"/>
        <v>0</v>
      </c>
      <c r="AY813" s="4">
        <f t="shared" si="51"/>
        <v>0</v>
      </c>
      <c r="BA813" s="4" t="s">
        <v>5726</v>
      </c>
      <c r="BB813" s="2"/>
      <c r="BC813" s="3"/>
      <c r="BD813" s="4"/>
    </row>
    <row r="814" spans="1:56" ht="16.8" customHeight="1">
      <c r="A814" s="1">
        <v>813</v>
      </c>
      <c r="B814" s="1" t="s">
        <v>1816</v>
      </c>
      <c r="C814" s="1" t="s">
        <v>3040</v>
      </c>
      <c r="D814" s="1" t="s">
        <v>3138</v>
      </c>
      <c r="E814" s="1" t="s">
        <v>3138</v>
      </c>
      <c r="F814" s="1" t="s">
        <v>3139</v>
      </c>
      <c r="G814" s="1" t="s">
        <v>3140</v>
      </c>
      <c r="H814" s="1"/>
      <c r="I814" s="18"/>
      <c r="J814" s="18"/>
      <c r="K814" s="18"/>
      <c r="L814" s="18"/>
      <c r="M814" s="2">
        <v>2000000</v>
      </c>
      <c r="N814" s="2">
        <v>2000000</v>
      </c>
      <c r="O814" s="2"/>
      <c r="P814" s="2" t="str">
        <f t="shared" si="48"/>
        <v/>
      </c>
      <c r="Q814" s="2"/>
      <c r="R814" s="2"/>
      <c r="S814" s="48"/>
      <c r="T814" s="2">
        <v>0</v>
      </c>
      <c r="U814" s="2">
        <v>0</v>
      </c>
      <c r="V814" s="1"/>
      <c r="W814" s="6"/>
      <c r="X814" s="1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>
        <f t="shared" si="49"/>
        <v>0</v>
      </c>
      <c r="AX814" s="3">
        <f t="shared" si="50"/>
        <v>0</v>
      </c>
      <c r="AY814" s="4">
        <f t="shared" si="51"/>
        <v>0</v>
      </c>
      <c r="BA814" s="4" t="s">
        <v>5726</v>
      </c>
      <c r="BB814" s="2"/>
      <c r="BC814" s="3"/>
      <c r="BD814" s="4"/>
    </row>
    <row r="815" spans="1:56" ht="16.8" customHeight="1">
      <c r="A815" s="1">
        <v>814</v>
      </c>
      <c r="B815" s="1" t="s">
        <v>1816</v>
      </c>
      <c r="C815" s="1" t="s">
        <v>1920</v>
      </c>
      <c r="D815" s="1" t="s">
        <v>3141</v>
      </c>
      <c r="E815" s="1" t="s">
        <v>3141</v>
      </c>
      <c r="F815" s="1" t="s">
        <v>3142</v>
      </c>
      <c r="G815" s="1" t="s">
        <v>3143</v>
      </c>
      <c r="H815" s="1"/>
      <c r="I815" s="18"/>
      <c r="J815" s="18"/>
      <c r="K815" s="18"/>
      <c r="L815" s="18"/>
      <c r="M815" s="2">
        <v>2000000</v>
      </c>
      <c r="N815" s="2">
        <v>2000000</v>
      </c>
      <c r="O815" s="2"/>
      <c r="P815" s="2" t="str">
        <f t="shared" si="48"/>
        <v/>
      </c>
      <c r="Q815" s="2"/>
      <c r="R815" s="2"/>
      <c r="S815" s="48"/>
      <c r="T815" s="2">
        <v>0</v>
      </c>
      <c r="U815" s="2">
        <v>0</v>
      </c>
      <c r="V815" s="1"/>
      <c r="W815" s="6"/>
      <c r="X815" s="1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>
        <f t="shared" si="49"/>
        <v>0</v>
      </c>
      <c r="AX815" s="3">
        <f t="shared" si="50"/>
        <v>0</v>
      </c>
      <c r="AY815" s="4">
        <f t="shared" si="51"/>
        <v>0</v>
      </c>
      <c r="BA815" s="4" t="s">
        <v>5726</v>
      </c>
      <c r="BB815" s="2"/>
      <c r="BC815" s="3"/>
      <c r="BD815" s="4"/>
    </row>
    <row r="816" spans="1:56" ht="16.8" customHeight="1">
      <c r="A816" s="1">
        <v>815</v>
      </c>
      <c r="B816" s="1" t="s">
        <v>1816</v>
      </c>
      <c r="C816" s="1" t="s">
        <v>2049</v>
      </c>
      <c r="D816" s="1" t="s">
        <v>3144</v>
      </c>
      <c r="E816" s="1" t="s">
        <v>3144</v>
      </c>
      <c r="F816" s="1" t="s">
        <v>3145</v>
      </c>
      <c r="G816" s="1" t="s">
        <v>3146</v>
      </c>
      <c r="H816" s="1" t="s">
        <v>5275</v>
      </c>
      <c r="I816" s="18" t="s">
        <v>5276</v>
      </c>
      <c r="J816" s="18" t="s">
        <v>5277</v>
      </c>
      <c r="K816" s="18" t="s">
        <v>5278</v>
      </c>
      <c r="L816" s="18" t="s">
        <v>4734</v>
      </c>
      <c r="M816" s="2">
        <v>2000000</v>
      </c>
      <c r="N816" s="2">
        <v>2000000</v>
      </c>
      <c r="O816" s="2"/>
      <c r="P816" s="2" t="str">
        <f t="shared" si="48"/>
        <v/>
      </c>
      <c r="Q816" s="2"/>
      <c r="R816" s="2"/>
      <c r="S816" s="48"/>
      <c r="T816" s="2">
        <v>0</v>
      </c>
      <c r="U816" s="2">
        <v>0</v>
      </c>
      <c r="V816" s="1"/>
      <c r="W816" s="6"/>
      <c r="X816" s="1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>
        <f t="shared" si="49"/>
        <v>0</v>
      </c>
      <c r="AX816" s="3">
        <f t="shared" si="50"/>
        <v>0</v>
      </c>
      <c r="AY816" s="4">
        <f t="shared" si="51"/>
        <v>0</v>
      </c>
      <c r="AZ816" s="8">
        <v>0</v>
      </c>
      <c r="BA816" s="4" t="s">
        <v>5726</v>
      </c>
      <c r="BB816" s="2"/>
      <c r="BC816" s="3"/>
      <c r="BD816" s="4"/>
    </row>
    <row r="817" spans="1:56" ht="16.8" customHeight="1">
      <c r="A817" s="1">
        <v>816</v>
      </c>
      <c r="B817" s="1" t="s">
        <v>1816</v>
      </c>
      <c r="C817" s="1" t="s">
        <v>2049</v>
      </c>
      <c r="D817" s="1" t="s">
        <v>3147</v>
      </c>
      <c r="E817" s="1" t="s">
        <v>3147</v>
      </c>
      <c r="F817" s="1" t="s">
        <v>3148</v>
      </c>
      <c r="G817" s="1" t="s">
        <v>3149</v>
      </c>
      <c r="H817" s="1"/>
      <c r="I817" s="18"/>
      <c r="J817" s="18"/>
      <c r="K817" s="18"/>
      <c r="L817" s="18"/>
      <c r="M817" s="2">
        <v>4000000</v>
      </c>
      <c r="N817" s="2">
        <v>4000000</v>
      </c>
      <c r="O817" s="2"/>
      <c r="P817" s="2" t="str">
        <f t="shared" si="48"/>
        <v/>
      </c>
      <c r="Q817" s="2"/>
      <c r="R817" s="2"/>
      <c r="S817" s="48"/>
      <c r="T817" s="2">
        <v>0</v>
      </c>
      <c r="U817" s="2">
        <v>0</v>
      </c>
      <c r="V817" s="1"/>
      <c r="W817" s="6"/>
      <c r="X817" s="1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>
        <v>4000000</v>
      </c>
      <c r="AL817" s="3">
        <v>4000000</v>
      </c>
      <c r="AM817" s="3">
        <v>4000000</v>
      </c>
      <c r="AN817" s="3">
        <v>4000000</v>
      </c>
      <c r="AO817" s="3">
        <v>4000000</v>
      </c>
      <c r="AP817" s="3">
        <v>4000000</v>
      </c>
      <c r="AQ817" s="3">
        <v>4000000</v>
      </c>
      <c r="AR817" s="3">
        <v>4000000</v>
      </c>
      <c r="AS817" s="3">
        <v>4000000</v>
      </c>
      <c r="AT817" s="3">
        <v>4000000</v>
      </c>
      <c r="AU817" s="3">
        <v>4000000</v>
      </c>
      <c r="AV817" s="3">
        <v>4000000</v>
      </c>
      <c r="AW817" s="3">
        <f t="shared" si="49"/>
        <v>0</v>
      </c>
      <c r="AX817" s="3">
        <f t="shared" si="50"/>
        <v>48000000</v>
      </c>
      <c r="AY817" s="4">
        <f t="shared" si="51"/>
        <v>12</v>
      </c>
      <c r="BA817" s="4" t="s">
        <v>5726</v>
      </c>
      <c r="BB817" s="2">
        <v>48000000</v>
      </c>
      <c r="BC817" s="3"/>
      <c r="BD817" s="3"/>
    </row>
    <row r="818" spans="1:56" ht="16.8" customHeight="1">
      <c r="A818" s="1">
        <v>817</v>
      </c>
      <c r="B818" s="1" t="s">
        <v>1816</v>
      </c>
      <c r="C818" s="1" t="s">
        <v>2049</v>
      </c>
      <c r="D818" s="1" t="s">
        <v>3150</v>
      </c>
      <c r="E818" s="1" t="s">
        <v>3150</v>
      </c>
      <c r="F818" s="1" t="s">
        <v>3151</v>
      </c>
      <c r="G818" s="1" t="s">
        <v>3152</v>
      </c>
      <c r="H818" s="1"/>
      <c r="I818" s="18"/>
      <c r="J818" s="18"/>
      <c r="K818" s="18"/>
      <c r="L818" s="18"/>
      <c r="M818" s="2">
        <v>3500000</v>
      </c>
      <c r="N818" s="2">
        <v>3500000</v>
      </c>
      <c r="O818" s="2"/>
      <c r="P818" s="2" t="str">
        <f t="shared" si="48"/>
        <v/>
      </c>
      <c r="Q818" s="2"/>
      <c r="R818" s="2"/>
      <c r="S818" s="48"/>
      <c r="T818" s="2">
        <v>0</v>
      </c>
      <c r="U818" s="2">
        <v>0</v>
      </c>
      <c r="V818" s="1"/>
      <c r="W818" s="6"/>
      <c r="X818" s="1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>
        <f t="shared" si="49"/>
        <v>0</v>
      </c>
      <c r="AX818" s="3">
        <f t="shared" si="50"/>
        <v>0</v>
      </c>
      <c r="AY818" s="4">
        <f t="shared" si="51"/>
        <v>0</v>
      </c>
      <c r="BA818" s="4" t="s">
        <v>5726</v>
      </c>
      <c r="BB818" s="2"/>
      <c r="BC818" s="3"/>
      <c r="BD818" s="4"/>
    </row>
    <row r="819" spans="1:56" ht="16.8" customHeight="1">
      <c r="A819" s="1">
        <v>818</v>
      </c>
      <c r="B819" s="1" t="s">
        <v>1816</v>
      </c>
      <c r="C819" s="1" t="s">
        <v>2049</v>
      </c>
      <c r="D819" s="1" t="s">
        <v>3153</v>
      </c>
      <c r="E819" s="1" t="s">
        <v>3153</v>
      </c>
      <c r="F819" s="1" t="s">
        <v>3154</v>
      </c>
      <c r="G819" s="1" t="s">
        <v>3155</v>
      </c>
      <c r="H819" s="1"/>
      <c r="I819" s="18"/>
      <c r="J819" s="18"/>
      <c r="K819" s="18"/>
      <c r="L819" s="18"/>
      <c r="M819" s="2">
        <v>1800000</v>
      </c>
      <c r="N819" s="2">
        <v>1800000</v>
      </c>
      <c r="O819" s="2"/>
      <c r="P819" s="2" t="str">
        <f t="shared" si="48"/>
        <v/>
      </c>
      <c r="Q819" s="2"/>
      <c r="R819" s="2"/>
      <c r="S819" s="48"/>
      <c r="T819" s="2">
        <v>0</v>
      </c>
      <c r="U819" s="2">
        <v>0</v>
      </c>
      <c r="V819" s="1"/>
      <c r="W819" s="6"/>
      <c r="X819" s="1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>
        <f t="shared" si="49"/>
        <v>0</v>
      </c>
      <c r="AX819" s="3">
        <f t="shared" si="50"/>
        <v>0</v>
      </c>
      <c r="AY819" s="4">
        <f t="shared" si="51"/>
        <v>0</v>
      </c>
      <c r="BA819" s="4" t="s">
        <v>5726</v>
      </c>
      <c r="BB819" s="2"/>
      <c r="BC819" s="3"/>
      <c r="BD819" s="4"/>
    </row>
    <row r="820" spans="1:56" ht="16.8" customHeight="1">
      <c r="A820" s="1">
        <v>819</v>
      </c>
      <c r="B820" s="1" t="s">
        <v>1816</v>
      </c>
      <c r="C820" s="1" t="s">
        <v>2049</v>
      </c>
      <c r="D820" s="1" t="s">
        <v>3156</v>
      </c>
      <c r="E820" s="1" t="s">
        <v>3156</v>
      </c>
      <c r="F820" s="1" t="s">
        <v>3157</v>
      </c>
      <c r="G820" s="1" t="s">
        <v>3158</v>
      </c>
      <c r="H820" s="1" t="s">
        <v>5279</v>
      </c>
      <c r="I820" s="18" t="s">
        <v>5018</v>
      </c>
      <c r="J820" s="18" t="s">
        <v>5280</v>
      </c>
      <c r="K820" s="18" t="s">
        <v>4843</v>
      </c>
      <c r="L820" s="18" t="s">
        <v>4734</v>
      </c>
      <c r="M820" s="2">
        <v>1500000</v>
      </c>
      <c r="N820" s="2">
        <v>1500000</v>
      </c>
      <c r="O820" s="2"/>
      <c r="P820" s="2" t="str">
        <f t="shared" si="48"/>
        <v/>
      </c>
      <c r="Q820" s="2"/>
      <c r="R820" s="2"/>
      <c r="S820" s="48"/>
      <c r="T820" s="2">
        <v>0</v>
      </c>
      <c r="U820" s="2">
        <v>0</v>
      </c>
      <c r="V820" s="1"/>
      <c r="W820" s="6"/>
      <c r="X820" s="1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>
        <f t="shared" si="49"/>
        <v>0</v>
      </c>
      <c r="AX820" s="3">
        <f t="shared" si="50"/>
        <v>0</v>
      </c>
      <c r="AY820" s="4">
        <f t="shared" si="51"/>
        <v>0</v>
      </c>
      <c r="AZ820" s="8">
        <v>0</v>
      </c>
      <c r="BA820" s="4" t="s">
        <v>5726</v>
      </c>
      <c r="BB820" s="2"/>
      <c r="BC820" s="3"/>
      <c r="BD820" s="4"/>
    </row>
    <row r="821" spans="1:56" ht="16.8" customHeight="1">
      <c r="A821" s="1">
        <v>820</v>
      </c>
      <c r="B821" s="1" t="s">
        <v>1816</v>
      </c>
      <c r="C821" s="1" t="s">
        <v>2049</v>
      </c>
      <c r="D821" s="1" t="s">
        <v>3159</v>
      </c>
      <c r="E821" s="1" t="s">
        <v>3159</v>
      </c>
      <c r="F821" s="1"/>
      <c r="G821" s="1" t="s">
        <v>3160</v>
      </c>
      <c r="H821" s="1"/>
      <c r="I821" s="18"/>
      <c r="J821" s="18"/>
      <c r="K821" s="18"/>
      <c r="L821" s="18"/>
      <c r="M821" s="2">
        <v>3000000</v>
      </c>
      <c r="N821" s="2">
        <v>3000000</v>
      </c>
      <c r="O821" s="2"/>
      <c r="P821" s="2" t="str">
        <f t="shared" si="48"/>
        <v/>
      </c>
      <c r="Q821" s="2"/>
      <c r="R821" s="2"/>
      <c r="S821" s="48"/>
      <c r="T821" s="2">
        <v>0</v>
      </c>
      <c r="U821" s="2">
        <v>0</v>
      </c>
      <c r="V821" s="1"/>
      <c r="W821" s="6"/>
      <c r="X821" s="1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>
        <f t="shared" si="49"/>
        <v>0</v>
      </c>
      <c r="AX821" s="3">
        <f t="shared" si="50"/>
        <v>0</v>
      </c>
      <c r="AY821" s="4">
        <f t="shared" si="51"/>
        <v>0</v>
      </c>
      <c r="BA821" s="4" t="s">
        <v>5726</v>
      </c>
      <c r="BB821" s="2"/>
      <c r="BC821" s="3"/>
      <c r="BD821" s="4"/>
    </row>
    <row r="822" spans="1:56" ht="16.8" customHeight="1">
      <c r="A822" s="1">
        <v>821</v>
      </c>
      <c r="B822" s="1" t="s">
        <v>1816</v>
      </c>
      <c r="C822" s="1" t="s">
        <v>3161</v>
      </c>
      <c r="D822" s="1" t="s">
        <v>3162</v>
      </c>
      <c r="E822" s="1" t="s">
        <v>3162</v>
      </c>
      <c r="F822" s="1"/>
      <c r="G822" s="1" t="s">
        <v>3163</v>
      </c>
      <c r="H822" s="1"/>
      <c r="I822" s="18"/>
      <c r="J822" s="18"/>
      <c r="K822" s="18"/>
      <c r="L822" s="18"/>
      <c r="M822" s="2">
        <v>2000000</v>
      </c>
      <c r="N822" s="2">
        <v>2000000</v>
      </c>
      <c r="O822" s="2"/>
      <c r="P822" s="2" t="str">
        <f t="shared" si="48"/>
        <v/>
      </c>
      <c r="Q822" s="2"/>
      <c r="R822" s="2"/>
      <c r="S822" s="48"/>
      <c r="T822" s="2">
        <v>0</v>
      </c>
      <c r="U822" s="2">
        <v>0</v>
      </c>
      <c r="V822" s="1"/>
      <c r="W822" s="6"/>
      <c r="X822" s="1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>
        <f t="shared" si="49"/>
        <v>0</v>
      </c>
      <c r="AX822" s="3">
        <f t="shared" si="50"/>
        <v>0</v>
      </c>
      <c r="AY822" s="4">
        <f t="shared" si="51"/>
        <v>0</v>
      </c>
      <c r="BA822" s="4" t="s">
        <v>5726</v>
      </c>
      <c r="BB822" s="2"/>
      <c r="BC822" s="3"/>
      <c r="BD822" s="4"/>
    </row>
    <row r="823" spans="1:56" ht="16.8" customHeight="1">
      <c r="A823" s="1">
        <v>822</v>
      </c>
      <c r="B823" s="1" t="s">
        <v>1816</v>
      </c>
      <c r="C823" s="1" t="s">
        <v>2049</v>
      </c>
      <c r="D823" s="1" t="s">
        <v>3164</v>
      </c>
      <c r="E823" s="1" t="s">
        <v>3164</v>
      </c>
      <c r="F823" s="1"/>
      <c r="G823" s="1" t="s">
        <v>3125</v>
      </c>
      <c r="H823" s="1"/>
      <c r="I823" s="18"/>
      <c r="J823" s="18"/>
      <c r="K823" s="18"/>
      <c r="L823" s="18"/>
      <c r="M823" s="2">
        <v>1500000</v>
      </c>
      <c r="N823" s="2">
        <v>1500000</v>
      </c>
      <c r="O823" s="2"/>
      <c r="P823" s="2" t="str">
        <f t="shared" si="48"/>
        <v/>
      </c>
      <c r="Q823" s="2"/>
      <c r="R823" s="2"/>
      <c r="S823" s="48"/>
      <c r="T823" s="2">
        <v>0</v>
      </c>
      <c r="U823" s="2">
        <v>0</v>
      </c>
      <c r="V823" s="1"/>
      <c r="W823" s="6"/>
      <c r="X823" s="1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>
        <f t="shared" si="49"/>
        <v>0</v>
      </c>
      <c r="AX823" s="3">
        <f t="shared" si="50"/>
        <v>0</v>
      </c>
      <c r="AY823" s="4">
        <f t="shared" si="51"/>
        <v>0</v>
      </c>
      <c r="BA823" s="4" t="s">
        <v>5726</v>
      </c>
      <c r="BB823" s="2"/>
      <c r="BC823" s="3"/>
      <c r="BD823" s="4"/>
    </row>
    <row r="824" spans="1:56" ht="16.8" customHeight="1">
      <c r="A824" s="1">
        <v>823</v>
      </c>
      <c r="B824" s="1" t="s">
        <v>1816</v>
      </c>
      <c r="C824" s="1" t="s">
        <v>1920</v>
      </c>
      <c r="D824" s="1" t="s">
        <v>3165</v>
      </c>
      <c r="E824" s="1" t="s">
        <v>3165</v>
      </c>
      <c r="F824" s="1"/>
      <c r="G824" s="1" t="s">
        <v>3166</v>
      </c>
      <c r="H824" s="1"/>
      <c r="I824" s="18"/>
      <c r="J824" s="18"/>
      <c r="K824" s="18"/>
      <c r="L824" s="18"/>
      <c r="M824" s="2">
        <v>1500000</v>
      </c>
      <c r="N824" s="2">
        <v>1500000</v>
      </c>
      <c r="O824" s="2"/>
      <c r="P824" s="2" t="str">
        <f t="shared" si="48"/>
        <v/>
      </c>
      <c r="Q824" s="2"/>
      <c r="R824" s="2"/>
      <c r="S824" s="48"/>
      <c r="T824" s="2">
        <v>0</v>
      </c>
      <c r="U824" s="2">
        <v>0</v>
      </c>
      <c r="V824" s="1"/>
      <c r="W824" s="6"/>
      <c r="X824" s="1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>
        <f t="shared" si="49"/>
        <v>0</v>
      </c>
      <c r="AX824" s="3">
        <f t="shared" si="50"/>
        <v>0</v>
      </c>
      <c r="AY824" s="4">
        <f t="shared" si="51"/>
        <v>0</v>
      </c>
      <c r="BA824" s="4" t="s">
        <v>5726</v>
      </c>
      <c r="BB824" s="2"/>
      <c r="BC824" s="3"/>
      <c r="BD824" s="4"/>
    </row>
    <row r="825" spans="1:56" ht="16.8" customHeight="1">
      <c r="A825" s="1">
        <v>824</v>
      </c>
      <c r="B825" s="1" t="s">
        <v>1816</v>
      </c>
      <c r="C825" s="1" t="s">
        <v>2049</v>
      </c>
      <c r="D825" s="1" t="s">
        <v>3167</v>
      </c>
      <c r="E825" s="1" t="s">
        <v>3167</v>
      </c>
      <c r="F825" s="1"/>
      <c r="G825" s="1" t="s">
        <v>73</v>
      </c>
      <c r="H825" s="1"/>
      <c r="I825" s="18"/>
      <c r="J825" s="18"/>
      <c r="K825" s="18"/>
      <c r="L825" s="18"/>
      <c r="M825" s="2">
        <v>4000000</v>
      </c>
      <c r="N825" s="2">
        <v>4000000</v>
      </c>
      <c r="O825" s="2"/>
      <c r="P825" s="2" t="str">
        <f t="shared" si="48"/>
        <v/>
      </c>
      <c r="Q825" s="2"/>
      <c r="R825" s="2"/>
      <c r="S825" s="48"/>
      <c r="T825" s="2">
        <v>0</v>
      </c>
      <c r="U825" s="2">
        <v>0</v>
      </c>
      <c r="V825" s="1"/>
      <c r="W825" s="6"/>
      <c r="X825" s="1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>
        <f t="shared" si="49"/>
        <v>0</v>
      </c>
      <c r="AX825" s="3">
        <f t="shared" si="50"/>
        <v>0</v>
      </c>
      <c r="AY825" s="4">
        <f t="shared" si="51"/>
        <v>0</v>
      </c>
      <c r="BA825" s="4" t="s">
        <v>5726</v>
      </c>
      <c r="BB825" s="2"/>
      <c r="BC825" s="3"/>
      <c r="BD825" s="4"/>
    </row>
    <row r="826" spans="1:56" ht="16.8" customHeight="1">
      <c r="A826" s="1">
        <v>825</v>
      </c>
      <c r="B826" s="1" t="s">
        <v>1816</v>
      </c>
      <c r="C826" s="1" t="s">
        <v>2049</v>
      </c>
      <c r="D826" s="1" t="s">
        <v>3168</v>
      </c>
      <c r="E826" s="1" t="s">
        <v>3168</v>
      </c>
      <c r="F826" s="1"/>
      <c r="G826" s="1" t="s">
        <v>3169</v>
      </c>
      <c r="H826" s="1"/>
      <c r="I826" s="18"/>
      <c r="J826" s="18"/>
      <c r="K826" s="18"/>
      <c r="L826" s="18"/>
      <c r="M826" s="2">
        <v>1500000</v>
      </c>
      <c r="N826" s="2">
        <v>1500000</v>
      </c>
      <c r="O826" s="2"/>
      <c r="P826" s="2" t="str">
        <f t="shared" si="48"/>
        <v/>
      </c>
      <c r="Q826" s="2"/>
      <c r="R826" s="2"/>
      <c r="S826" s="48"/>
      <c r="T826" s="2">
        <v>0</v>
      </c>
      <c r="U826" s="2">
        <v>0</v>
      </c>
      <c r="V826" s="1"/>
      <c r="W826" s="6"/>
      <c r="X826" s="1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>
        <f t="shared" si="49"/>
        <v>0</v>
      </c>
      <c r="AX826" s="3">
        <f t="shared" si="50"/>
        <v>0</v>
      </c>
      <c r="AY826" s="4">
        <f t="shared" si="51"/>
        <v>0</v>
      </c>
      <c r="BA826" s="4" t="s">
        <v>5726</v>
      </c>
      <c r="BB826" s="2"/>
      <c r="BC826" s="3"/>
      <c r="BD826" s="4"/>
    </row>
    <row r="827" spans="1:56" ht="16.8" customHeight="1">
      <c r="A827" s="1">
        <v>826</v>
      </c>
      <c r="B827" s="1" t="s">
        <v>1816</v>
      </c>
      <c r="C827" s="1" t="s">
        <v>1920</v>
      </c>
      <c r="D827" s="1" t="s">
        <v>3170</v>
      </c>
      <c r="E827" s="1" t="s">
        <v>3170</v>
      </c>
      <c r="F827" s="1"/>
      <c r="G827" s="1" t="s">
        <v>3171</v>
      </c>
      <c r="H827" s="1"/>
      <c r="I827" s="18"/>
      <c r="J827" s="18"/>
      <c r="K827" s="18"/>
      <c r="L827" s="18"/>
      <c r="M827" s="2">
        <v>1500000</v>
      </c>
      <c r="N827" s="2">
        <v>1500000</v>
      </c>
      <c r="O827" s="2"/>
      <c r="P827" s="2" t="str">
        <f t="shared" si="48"/>
        <v/>
      </c>
      <c r="Q827" s="2"/>
      <c r="R827" s="2"/>
      <c r="S827" s="48"/>
      <c r="T827" s="2">
        <v>0</v>
      </c>
      <c r="U827" s="2">
        <v>0</v>
      </c>
      <c r="V827" s="1"/>
      <c r="W827" s="6"/>
      <c r="X827" s="1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>
        <f t="shared" si="49"/>
        <v>0</v>
      </c>
      <c r="AX827" s="3">
        <f t="shared" si="50"/>
        <v>0</v>
      </c>
      <c r="AY827" s="4">
        <f t="shared" si="51"/>
        <v>0</v>
      </c>
      <c r="BA827" s="4" t="s">
        <v>5726</v>
      </c>
      <c r="BB827" s="2"/>
      <c r="BC827" s="3"/>
      <c r="BD827" s="4"/>
    </row>
    <row r="828" spans="1:56" ht="16.8" customHeight="1">
      <c r="A828" s="1">
        <v>827</v>
      </c>
      <c r="B828" s="1" t="s">
        <v>1816</v>
      </c>
      <c r="C828" s="1" t="s">
        <v>1817</v>
      </c>
      <c r="D828" s="1" t="s">
        <v>3172</v>
      </c>
      <c r="E828" s="1" t="s">
        <v>3172</v>
      </c>
      <c r="F828" s="1"/>
      <c r="G828" s="1" t="s">
        <v>401</v>
      </c>
      <c r="H828" s="1"/>
      <c r="I828" s="18"/>
      <c r="J828" s="18"/>
      <c r="K828" s="18"/>
      <c r="L828" s="18"/>
      <c r="M828" s="2">
        <v>1500000</v>
      </c>
      <c r="N828" s="2">
        <v>1500000</v>
      </c>
      <c r="O828" s="2"/>
      <c r="P828" s="2" t="str">
        <f t="shared" si="48"/>
        <v/>
      </c>
      <c r="Q828" s="2"/>
      <c r="R828" s="2"/>
      <c r="S828" s="48"/>
      <c r="T828" s="2">
        <v>0</v>
      </c>
      <c r="U828" s="2">
        <v>0</v>
      </c>
      <c r="V828" s="1"/>
      <c r="W828" s="6"/>
      <c r="X828" s="1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>
        <f t="shared" si="49"/>
        <v>0</v>
      </c>
      <c r="AX828" s="3">
        <f t="shared" si="50"/>
        <v>0</v>
      </c>
      <c r="AY828" s="4">
        <f t="shared" si="51"/>
        <v>0</v>
      </c>
      <c r="BA828" s="4" t="s">
        <v>5726</v>
      </c>
      <c r="BB828" s="2"/>
      <c r="BC828" s="3"/>
      <c r="BD828" s="4"/>
    </row>
    <row r="829" spans="1:56" ht="16.8" customHeight="1">
      <c r="A829" s="1">
        <v>828</v>
      </c>
      <c r="B829" s="1" t="s">
        <v>1816</v>
      </c>
      <c r="C829" s="1" t="s">
        <v>2049</v>
      </c>
      <c r="D829" s="1" t="s">
        <v>3173</v>
      </c>
      <c r="E829" s="1" t="s">
        <v>3173</v>
      </c>
      <c r="F829" s="1"/>
      <c r="G829" s="1" t="s">
        <v>3174</v>
      </c>
      <c r="H829" s="1"/>
      <c r="I829" s="18"/>
      <c r="J829" s="18"/>
      <c r="K829" s="18"/>
      <c r="L829" s="18"/>
      <c r="M829" s="2">
        <v>2000000</v>
      </c>
      <c r="N829" s="2">
        <v>2000000</v>
      </c>
      <c r="O829" s="2"/>
      <c r="P829" s="2" t="str">
        <f t="shared" si="48"/>
        <v/>
      </c>
      <c r="Q829" s="2"/>
      <c r="R829" s="2"/>
      <c r="S829" s="48"/>
      <c r="T829" s="2">
        <v>0</v>
      </c>
      <c r="U829" s="2">
        <v>0</v>
      </c>
      <c r="V829" s="1"/>
      <c r="W829" s="6"/>
      <c r="X829" s="1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>
        <f t="shared" si="49"/>
        <v>0</v>
      </c>
      <c r="AX829" s="3">
        <f t="shared" si="50"/>
        <v>0</v>
      </c>
      <c r="AY829" s="4">
        <f t="shared" si="51"/>
        <v>0</v>
      </c>
      <c r="BA829" s="4" t="s">
        <v>5726</v>
      </c>
      <c r="BB829" s="2"/>
      <c r="BC829" s="3"/>
      <c r="BD829" s="4"/>
    </row>
    <row r="830" spans="1:56" ht="16.8" customHeight="1">
      <c r="A830" s="1">
        <v>829</v>
      </c>
      <c r="B830" s="1" t="s">
        <v>3175</v>
      </c>
      <c r="C830" s="1" t="s">
        <v>3176</v>
      </c>
      <c r="D830" s="1" t="s">
        <v>3177</v>
      </c>
      <c r="E830" s="1" t="s">
        <v>3177</v>
      </c>
      <c r="F830" s="1" t="s">
        <v>3178</v>
      </c>
      <c r="G830" s="1" t="s">
        <v>3179</v>
      </c>
      <c r="H830" s="1" t="s">
        <v>4620</v>
      </c>
      <c r="I830" s="18" t="s">
        <v>4783</v>
      </c>
      <c r="J830" s="18" t="s">
        <v>5018</v>
      </c>
      <c r="K830" s="18" t="s">
        <v>4742</v>
      </c>
      <c r="L830" s="18" t="s">
        <v>4734</v>
      </c>
      <c r="M830" s="2">
        <v>4000000</v>
      </c>
      <c r="N830" s="2">
        <v>4000000</v>
      </c>
      <c r="O830" s="2"/>
      <c r="P830" s="2" t="str">
        <f t="shared" si="48"/>
        <v/>
      </c>
      <c r="Q830" s="2"/>
      <c r="R830" s="2"/>
      <c r="S830" s="48"/>
      <c r="T830" s="2">
        <v>0</v>
      </c>
      <c r="U830" s="2">
        <v>0</v>
      </c>
      <c r="V830" s="1" t="s">
        <v>3179</v>
      </c>
      <c r="W830" s="6" t="s">
        <v>3180</v>
      </c>
      <c r="X830" s="1" t="s">
        <v>3181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>
        <v>4000000</v>
      </c>
      <c r="AL830" s="3">
        <v>4000000</v>
      </c>
      <c r="AM830" s="3">
        <v>4000000</v>
      </c>
      <c r="AN830" s="3">
        <v>4000000</v>
      </c>
      <c r="AO830" s="3">
        <v>4000000</v>
      </c>
      <c r="AP830" s="3">
        <v>4000000</v>
      </c>
      <c r="AQ830" s="3">
        <v>4000000</v>
      </c>
      <c r="AR830" s="3">
        <v>4000000</v>
      </c>
      <c r="AS830" s="3">
        <v>4000000</v>
      </c>
      <c r="AT830" s="3">
        <v>4000000</v>
      </c>
      <c r="AU830" s="3">
        <v>4000000</v>
      </c>
      <c r="AV830" s="3">
        <v>4000000</v>
      </c>
      <c r="AW830" s="3">
        <f t="shared" si="49"/>
        <v>0</v>
      </c>
      <c r="AX830" s="3">
        <f t="shared" si="50"/>
        <v>48000000</v>
      </c>
      <c r="AY830" s="4">
        <f t="shared" si="51"/>
        <v>12</v>
      </c>
      <c r="AZ830" s="8" t="s">
        <v>5606</v>
      </c>
      <c r="BA830" s="4" t="s">
        <v>5726</v>
      </c>
      <c r="BB830" s="2">
        <v>48000000</v>
      </c>
      <c r="BC830" s="3"/>
      <c r="BD830" s="3"/>
    </row>
    <row r="831" spans="1:56" ht="16.8" customHeight="1">
      <c r="A831" s="1">
        <v>830</v>
      </c>
      <c r="B831" s="1" t="s">
        <v>3175</v>
      </c>
      <c r="C831" s="1" t="s">
        <v>3176</v>
      </c>
      <c r="D831" s="1" t="s">
        <v>3182</v>
      </c>
      <c r="E831" s="1" t="s">
        <v>3182</v>
      </c>
      <c r="F831" s="1" t="s">
        <v>3183</v>
      </c>
      <c r="G831" s="1" t="s">
        <v>1894</v>
      </c>
      <c r="H831" s="1" t="s">
        <v>5281</v>
      </c>
      <c r="I831" s="18" t="s">
        <v>4783</v>
      </c>
      <c r="J831" s="18" t="s">
        <v>5018</v>
      </c>
      <c r="K831" s="18" t="s">
        <v>4742</v>
      </c>
      <c r="L831" s="18" t="s">
        <v>4734</v>
      </c>
      <c r="M831" s="2">
        <v>5000000</v>
      </c>
      <c r="N831" s="2">
        <v>5500000</v>
      </c>
      <c r="O831" s="2"/>
      <c r="P831" s="2">
        <f t="shared" si="48"/>
        <v>500000</v>
      </c>
      <c r="Q831" s="2"/>
      <c r="R831" s="2"/>
      <c r="S831" s="48"/>
      <c r="T831" s="2">
        <v>0</v>
      </c>
      <c r="U831" s="2">
        <v>0</v>
      </c>
      <c r="V831" s="1" t="s">
        <v>1894</v>
      </c>
      <c r="W831" s="6" t="s">
        <v>3184</v>
      </c>
      <c r="X831" s="1" t="s">
        <v>3185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>
        <v>5500000</v>
      </c>
      <c r="AL831" s="3">
        <v>5500000</v>
      </c>
      <c r="AM831" s="3">
        <v>5500000</v>
      </c>
      <c r="AN831" s="3">
        <v>5500000</v>
      </c>
      <c r="AO831" s="3">
        <v>5500000</v>
      </c>
      <c r="AP831" s="3">
        <v>5500000</v>
      </c>
      <c r="AQ831" s="3">
        <v>5500000</v>
      </c>
      <c r="AR831" s="3">
        <v>5500000</v>
      </c>
      <c r="AS831" s="3">
        <v>5500000</v>
      </c>
      <c r="AT831" s="3">
        <v>5500000</v>
      </c>
      <c r="AU831" s="3">
        <v>5500000</v>
      </c>
      <c r="AV831" s="3">
        <v>5500000</v>
      </c>
      <c r="AW831" s="3">
        <f t="shared" si="49"/>
        <v>0</v>
      </c>
      <c r="AX831" s="3">
        <f t="shared" si="50"/>
        <v>66000000</v>
      </c>
      <c r="AY831" s="4">
        <f t="shared" si="51"/>
        <v>12</v>
      </c>
      <c r="AZ831" s="8" t="s">
        <v>5528</v>
      </c>
      <c r="BA831" s="4" t="s">
        <v>5726</v>
      </c>
      <c r="BB831" s="2"/>
      <c r="BC831" s="3"/>
      <c r="BD831" s="3"/>
    </row>
    <row r="832" spans="1:56" ht="16.8" customHeight="1">
      <c r="A832" s="1">
        <v>831</v>
      </c>
      <c r="B832" s="1" t="s">
        <v>3175</v>
      </c>
      <c r="C832" s="1" t="s">
        <v>3176</v>
      </c>
      <c r="D832" s="1" t="s">
        <v>3186</v>
      </c>
      <c r="E832" s="1" t="s">
        <v>3186</v>
      </c>
      <c r="F832" s="1" t="s">
        <v>3187</v>
      </c>
      <c r="G832" s="1" t="s">
        <v>3188</v>
      </c>
      <c r="H832" s="1" t="s">
        <v>5282</v>
      </c>
      <c r="I832" s="18" t="s">
        <v>4783</v>
      </c>
      <c r="J832" s="18" t="s">
        <v>5074</v>
      </c>
      <c r="K832" s="18" t="s">
        <v>4787</v>
      </c>
      <c r="L832" s="18" t="s">
        <v>4734</v>
      </c>
      <c r="M832" s="2">
        <v>3000000</v>
      </c>
      <c r="N832" s="2">
        <v>3000000</v>
      </c>
      <c r="O832" s="2"/>
      <c r="P832" s="2" t="str">
        <f t="shared" si="48"/>
        <v/>
      </c>
      <c r="Q832" s="2"/>
      <c r="R832" s="2"/>
      <c r="S832" s="48"/>
      <c r="T832" s="2">
        <v>36000000</v>
      </c>
      <c r="U832" s="2">
        <v>0</v>
      </c>
      <c r="V832" s="1" t="s">
        <v>3189</v>
      </c>
      <c r="W832" s="6" t="s">
        <v>3190</v>
      </c>
      <c r="X832" s="1" t="s">
        <v>115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>
        <v>3000000</v>
      </c>
      <c r="AL832" s="3">
        <v>3000000</v>
      </c>
      <c r="AM832" s="3">
        <v>3000000</v>
      </c>
      <c r="AN832" s="3">
        <v>3000000</v>
      </c>
      <c r="AO832" s="3">
        <v>3000000</v>
      </c>
      <c r="AP832" s="3">
        <v>3000000</v>
      </c>
      <c r="AQ832" s="3">
        <v>3000000</v>
      </c>
      <c r="AR832" s="3">
        <v>3000000</v>
      </c>
      <c r="AS832" s="3">
        <v>3000000</v>
      </c>
      <c r="AT832" s="3">
        <v>3000000</v>
      </c>
      <c r="AU832" s="3">
        <v>3000000</v>
      </c>
      <c r="AV832" s="3">
        <v>3000000</v>
      </c>
      <c r="AW832" s="3">
        <f t="shared" si="49"/>
        <v>0</v>
      </c>
      <c r="AX832" s="3">
        <f t="shared" si="50"/>
        <v>36000000</v>
      </c>
      <c r="AY832" s="4">
        <f t="shared" si="51"/>
        <v>12</v>
      </c>
      <c r="AZ832" s="8" t="s">
        <v>5607</v>
      </c>
      <c r="BA832" s="4" t="s">
        <v>5726</v>
      </c>
      <c r="BB832" s="2"/>
      <c r="BC832" s="3"/>
      <c r="BD832" s="3"/>
    </row>
    <row r="833" spans="1:56" ht="16.8" customHeight="1">
      <c r="A833" s="1">
        <v>832</v>
      </c>
      <c r="B833" s="1" t="s">
        <v>3175</v>
      </c>
      <c r="C833" s="1" t="s">
        <v>3176</v>
      </c>
      <c r="D833" s="1" t="s">
        <v>3191</v>
      </c>
      <c r="E833" s="1" t="s">
        <v>3191</v>
      </c>
      <c r="F833" s="1" t="s">
        <v>3192</v>
      </c>
      <c r="G833" s="1" t="s">
        <v>3193</v>
      </c>
      <c r="H833" s="1" t="s">
        <v>5283</v>
      </c>
      <c r="I833" s="18" t="s">
        <v>4783</v>
      </c>
      <c r="J833" s="18" t="s">
        <v>5018</v>
      </c>
      <c r="K833" s="18" t="s">
        <v>4742</v>
      </c>
      <c r="L833" s="18" t="s">
        <v>4734</v>
      </c>
      <c r="M833" s="2">
        <v>4000000</v>
      </c>
      <c r="N833" s="2">
        <v>4000000</v>
      </c>
      <c r="O833" s="2"/>
      <c r="P833" s="2" t="str">
        <f t="shared" si="48"/>
        <v/>
      </c>
      <c r="Q833" s="2"/>
      <c r="R833" s="2"/>
      <c r="S833" s="48"/>
      <c r="T833" s="2">
        <v>0</v>
      </c>
      <c r="U833" s="2">
        <v>0</v>
      </c>
      <c r="V833" s="1" t="s">
        <v>3193</v>
      </c>
      <c r="W833" s="6" t="s">
        <v>3194</v>
      </c>
      <c r="X833" s="1" t="s">
        <v>3195</v>
      </c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>
        <v>4000000</v>
      </c>
      <c r="AL833" s="3">
        <v>4000000</v>
      </c>
      <c r="AM833" s="3">
        <v>4000000</v>
      </c>
      <c r="AN833" s="3">
        <v>4000000</v>
      </c>
      <c r="AO833" s="3">
        <v>4000000</v>
      </c>
      <c r="AP833" s="3">
        <v>4000000</v>
      </c>
      <c r="AQ833" s="3">
        <v>4000000</v>
      </c>
      <c r="AR833" s="3">
        <v>4000000</v>
      </c>
      <c r="AS833" s="3">
        <v>4000000</v>
      </c>
      <c r="AT833" s="3">
        <v>4000000</v>
      </c>
      <c r="AU833" s="3">
        <v>4000000</v>
      </c>
      <c r="AV833" s="3">
        <v>4000000</v>
      </c>
      <c r="AW833" s="3">
        <f t="shared" si="49"/>
        <v>0</v>
      </c>
      <c r="AX833" s="3">
        <f t="shared" si="50"/>
        <v>48000000</v>
      </c>
      <c r="AY833" s="4">
        <f t="shared" si="51"/>
        <v>12</v>
      </c>
      <c r="AZ833" s="8" t="s">
        <v>5528</v>
      </c>
      <c r="BA833" s="4" t="s">
        <v>5726</v>
      </c>
      <c r="BB833" s="2"/>
      <c r="BC833" s="3"/>
      <c r="BD833" s="3"/>
    </row>
    <row r="834" spans="1:56" ht="16.8" customHeight="1">
      <c r="A834" s="1">
        <v>833</v>
      </c>
      <c r="B834" s="1" t="s">
        <v>3175</v>
      </c>
      <c r="C834" s="1" t="s">
        <v>3176</v>
      </c>
      <c r="D834" s="1" t="s">
        <v>3196</v>
      </c>
      <c r="E834" s="1" t="s">
        <v>3196</v>
      </c>
      <c r="F834" s="1" t="s">
        <v>3197</v>
      </c>
      <c r="G834" s="1" t="s">
        <v>3198</v>
      </c>
      <c r="H834" s="1" t="s">
        <v>4621</v>
      </c>
      <c r="I834" s="18" t="s">
        <v>4783</v>
      </c>
      <c r="J834" s="18" t="s">
        <v>5074</v>
      </c>
      <c r="K834" s="18" t="s">
        <v>4742</v>
      </c>
      <c r="L834" s="18" t="s">
        <v>4734</v>
      </c>
      <c r="M834" s="2">
        <v>4000000</v>
      </c>
      <c r="N834" s="2">
        <v>4000000</v>
      </c>
      <c r="O834" s="2"/>
      <c r="P834" s="2" t="str">
        <f t="shared" ref="P834:P897" si="52">IF(OR(M834="",N834="",M834=N834),"",N834-M834)</f>
        <v/>
      </c>
      <c r="Q834" s="2"/>
      <c r="R834" s="2"/>
      <c r="S834" s="48"/>
      <c r="T834" s="2">
        <v>48000000</v>
      </c>
      <c r="U834" s="2">
        <v>0</v>
      </c>
      <c r="V834" s="1" t="s">
        <v>3199</v>
      </c>
      <c r="W834" s="6" t="s">
        <v>3200</v>
      </c>
      <c r="X834" s="1" t="s">
        <v>333</v>
      </c>
      <c r="Y834" s="3">
        <v>4000000</v>
      </c>
      <c r="Z834" s="3">
        <v>4000000</v>
      </c>
      <c r="AA834" s="3">
        <v>4000000</v>
      </c>
      <c r="AB834" s="3">
        <v>4000000</v>
      </c>
      <c r="AC834" s="3">
        <v>4000000</v>
      </c>
      <c r="AD834" s="3">
        <v>4000000</v>
      </c>
      <c r="AE834" s="3">
        <v>4000000</v>
      </c>
      <c r="AF834" s="3">
        <v>4000000</v>
      </c>
      <c r="AG834" s="3">
        <v>4000000</v>
      </c>
      <c r="AH834" s="3">
        <v>4000000</v>
      </c>
      <c r="AI834" s="3">
        <v>4000000</v>
      </c>
      <c r="AJ834" s="3">
        <v>4000000</v>
      </c>
      <c r="AK834" s="3">
        <v>4000000</v>
      </c>
      <c r="AL834" s="3">
        <v>4000000</v>
      </c>
      <c r="AM834" s="3">
        <v>4000000</v>
      </c>
      <c r="AN834" s="3">
        <v>4000000</v>
      </c>
      <c r="AO834" s="3">
        <v>4000000</v>
      </c>
      <c r="AP834" s="3">
        <v>4000000</v>
      </c>
      <c r="AQ834" s="3"/>
      <c r="AR834" s="3"/>
      <c r="AS834" s="3"/>
      <c r="AT834" s="3"/>
      <c r="AU834" s="3"/>
      <c r="AV834" s="3"/>
      <c r="AW834" s="3">
        <f t="shared" ref="AW834:AW897" si="53">SUM(Y834:AJ834)</f>
        <v>48000000</v>
      </c>
      <c r="AX834" s="3">
        <f t="shared" ref="AX834:AX897" si="54">SUM(AK834:AV834)</f>
        <v>24000000</v>
      </c>
      <c r="AY834" s="4">
        <f t="shared" ref="AY834:AY897" si="55">COUNT(Y834:AV834)</f>
        <v>18</v>
      </c>
      <c r="AZ834" s="8" t="s">
        <v>5606</v>
      </c>
      <c r="BA834" s="4" t="s">
        <v>5726</v>
      </c>
      <c r="BB834" s="2"/>
      <c r="BC834" s="3"/>
      <c r="BD834" s="3"/>
    </row>
    <row r="835" spans="1:56" ht="16.8" customHeight="1">
      <c r="A835" s="1">
        <v>834</v>
      </c>
      <c r="B835" s="1" t="s">
        <v>3175</v>
      </c>
      <c r="C835" s="1" t="s">
        <v>3176</v>
      </c>
      <c r="D835" s="1" t="s">
        <v>3201</v>
      </c>
      <c r="E835" s="1" t="s">
        <v>3201</v>
      </c>
      <c r="F835" s="1" t="s">
        <v>3202</v>
      </c>
      <c r="G835" s="1" t="s">
        <v>3203</v>
      </c>
      <c r="H835" s="1" t="s">
        <v>5284</v>
      </c>
      <c r="I835" s="18" t="s">
        <v>4783</v>
      </c>
      <c r="J835" s="18" t="s">
        <v>5074</v>
      </c>
      <c r="K835" s="18" t="s">
        <v>4787</v>
      </c>
      <c r="L835" s="18" t="s">
        <v>4734</v>
      </c>
      <c r="M835" s="2">
        <v>3500000</v>
      </c>
      <c r="N835" s="2">
        <v>3500000</v>
      </c>
      <c r="O835" s="2"/>
      <c r="P835" s="2" t="str">
        <f t="shared" si="52"/>
        <v/>
      </c>
      <c r="Q835" s="2"/>
      <c r="R835" s="2"/>
      <c r="S835" s="48"/>
      <c r="T835" s="2">
        <v>42000000</v>
      </c>
      <c r="U835" s="2">
        <v>0</v>
      </c>
      <c r="V835" s="1" t="s">
        <v>3205</v>
      </c>
      <c r="W835" s="6" t="s">
        <v>3206</v>
      </c>
      <c r="X835" s="1" t="s">
        <v>333</v>
      </c>
      <c r="Y835" s="3">
        <v>3500000</v>
      </c>
      <c r="Z835" s="3">
        <v>3500000</v>
      </c>
      <c r="AA835" s="3">
        <v>3500000</v>
      </c>
      <c r="AB835" s="3">
        <v>3500000</v>
      </c>
      <c r="AC835" s="3">
        <v>3500000</v>
      </c>
      <c r="AD835" s="3">
        <v>3500000</v>
      </c>
      <c r="AE835" s="3">
        <v>3500000</v>
      </c>
      <c r="AF835" s="3">
        <v>3500000</v>
      </c>
      <c r="AG835" s="3">
        <v>3500000</v>
      </c>
      <c r="AH835" s="3">
        <v>3500000</v>
      </c>
      <c r="AI835" s="3">
        <v>3500000</v>
      </c>
      <c r="AJ835" s="3">
        <v>3500000</v>
      </c>
      <c r="AK835" s="3">
        <v>3500000</v>
      </c>
      <c r="AL835" s="3">
        <v>3500000</v>
      </c>
      <c r="AM835" s="3">
        <v>3500000</v>
      </c>
      <c r="AN835" s="3">
        <v>3500000</v>
      </c>
      <c r="AO835" s="3">
        <v>3500000</v>
      </c>
      <c r="AP835" s="3">
        <v>3500000</v>
      </c>
      <c r="AQ835" s="3"/>
      <c r="AR835" s="3"/>
      <c r="AS835" s="3"/>
      <c r="AT835" s="3"/>
      <c r="AU835" s="3"/>
      <c r="AV835" s="3"/>
      <c r="AW835" s="3">
        <f t="shared" si="53"/>
        <v>42000000</v>
      </c>
      <c r="AX835" s="3">
        <f t="shared" si="54"/>
        <v>21000000</v>
      </c>
      <c r="AY835" s="4">
        <f t="shared" si="55"/>
        <v>18</v>
      </c>
      <c r="AZ835" s="8">
        <v>0</v>
      </c>
      <c r="BA835" s="4" t="s">
        <v>5726</v>
      </c>
      <c r="BB835" s="2"/>
      <c r="BC835" s="3"/>
      <c r="BD835" s="3"/>
    </row>
    <row r="836" spans="1:56" ht="16.8" customHeight="1">
      <c r="A836" s="1">
        <v>835</v>
      </c>
      <c r="B836" s="1" t="s">
        <v>3175</v>
      </c>
      <c r="C836" s="1" t="s">
        <v>3176</v>
      </c>
      <c r="D836" s="1" t="s">
        <v>3207</v>
      </c>
      <c r="E836" s="1" t="s">
        <v>3207</v>
      </c>
      <c r="F836" s="1" t="s">
        <v>3208</v>
      </c>
      <c r="G836" s="1" t="s">
        <v>3209</v>
      </c>
      <c r="H836" s="1" t="s">
        <v>5285</v>
      </c>
      <c r="I836" s="18" t="s">
        <v>4783</v>
      </c>
      <c r="J836" s="18" t="s">
        <v>5132</v>
      </c>
      <c r="K836" s="18" t="s">
        <v>4787</v>
      </c>
      <c r="L836" s="18" t="s">
        <v>4734</v>
      </c>
      <c r="M836" s="2">
        <v>3800000</v>
      </c>
      <c r="N836" s="2">
        <v>3800000</v>
      </c>
      <c r="O836" s="2"/>
      <c r="P836" s="2" t="str">
        <f t="shared" si="52"/>
        <v/>
      </c>
      <c r="Q836" s="2"/>
      <c r="R836" s="2"/>
      <c r="S836" s="48"/>
      <c r="T836" s="2">
        <v>22800000</v>
      </c>
      <c r="U836" s="2">
        <v>0</v>
      </c>
      <c r="V836" s="1" t="s">
        <v>3209</v>
      </c>
      <c r="W836" s="6" t="s">
        <v>3210</v>
      </c>
      <c r="X836" s="1" t="s">
        <v>333</v>
      </c>
      <c r="Y836" s="3"/>
      <c r="Z836" s="3"/>
      <c r="AA836" s="3"/>
      <c r="AB836" s="3"/>
      <c r="AC836" s="3"/>
      <c r="AD836" s="3"/>
      <c r="AE836" s="3">
        <v>3800000</v>
      </c>
      <c r="AF836" s="3">
        <v>3800000</v>
      </c>
      <c r="AG836" s="3">
        <v>3800000</v>
      </c>
      <c r="AH836" s="3">
        <v>3800000</v>
      </c>
      <c r="AI836" s="3">
        <v>3800000</v>
      </c>
      <c r="AJ836" s="3">
        <v>3800000</v>
      </c>
      <c r="AK836" s="3">
        <v>3800000</v>
      </c>
      <c r="AL836" s="3">
        <v>3800000</v>
      </c>
      <c r="AM836" s="3">
        <v>3800000</v>
      </c>
      <c r="AN836" s="3">
        <v>3800000</v>
      </c>
      <c r="AO836" s="3">
        <v>3800000</v>
      </c>
      <c r="AP836" s="3">
        <v>3800000</v>
      </c>
      <c r="AQ836" s="3"/>
      <c r="AR836" s="3"/>
      <c r="AS836" s="3"/>
      <c r="AT836" s="3"/>
      <c r="AU836" s="3"/>
      <c r="AV836" s="3"/>
      <c r="AW836" s="3">
        <f t="shared" si="53"/>
        <v>22800000</v>
      </c>
      <c r="AX836" s="3">
        <f t="shared" si="54"/>
        <v>22800000</v>
      </c>
      <c r="AY836" s="4">
        <f t="shared" si="55"/>
        <v>12</v>
      </c>
      <c r="AZ836" s="8">
        <v>0</v>
      </c>
      <c r="BA836" s="4" t="s">
        <v>5726</v>
      </c>
      <c r="BB836" s="2"/>
      <c r="BC836" s="3"/>
      <c r="BD836" s="3"/>
    </row>
    <row r="837" spans="1:56" ht="16.8" customHeight="1">
      <c r="A837" s="1">
        <v>836</v>
      </c>
      <c r="B837" s="1" t="s">
        <v>3175</v>
      </c>
      <c r="C837" s="1" t="s">
        <v>3176</v>
      </c>
      <c r="D837" s="1" t="s">
        <v>3211</v>
      </c>
      <c r="E837" s="1" t="s">
        <v>3211</v>
      </c>
      <c r="F837" s="1" t="s">
        <v>3212</v>
      </c>
      <c r="G837" s="1" t="s">
        <v>3213</v>
      </c>
      <c r="H837" s="1" t="s">
        <v>5153</v>
      </c>
      <c r="I837" s="18" t="s">
        <v>4783</v>
      </c>
      <c r="J837" s="18" t="s">
        <v>5074</v>
      </c>
      <c r="K837" s="18" t="s">
        <v>4742</v>
      </c>
      <c r="L837" s="18" t="s">
        <v>4734</v>
      </c>
      <c r="M837" s="2">
        <v>3000000</v>
      </c>
      <c r="N837" s="2">
        <v>3000000</v>
      </c>
      <c r="O837" s="2"/>
      <c r="P837" s="2" t="str">
        <f t="shared" si="52"/>
        <v/>
      </c>
      <c r="Q837" s="2"/>
      <c r="R837" s="2"/>
      <c r="S837" s="48"/>
      <c r="T837" s="2">
        <v>36000000</v>
      </c>
      <c r="U837" s="2">
        <v>0</v>
      </c>
      <c r="V837" s="1" t="s">
        <v>3214</v>
      </c>
      <c r="W837" s="6" t="s">
        <v>3215</v>
      </c>
      <c r="X837" s="1" t="s">
        <v>3216</v>
      </c>
      <c r="Y837" s="3">
        <v>3000000</v>
      </c>
      <c r="Z837" s="3">
        <v>3000000</v>
      </c>
      <c r="AA837" s="3">
        <v>3000000</v>
      </c>
      <c r="AB837" s="3">
        <v>3000000</v>
      </c>
      <c r="AC837" s="3">
        <v>3000000</v>
      </c>
      <c r="AD837" s="3">
        <v>3000000</v>
      </c>
      <c r="AE837" s="3">
        <v>3000000</v>
      </c>
      <c r="AF837" s="3">
        <v>3000000</v>
      </c>
      <c r="AG837" s="3">
        <v>3000000</v>
      </c>
      <c r="AH837" s="3">
        <v>3000000</v>
      </c>
      <c r="AI837" s="3">
        <v>3000000</v>
      </c>
      <c r="AJ837" s="3">
        <v>3000000</v>
      </c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>
        <f t="shared" si="53"/>
        <v>36000000</v>
      </c>
      <c r="AX837" s="3">
        <f t="shared" si="54"/>
        <v>0</v>
      </c>
      <c r="AY837" s="4">
        <f t="shared" si="55"/>
        <v>12</v>
      </c>
      <c r="AZ837" s="8" t="s">
        <v>5608</v>
      </c>
      <c r="BA837" s="4" t="s">
        <v>5726</v>
      </c>
      <c r="BB837" s="2"/>
      <c r="BC837" s="3"/>
      <c r="BD837" s="4"/>
    </row>
    <row r="838" spans="1:56" ht="16.8" customHeight="1">
      <c r="A838" s="1">
        <v>837</v>
      </c>
      <c r="B838" s="1" t="s">
        <v>3175</v>
      </c>
      <c r="C838" s="1" t="s">
        <v>3176</v>
      </c>
      <c r="D838" s="1" t="s">
        <v>3217</v>
      </c>
      <c r="E838" s="1" t="s">
        <v>3217</v>
      </c>
      <c r="F838" s="1" t="s">
        <v>3218</v>
      </c>
      <c r="G838" s="1" t="s">
        <v>3219</v>
      </c>
      <c r="H838" s="1" t="s">
        <v>5286</v>
      </c>
      <c r="I838" s="18" t="s">
        <v>5018</v>
      </c>
      <c r="J838" s="18" t="s">
        <v>5018</v>
      </c>
      <c r="K838" s="18" t="s">
        <v>5045</v>
      </c>
      <c r="L838" s="18" t="s">
        <v>4734</v>
      </c>
      <c r="M838" s="2">
        <v>4000000</v>
      </c>
      <c r="N838" s="2">
        <v>4000000</v>
      </c>
      <c r="O838" s="2"/>
      <c r="P838" s="2" t="str">
        <f t="shared" si="52"/>
        <v/>
      </c>
      <c r="Q838" s="2"/>
      <c r="R838" s="2"/>
      <c r="S838" s="48"/>
      <c r="T838" s="2">
        <v>0</v>
      </c>
      <c r="U838" s="2">
        <v>0</v>
      </c>
      <c r="V838" s="1" t="s">
        <v>3219</v>
      </c>
      <c r="W838" s="6" t="s">
        <v>3220</v>
      </c>
      <c r="X838" s="1" t="s">
        <v>3221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>
        <v>4000000</v>
      </c>
      <c r="AL838" s="3">
        <v>4000000</v>
      </c>
      <c r="AM838" s="3">
        <v>4000000</v>
      </c>
      <c r="AN838" s="3">
        <v>4000000</v>
      </c>
      <c r="AO838" s="3">
        <v>4000000</v>
      </c>
      <c r="AP838" s="3">
        <v>4000000</v>
      </c>
      <c r="AQ838" s="3"/>
      <c r="AR838" s="3"/>
      <c r="AS838" s="3"/>
      <c r="AT838" s="3"/>
      <c r="AU838" s="3"/>
      <c r="AV838" s="3"/>
      <c r="AW838" s="3">
        <f t="shared" si="53"/>
        <v>0</v>
      </c>
      <c r="AX838" s="3">
        <f t="shared" si="54"/>
        <v>24000000</v>
      </c>
      <c r="AY838" s="4">
        <f t="shared" si="55"/>
        <v>6</v>
      </c>
      <c r="AZ838" s="8" t="s">
        <v>5609</v>
      </c>
      <c r="BA838" s="4" t="s">
        <v>5726</v>
      </c>
      <c r="BB838" s="2"/>
      <c r="BC838" s="3"/>
      <c r="BD838" s="3"/>
    </row>
    <row r="839" spans="1:56" ht="16.8" customHeight="1">
      <c r="A839" s="1">
        <v>838</v>
      </c>
      <c r="B839" s="1" t="s">
        <v>3175</v>
      </c>
      <c r="C839" s="1" t="s">
        <v>3176</v>
      </c>
      <c r="D839" s="1" t="s">
        <v>3222</v>
      </c>
      <c r="E839" s="1" t="s">
        <v>3222</v>
      </c>
      <c r="F839" s="1" t="s">
        <v>3223</v>
      </c>
      <c r="G839" s="1" t="s">
        <v>3224</v>
      </c>
      <c r="H839" s="1" t="s">
        <v>5043</v>
      </c>
      <c r="I839" s="18"/>
      <c r="J839" s="18"/>
      <c r="K839" s="18"/>
      <c r="L839" s="18"/>
      <c r="M839" s="2">
        <v>3000000</v>
      </c>
      <c r="N839" s="2">
        <v>3000000</v>
      </c>
      <c r="O839" s="2"/>
      <c r="P839" s="2" t="str">
        <f t="shared" si="52"/>
        <v/>
      </c>
      <c r="Q839" s="2"/>
      <c r="R839" s="2"/>
      <c r="S839" s="48"/>
      <c r="T839" s="2">
        <v>0</v>
      </c>
      <c r="U839" s="2">
        <v>18000000</v>
      </c>
      <c r="V839" s="1"/>
      <c r="W839" s="6"/>
      <c r="X839" s="1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>
        <f t="shared" si="53"/>
        <v>0</v>
      </c>
      <c r="AX839" s="3">
        <f t="shared" si="54"/>
        <v>0</v>
      </c>
      <c r="AY839" s="4">
        <f t="shared" si="55"/>
        <v>0</v>
      </c>
      <c r="BA839" s="4" t="s">
        <v>5726</v>
      </c>
      <c r="BB839" s="2"/>
      <c r="BC839" s="3"/>
      <c r="BD839" s="4"/>
    </row>
    <row r="840" spans="1:56" ht="16.8" customHeight="1">
      <c r="A840" s="1">
        <v>839</v>
      </c>
      <c r="B840" s="1" t="s">
        <v>3175</v>
      </c>
      <c r="C840" s="1" t="s">
        <v>3176</v>
      </c>
      <c r="D840" s="1" t="s">
        <v>3225</v>
      </c>
      <c r="E840" s="1" t="s">
        <v>3225</v>
      </c>
      <c r="F840" s="1" t="s">
        <v>3226</v>
      </c>
      <c r="G840" s="1" t="s">
        <v>3227</v>
      </c>
      <c r="H840" s="1" t="s">
        <v>5287</v>
      </c>
      <c r="I840" s="18" t="s">
        <v>4783</v>
      </c>
      <c r="J840" s="18" t="s">
        <v>5018</v>
      </c>
      <c r="K840" s="18" t="s">
        <v>4742</v>
      </c>
      <c r="L840" s="18" t="s">
        <v>4734</v>
      </c>
      <c r="M840" s="2">
        <v>3600000</v>
      </c>
      <c r="N840" s="2">
        <v>3600000</v>
      </c>
      <c r="O840" s="2"/>
      <c r="P840" s="2" t="str">
        <f t="shared" si="52"/>
        <v/>
      </c>
      <c r="Q840" s="2"/>
      <c r="R840" s="2"/>
      <c r="S840" s="48"/>
      <c r="T840" s="2">
        <v>21600000</v>
      </c>
      <c r="U840" s="2">
        <v>0</v>
      </c>
      <c r="V840" s="1" t="s">
        <v>3228</v>
      </c>
      <c r="W840" s="6" t="s">
        <v>3229</v>
      </c>
      <c r="X840" s="1" t="s">
        <v>3230</v>
      </c>
      <c r="Y840" s="3"/>
      <c r="Z840" s="3"/>
      <c r="AA840" s="3"/>
      <c r="AB840" s="3"/>
      <c r="AC840" s="3"/>
      <c r="AD840" s="3"/>
      <c r="AE840" s="3">
        <v>3600000</v>
      </c>
      <c r="AF840" s="3">
        <v>3600000</v>
      </c>
      <c r="AG840" s="3">
        <v>3600000</v>
      </c>
      <c r="AH840" s="3">
        <v>3600000</v>
      </c>
      <c r="AI840" s="3">
        <v>3600000</v>
      </c>
      <c r="AJ840" s="3">
        <v>3600000</v>
      </c>
      <c r="AK840" s="3">
        <v>3600000</v>
      </c>
      <c r="AL840" s="3">
        <v>3600000</v>
      </c>
      <c r="AM840" s="3">
        <v>3600000</v>
      </c>
      <c r="AN840" s="3">
        <v>3600000</v>
      </c>
      <c r="AO840" s="3">
        <v>3600000</v>
      </c>
      <c r="AP840" s="3">
        <v>3600000</v>
      </c>
      <c r="AQ840" s="3"/>
      <c r="AR840" s="3"/>
      <c r="AS840" s="3"/>
      <c r="AT840" s="3"/>
      <c r="AU840" s="3"/>
      <c r="AV840" s="3"/>
      <c r="AW840" s="3">
        <f t="shared" si="53"/>
        <v>21600000</v>
      </c>
      <c r="AX840" s="3">
        <f t="shared" si="54"/>
        <v>21600000</v>
      </c>
      <c r="AY840" s="4">
        <f t="shared" si="55"/>
        <v>12</v>
      </c>
      <c r="AZ840" s="8" t="s">
        <v>5528</v>
      </c>
      <c r="BA840" s="4" t="s">
        <v>5726</v>
      </c>
      <c r="BB840" s="2"/>
      <c r="BC840" s="3"/>
      <c r="BD840" s="3"/>
    </row>
    <row r="841" spans="1:56" ht="16.8" customHeight="1">
      <c r="A841" s="1">
        <v>840</v>
      </c>
      <c r="B841" s="1" t="s">
        <v>3175</v>
      </c>
      <c r="C841" s="1" t="s">
        <v>3176</v>
      </c>
      <c r="D841" s="1" t="s">
        <v>3231</v>
      </c>
      <c r="E841" s="1" t="s">
        <v>3231</v>
      </c>
      <c r="F841" s="1" t="s">
        <v>3232</v>
      </c>
      <c r="G841" s="1" t="s">
        <v>3233</v>
      </c>
      <c r="H841" s="1" t="s">
        <v>5286</v>
      </c>
      <c r="I841" s="18" t="s">
        <v>4783</v>
      </c>
      <c r="J841" s="18" t="s">
        <v>5018</v>
      </c>
      <c r="K841" s="18" t="s">
        <v>4742</v>
      </c>
      <c r="L841" s="18" t="s">
        <v>4734</v>
      </c>
      <c r="M841" s="2">
        <v>3000000</v>
      </c>
      <c r="N841" s="2">
        <v>3000000</v>
      </c>
      <c r="O841" s="2"/>
      <c r="P841" s="2" t="str">
        <f t="shared" si="52"/>
        <v/>
      </c>
      <c r="Q841" s="2"/>
      <c r="R841" s="2"/>
      <c r="S841" s="48"/>
      <c r="T841" s="2">
        <v>0</v>
      </c>
      <c r="U841" s="2">
        <v>0</v>
      </c>
      <c r="V841" s="1" t="s">
        <v>3233</v>
      </c>
      <c r="W841" s="6" t="s">
        <v>3234</v>
      </c>
      <c r="X841" s="1" t="s">
        <v>3235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>
        <v>3000000</v>
      </c>
      <c r="AL841" s="3">
        <v>3000000</v>
      </c>
      <c r="AM841" s="3">
        <v>3000000</v>
      </c>
      <c r="AN841" s="3">
        <v>3000000</v>
      </c>
      <c r="AO841" s="3">
        <v>3000000</v>
      </c>
      <c r="AP841" s="3">
        <v>3000000</v>
      </c>
      <c r="AQ841" s="3"/>
      <c r="AR841" s="3"/>
      <c r="AS841" s="3"/>
      <c r="AT841" s="3"/>
      <c r="AU841" s="3"/>
      <c r="AV841" s="3"/>
      <c r="AW841" s="3">
        <f t="shared" si="53"/>
        <v>0</v>
      </c>
      <c r="AX841" s="3">
        <f t="shared" si="54"/>
        <v>18000000</v>
      </c>
      <c r="AY841" s="4">
        <f t="shared" si="55"/>
        <v>6</v>
      </c>
      <c r="AZ841" s="8" t="s">
        <v>5528</v>
      </c>
      <c r="BA841" s="4" t="s">
        <v>5726</v>
      </c>
      <c r="BB841" s="2"/>
      <c r="BC841" s="3"/>
      <c r="BD841" s="3"/>
    </row>
    <row r="842" spans="1:56" ht="16.8" customHeight="1">
      <c r="A842" s="1">
        <v>841</v>
      </c>
      <c r="B842" s="1" t="s">
        <v>3175</v>
      </c>
      <c r="C842" s="1" t="s">
        <v>3176</v>
      </c>
      <c r="D842" s="1" t="s">
        <v>3236</v>
      </c>
      <c r="E842" s="1" t="s">
        <v>3236</v>
      </c>
      <c r="F842" s="1" t="s">
        <v>3237</v>
      </c>
      <c r="G842" s="1" t="s">
        <v>3238</v>
      </c>
      <c r="H842" s="1" t="s">
        <v>4622</v>
      </c>
      <c r="I842" s="18" t="s">
        <v>4783</v>
      </c>
      <c r="J842" s="18" t="s">
        <v>5132</v>
      </c>
      <c r="K842" s="18" t="s">
        <v>4742</v>
      </c>
      <c r="L842" s="18" t="s">
        <v>4734</v>
      </c>
      <c r="M842" s="2">
        <v>3500000</v>
      </c>
      <c r="N842" s="2">
        <v>3500000</v>
      </c>
      <c r="O842" s="2"/>
      <c r="P842" s="2" t="str">
        <f t="shared" si="52"/>
        <v/>
      </c>
      <c r="Q842" s="2"/>
      <c r="R842" s="2"/>
      <c r="S842" s="48"/>
      <c r="T842" s="2">
        <v>21000000</v>
      </c>
      <c r="U842" s="2">
        <v>0</v>
      </c>
      <c r="V842" s="1" t="s">
        <v>3239</v>
      </c>
      <c r="W842" s="6" t="s">
        <v>3240</v>
      </c>
      <c r="X842" s="1" t="s">
        <v>471</v>
      </c>
      <c r="Y842" s="3"/>
      <c r="Z842" s="3"/>
      <c r="AA842" s="3"/>
      <c r="AB842" s="3"/>
      <c r="AC842" s="3"/>
      <c r="AD842" s="3"/>
      <c r="AE842" s="3">
        <v>3500000</v>
      </c>
      <c r="AF842" s="3">
        <v>3500000</v>
      </c>
      <c r="AG842" s="3">
        <v>3500000</v>
      </c>
      <c r="AH842" s="3">
        <v>3500000</v>
      </c>
      <c r="AI842" s="3">
        <v>3500000</v>
      </c>
      <c r="AJ842" s="3">
        <v>3500000</v>
      </c>
      <c r="AK842" s="3">
        <v>3500000</v>
      </c>
      <c r="AL842" s="3">
        <v>3500000</v>
      </c>
      <c r="AM842" s="3">
        <v>3500000</v>
      </c>
      <c r="AN842" s="3">
        <v>3500000</v>
      </c>
      <c r="AO842" s="3">
        <v>3500000</v>
      </c>
      <c r="AP842" s="3">
        <v>3500000</v>
      </c>
      <c r="AQ842" s="3"/>
      <c r="AR842" s="3"/>
      <c r="AS842" s="3"/>
      <c r="AT842" s="3"/>
      <c r="AU842" s="3"/>
      <c r="AV842" s="3"/>
      <c r="AW842" s="3">
        <f t="shared" si="53"/>
        <v>21000000</v>
      </c>
      <c r="AX842" s="3">
        <f t="shared" si="54"/>
        <v>21000000</v>
      </c>
      <c r="AY842" s="4">
        <f t="shared" si="55"/>
        <v>12</v>
      </c>
      <c r="AZ842" s="8" t="s">
        <v>5495</v>
      </c>
      <c r="BA842" s="4" t="s">
        <v>5726</v>
      </c>
      <c r="BB842" s="2"/>
      <c r="BC842" s="3"/>
      <c r="BD842" s="3"/>
    </row>
    <row r="843" spans="1:56" ht="16.8" customHeight="1">
      <c r="A843" s="1">
        <v>842</v>
      </c>
      <c r="B843" s="1" t="s">
        <v>3175</v>
      </c>
      <c r="C843" s="1" t="s">
        <v>3176</v>
      </c>
      <c r="D843" s="1" t="s">
        <v>3241</v>
      </c>
      <c r="E843" s="1" t="s">
        <v>3241</v>
      </c>
      <c r="F843" s="1" t="s">
        <v>3242</v>
      </c>
      <c r="G843" s="1" t="s">
        <v>3243</v>
      </c>
      <c r="H843" s="1" t="s">
        <v>5288</v>
      </c>
      <c r="I843" s="18" t="s">
        <v>5018</v>
      </c>
      <c r="J843" s="18" t="s">
        <v>5018</v>
      </c>
      <c r="K843" s="18" t="s">
        <v>5045</v>
      </c>
      <c r="L843" s="18" t="s">
        <v>4734</v>
      </c>
      <c r="M843" s="2">
        <v>4500000</v>
      </c>
      <c r="N843" s="2">
        <v>4500000</v>
      </c>
      <c r="O843" s="2"/>
      <c r="P843" s="2" t="str">
        <f t="shared" si="52"/>
        <v/>
      </c>
      <c r="Q843" s="2"/>
      <c r="R843" s="2"/>
      <c r="S843" s="48"/>
      <c r="T843" s="2">
        <v>0</v>
      </c>
      <c r="U843" s="2">
        <v>0</v>
      </c>
      <c r="V843" s="1" t="s">
        <v>3243</v>
      </c>
      <c r="W843" s="6" t="s">
        <v>3244</v>
      </c>
      <c r="X843" s="1" t="s">
        <v>471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>
        <v>4500000</v>
      </c>
      <c r="AL843" s="3">
        <v>4500000</v>
      </c>
      <c r="AM843" s="3">
        <v>4500000</v>
      </c>
      <c r="AN843" s="3">
        <v>4500000</v>
      </c>
      <c r="AO843" s="3">
        <v>4500000</v>
      </c>
      <c r="AP843" s="3">
        <v>4500000</v>
      </c>
      <c r="AQ843" s="3">
        <v>4500000</v>
      </c>
      <c r="AR843" s="3">
        <v>4500000</v>
      </c>
      <c r="AS843" s="3">
        <v>4500000</v>
      </c>
      <c r="AT843" s="3">
        <v>4500000</v>
      </c>
      <c r="AU843" s="3">
        <v>4500000</v>
      </c>
      <c r="AV843" s="3">
        <v>4500000</v>
      </c>
      <c r="AW843" s="3">
        <f t="shared" si="53"/>
        <v>0</v>
      </c>
      <c r="AX843" s="3">
        <f t="shared" si="54"/>
        <v>54000000</v>
      </c>
      <c r="AY843" s="4">
        <f t="shared" si="55"/>
        <v>12</v>
      </c>
      <c r="AZ843" s="8">
        <v>0</v>
      </c>
      <c r="BA843" s="4" t="s">
        <v>5726</v>
      </c>
      <c r="BB843" s="2"/>
      <c r="BC843" s="3"/>
      <c r="BD843" s="3"/>
    </row>
    <row r="844" spans="1:56" ht="16.8" customHeight="1">
      <c r="A844" s="1">
        <v>843</v>
      </c>
      <c r="B844" s="1" t="s">
        <v>3175</v>
      </c>
      <c r="C844" s="1" t="s">
        <v>3176</v>
      </c>
      <c r="D844" s="1" t="s">
        <v>3245</v>
      </c>
      <c r="E844" s="1" t="s">
        <v>3245</v>
      </c>
      <c r="F844" s="1" t="s">
        <v>3246</v>
      </c>
      <c r="G844" s="1" t="s">
        <v>3247</v>
      </c>
      <c r="H844" s="1" t="s">
        <v>4623</v>
      </c>
      <c r="I844" s="18" t="s">
        <v>4783</v>
      </c>
      <c r="J844" s="18" t="s">
        <v>5132</v>
      </c>
      <c r="K844" s="18" t="s">
        <v>4741</v>
      </c>
      <c r="L844" s="18" t="s">
        <v>4734</v>
      </c>
      <c r="M844" s="2">
        <v>3500000</v>
      </c>
      <c r="N844" s="2">
        <v>3500000</v>
      </c>
      <c r="O844" s="2"/>
      <c r="P844" s="2" t="str">
        <f t="shared" si="52"/>
        <v/>
      </c>
      <c r="Q844" s="2"/>
      <c r="R844" s="2"/>
      <c r="S844" s="48"/>
      <c r="T844" s="2">
        <v>21000000</v>
      </c>
      <c r="U844" s="2">
        <v>0</v>
      </c>
      <c r="V844" s="1" t="s">
        <v>3247</v>
      </c>
      <c r="W844" s="6" t="s">
        <v>3248</v>
      </c>
      <c r="X844" s="1" t="s">
        <v>115</v>
      </c>
      <c r="Y844" s="3"/>
      <c r="Z844" s="3"/>
      <c r="AA844" s="3"/>
      <c r="AB844" s="3"/>
      <c r="AC844" s="3"/>
      <c r="AD844" s="3"/>
      <c r="AE844" s="3">
        <v>3500000</v>
      </c>
      <c r="AF844" s="3">
        <v>3500000</v>
      </c>
      <c r="AG844" s="3">
        <v>3500000</v>
      </c>
      <c r="AH844" s="3">
        <v>3500000</v>
      </c>
      <c r="AI844" s="3">
        <v>3500000</v>
      </c>
      <c r="AJ844" s="3">
        <v>3500000</v>
      </c>
      <c r="AK844" s="3">
        <v>3500000</v>
      </c>
      <c r="AL844" s="3">
        <v>3500000</v>
      </c>
      <c r="AM844" s="3">
        <v>3500000</v>
      </c>
      <c r="AN844" s="3">
        <v>3500000</v>
      </c>
      <c r="AO844" s="3">
        <v>3500000</v>
      </c>
      <c r="AP844" s="3">
        <v>3500000</v>
      </c>
      <c r="AQ844" s="3"/>
      <c r="AR844" s="3"/>
      <c r="AS844" s="3"/>
      <c r="AT844" s="3"/>
      <c r="AU844" s="3"/>
      <c r="AV844" s="3"/>
      <c r="AW844" s="3">
        <f t="shared" si="53"/>
        <v>21000000</v>
      </c>
      <c r="AX844" s="3">
        <f t="shared" si="54"/>
        <v>21000000</v>
      </c>
      <c r="AY844" s="4">
        <f t="shared" si="55"/>
        <v>12</v>
      </c>
      <c r="AZ844" s="8" t="s">
        <v>5528</v>
      </c>
      <c r="BA844" s="4" t="s">
        <v>5726</v>
      </c>
      <c r="BB844" s="2"/>
      <c r="BC844" s="3"/>
      <c r="BD844" s="3"/>
    </row>
    <row r="845" spans="1:56" ht="16.8" customHeight="1">
      <c r="A845" s="1">
        <v>844</v>
      </c>
      <c r="B845" s="1" t="s">
        <v>3175</v>
      </c>
      <c r="C845" s="1" t="s">
        <v>3176</v>
      </c>
      <c r="D845" s="1" t="s">
        <v>3249</v>
      </c>
      <c r="E845" s="1" t="s">
        <v>3249</v>
      </c>
      <c r="F845" s="1" t="s">
        <v>3250</v>
      </c>
      <c r="G845" s="1" t="s">
        <v>2695</v>
      </c>
      <c r="H845" s="1" t="s">
        <v>5020</v>
      </c>
      <c r="I845" s="18" t="s">
        <v>4783</v>
      </c>
      <c r="J845" s="18" t="s">
        <v>5018</v>
      </c>
      <c r="K845" s="18" t="s">
        <v>4753</v>
      </c>
      <c r="L845" s="18" t="s">
        <v>4734</v>
      </c>
      <c r="M845" s="2">
        <v>1000000</v>
      </c>
      <c r="N845" s="2">
        <v>1000000</v>
      </c>
      <c r="O845" s="2"/>
      <c r="P845" s="2" t="str">
        <f t="shared" si="52"/>
        <v/>
      </c>
      <c r="Q845" s="2"/>
      <c r="R845" s="2"/>
      <c r="S845" s="48"/>
      <c r="T845" s="2">
        <v>0</v>
      </c>
      <c r="U845" s="2">
        <v>0</v>
      </c>
      <c r="V845" s="1" t="s">
        <v>2695</v>
      </c>
      <c r="W845" s="6" t="s">
        <v>3251</v>
      </c>
      <c r="X845" s="1" t="s">
        <v>3235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>
        <v>1000000</v>
      </c>
      <c r="AL845" s="3">
        <v>1000000</v>
      </c>
      <c r="AM845" s="3">
        <v>1000000</v>
      </c>
      <c r="AN845" s="3">
        <v>1000000</v>
      </c>
      <c r="AO845" s="3">
        <v>1000000</v>
      </c>
      <c r="AP845" s="3">
        <v>1000000</v>
      </c>
      <c r="AQ845" s="3">
        <v>1000000</v>
      </c>
      <c r="AR845" s="3">
        <v>1000000</v>
      </c>
      <c r="AS845" s="3">
        <v>1000000</v>
      </c>
      <c r="AT845" s="3">
        <v>1000000</v>
      </c>
      <c r="AU845" s="3">
        <v>1000000</v>
      </c>
      <c r="AV845" s="3">
        <v>1000000</v>
      </c>
      <c r="AW845" s="3">
        <f t="shared" si="53"/>
        <v>0</v>
      </c>
      <c r="AX845" s="3">
        <f t="shared" si="54"/>
        <v>12000000</v>
      </c>
      <c r="AY845" s="4">
        <f t="shared" si="55"/>
        <v>12</v>
      </c>
      <c r="AZ845" s="8" t="s">
        <v>5528</v>
      </c>
      <c r="BA845" s="4" t="s">
        <v>5726</v>
      </c>
      <c r="BB845" s="2"/>
      <c r="BC845" s="3"/>
      <c r="BD845" s="3"/>
    </row>
    <row r="846" spans="1:56" ht="16.8" customHeight="1">
      <c r="A846" s="1">
        <v>845</v>
      </c>
      <c r="B846" s="1" t="s">
        <v>3175</v>
      </c>
      <c r="C846" s="1" t="s">
        <v>3176</v>
      </c>
      <c r="D846" s="1" t="s">
        <v>3252</v>
      </c>
      <c r="E846" s="1" t="s">
        <v>3252</v>
      </c>
      <c r="F846" s="1" t="s">
        <v>3253</v>
      </c>
      <c r="G846" s="1" t="s">
        <v>2558</v>
      </c>
      <c r="H846" s="1" t="s">
        <v>5289</v>
      </c>
      <c r="I846" s="18" t="s">
        <v>5018</v>
      </c>
      <c r="J846" s="18" t="s">
        <v>5018</v>
      </c>
      <c r="K846" s="18" t="s">
        <v>4748</v>
      </c>
      <c r="L846" s="18" t="s">
        <v>4734</v>
      </c>
      <c r="M846" s="2">
        <v>1000000</v>
      </c>
      <c r="N846" s="2">
        <v>1000000</v>
      </c>
      <c r="O846" s="2"/>
      <c r="P846" s="2" t="str">
        <f t="shared" si="52"/>
        <v/>
      </c>
      <c r="Q846" s="2"/>
      <c r="R846" s="2"/>
      <c r="S846" s="48"/>
      <c r="T846" s="2">
        <v>0</v>
      </c>
      <c r="U846" s="2">
        <v>0</v>
      </c>
      <c r="V846" s="1"/>
      <c r="W846" s="6"/>
      <c r="X846" s="1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>
        <f t="shared" si="53"/>
        <v>0</v>
      </c>
      <c r="AX846" s="3">
        <f t="shared" si="54"/>
        <v>0</v>
      </c>
      <c r="AY846" s="4">
        <f t="shared" si="55"/>
        <v>0</v>
      </c>
      <c r="AZ846" s="8">
        <v>0</v>
      </c>
      <c r="BA846" s="4" t="s">
        <v>5726</v>
      </c>
      <c r="BB846" s="2"/>
      <c r="BC846" s="3"/>
      <c r="BD846" s="4"/>
    </row>
    <row r="847" spans="1:56" ht="16.8" customHeight="1">
      <c r="A847" s="1">
        <v>846</v>
      </c>
      <c r="B847" s="1" t="s">
        <v>3175</v>
      </c>
      <c r="C847" s="1" t="s">
        <v>3176</v>
      </c>
      <c r="D847" s="1" t="s">
        <v>3254</v>
      </c>
      <c r="E847" s="1" t="s">
        <v>3254</v>
      </c>
      <c r="F847" s="1" t="s">
        <v>3255</v>
      </c>
      <c r="G847" s="1" t="s">
        <v>2034</v>
      </c>
      <c r="H847" s="1" t="s">
        <v>4624</v>
      </c>
      <c r="I847" s="18" t="s">
        <v>4783</v>
      </c>
      <c r="J847" s="18" t="s">
        <v>5074</v>
      </c>
      <c r="K847" s="18" t="s">
        <v>4742</v>
      </c>
      <c r="L847" s="18" t="s">
        <v>4734</v>
      </c>
      <c r="M847" s="2">
        <v>1500000</v>
      </c>
      <c r="N847" s="2">
        <v>1500000</v>
      </c>
      <c r="O847" s="2"/>
      <c r="P847" s="2" t="str">
        <f t="shared" si="52"/>
        <v/>
      </c>
      <c r="Q847" s="2"/>
      <c r="R847" s="2"/>
      <c r="S847" s="48"/>
      <c r="T847" s="2">
        <v>18000000</v>
      </c>
      <c r="U847" s="2">
        <v>0</v>
      </c>
      <c r="V847" s="1" t="s">
        <v>2034</v>
      </c>
      <c r="W847" s="6" t="s">
        <v>3256</v>
      </c>
      <c r="X847" s="1" t="s">
        <v>3257</v>
      </c>
      <c r="Y847" s="3">
        <v>1500000</v>
      </c>
      <c r="Z847" s="3">
        <v>1500000</v>
      </c>
      <c r="AA847" s="3">
        <v>1500000</v>
      </c>
      <c r="AB847" s="3">
        <v>1500000</v>
      </c>
      <c r="AC847" s="3">
        <v>1500000</v>
      </c>
      <c r="AD847" s="3">
        <v>1500000</v>
      </c>
      <c r="AE847" s="3">
        <v>1500000</v>
      </c>
      <c r="AF847" s="3">
        <v>1500000</v>
      </c>
      <c r="AG847" s="3">
        <v>1500000</v>
      </c>
      <c r="AH847" s="3">
        <v>1500000</v>
      </c>
      <c r="AI847" s="3">
        <v>1500000</v>
      </c>
      <c r="AJ847" s="3">
        <v>1500000</v>
      </c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>
        <f t="shared" si="53"/>
        <v>18000000</v>
      </c>
      <c r="AX847" s="3">
        <f t="shared" si="54"/>
        <v>0</v>
      </c>
      <c r="AY847" s="4">
        <f t="shared" si="55"/>
        <v>12</v>
      </c>
      <c r="AZ847" s="8" t="s">
        <v>5553</v>
      </c>
      <c r="BA847" s="4" t="s">
        <v>5726</v>
      </c>
      <c r="BB847" s="2"/>
      <c r="BC847" s="3"/>
      <c r="BD847" s="4"/>
    </row>
    <row r="848" spans="1:56" ht="16.8" customHeight="1">
      <c r="A848" s="1">
        <v>847</v>
      </c>
      <c r="B848" s="1" t="s">
        <v>3175</v>
      </c>
      <c r="C848" s="1" t="s">
        <v>3176</v>
      </c>
      <c r="D848" s="1" t="s">
        <v>3258</v>
      </c>
      <c r="E848" s="1" t="s">
        <v>3258</v>
      </c>
      <c r="F848" s="1" t="s">
        <v>3259</v>
      </c>
      <c r="G848" s="1" t="s">
        <v>2864</v>
      </c>
      <c r="H848" s="1" t="s">
        <v>5290</v>
      </c>
      <c r="I848" s="18" t="s">
        <v>4783</v>
      </c>
      <c r="J848" s="18" t="s">
        <v>5132</v>
      </c>
      <c r="K848" s="18" t="s">
        <v>4884</v>
      </c>
      <c r="L848" s="18" t="s">
        <v>4734</v>
      </c>
      <c r="M848" s="2">
        <v>3000000</v>
      </c>
      <c r="N848" s="2">
        <v>3000000</v>
      </c>
      <c r="O848" s="2"/>
      <c r="P848" s="2" t="str">
        <f t="shared" si="52"/>
        <v/>
      </c>
      <c r="Q848" s="2"/>
      <c r="R848" s="2"/>
      <c r="S848" s="48"/>
      <c r="T848" s="2">
        <v>18000000</v>
      </c>
      <c r="U848" s="2">
        <v>0</v>
      </c>
      <c r="V848" s="1" t="s">
        <v>2864</v>
      </c>
      <c r="W848" s="6" t="s">
        <v>2865</v>
      </c>
      <c r="X848" s="1" t="s">
        <v>3257</v>
      </c>
      <c r="Y848" s="3"/>
      <c r="Z848" s="3"/>
      <c r="AA848" s="3"/>
      <c r="AB848" s="3"/>
      <c r="AC848" s="3"/>
      <c r="AD848" s="3"/>
      <c r="AE848" s="3">
        <v>3000000</v>
      </c>
      <c r="AF848" s="3">
        <v>3000000</v>
      </c>
      <c r="AG848" s="3">
        <v>3000000</v>
      </c>
      <c r="AH848" s="3">
        <v>3000000</v>
      </c>
      <c r="AI848" s="3">
        <v>3000000</v>
      </c>
      <c r="AJ848" s="3">
        <v>3000000</v>
      </c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>
        <f t="shared" si="53"/>
        <v>18000000</v>
      </c>
      <c r="AX848" s="3">
        <f t="shared" si="54"/>
        <v>0</v>
      </c>
      <c r="AY848" s="4">
        <f t="shared" si="55"/>
        <v>6</v>
      </c>
      <c r="AZ848" s="8" t="s">
        <v>5553</v>
      </c>
      <c r="BA848" s="4" t="s">
        <v>5726</v>
      </c>
      <c r="BB848" s="2"/>
      <c r="BC848" s="3"/>
      <c r="BD848" s="4"/>
    </row>
    <row r="849" spans="1:56" ht="16.8" customHeight="1">
      <c r="A849" s="1">
        <v>848</v>
      </c>
      <c r="B849" s="1" t="s">
        <v>3175</v>
      </c>
      <c r="C849" s="1" t="s">
        <v>3176</v>
      </c>
      <c r="D849" s="1" t="s">
        <v>3260</v>
      </c>
      <c r="E849" s="1" t="s">
        <v>3260</v>
      </c>
      <c r="F849" s="1" t="s">
        <v>3261</v>
      </c>
      <c r="G849" s="1" t="s">
        <v>3262</v>
      </c>
      <c r="H849" s="1" t="s">
        <v>5291</v>
      </c>
      <c r="I849" s="18" t="s">
        <v>5018</v>
      </c>
      <c r="J849" s="18" t="s">
        <v>5018</v>
      </c>
      <c r="K849" s="18" t="s">
        <v>4748</v>
      </c>
      <c r="L849" s="18" t="s">
        <v>4734</v>
      </c>
      <c r="M849" s="2">
        <v>3000000</v>
      </c>
      <c r="N849" s="2">
        <v>3000000</v>
      </c>
      <c r="O849" s="2"/>
      <c r="P849" s="2" t="str">
        <f t="shared" si="52"/>
        <v/>
      </c>
      <c r="Q849" s="2"/>
      <c r="R849" s="2"/>
      <c r="S849" s="48"/>
      <c r="T849" s="2">
        <v>36000000</v>
      </c>
      <c r="U849" s="2">
        <v>0</v>
      </c>
      <c r="V849" s="1" t="s">
        <v>3263</v>
      </c>
      <c r="W849" s="6" t="s">
        <v>3264</v>
      </c>
      <c r="X849" s="1" t="s">
        <v>333</v>
      </c>
      <c r="Y849" s="3">
        <v>3000000</v>
      </c>
      <c r="Z849" s="3">
        <v>3000000</v>
      </c>
      <c r="AA849" s="3">
        <v>3000000</v>
      </c>
      <c r="AB849" s="3">
        <v>3000000</v>
      </c>
      <c r="AC849" s="3">
        <v>3000000</v>
      </c>
      <c r="AD849" s="3">
        <v>3000000</v>
      </c>
      <c r="AE849" s="3">
        <v>3000000</v>
      </c>
      <c r="AF849" s="3">
        <v>3000000</v>
      </c>
      <c r="AG849" s="3">
        <v>3000000</v>
      </c>
      <c r="AH849" s="3">
        <v>3000000</v>
      </c>
      <c r="AI849" s="3">
        <v>3000000</v>
      </c>
      <c r="AJ849" s="3">
        <v>3000000</v>
      </c>
      <c r="AK849" s="3">
        <v>3000000</v>
      </c>
      <c r="AL849" s="3">
        <v>3000000</v>
      </c>
      <c r="AM849" s="3">
        <v>3000000</v>
      </c>
      <c r="AN849" s="3">
        <v>3000000</v>
      </c>
      <c r="AO849" s="3">
        <v>3000000</v>
      </c>
      <c r="AP849" s="3">
        <v>3000000</v>
      </c>
      <c r="AQ849" s="3">
        <v>3000000</v>
      </c>
      <c r="AR849" s="3">
        <v>3000000</v>
      </c>
      <c r="AS849" s="3">
        <v>3000000</v>
      </c>
      <c r="AT849" s="3">
        <v>3000000</v>
      </c>
      <c r="AU849" s="3">
        <v>3000000</v>
      </c>
      <c r="AV849" s="3">
        <v>3000000</v>
      </c>
      <c r="AW849" s="3">
        <f t="shared" si="53"/>
        <v>36000000</v>
      </c>
      <c r="AX849" s="3">
        <f t="shared" si="54"/>
        <v>36000000</v>
      </c>
      <c r="AY849" s="4">
        <f t="shared" si="55"/>
        <v>24</v>
      </c>
      <c r="AZ849" s="8">
        <v>0</v>
      </c>
      <c r="BA849" s="4" t="s">
        <v>5726</v>
      </c>
      <c r="BB849" s="2"/>
      <c r="BC849" s="3"/>
      <c r="BD849" s="3"/>
    </row>
    <row r="850" spans="1:56" ht="16.8" customHeight="1">
      <c r="A850" s="1">
        <v>849</v>
      </c>
      <c r="B850" s="1" t="s">
        <v>3175</v>
      </c>
      <c r="C850" s="1" t="s">
        <v>3176</v>
      </c>
      <c r="D850" s="1" t="s">
        <v>3265</v>
      </c>
      <c r="E850" s="1" t="s">
        <v>3265</v>
      </c>
      <c r="F850" s="1" t="s">
        <v>3266</v>
      </c>
      <c r="G850" s="1" t="s">
        <v>3267</v>
      </c>
      <c r="H850" s="1"/>
      <c r="I850" s="18"/>
      <c r="J850" s="18"/>
      <c r="K850" s="18"/>
      <c r="L850" s="18"/>
      <c r="M850" s="2">
        <v>2037037</v>
      </c>
      <c r="N850" s="2">
        <v>2037037</v>
      </c>
      <c r="O850" s="2"/>
      <c r="P850" s="2" t="str">
        <f t="shared" si="52"/>
        <v/>
      </c>
      <c r="Q850" s="2"/>
      <c r="R850" s="2"/>
      <c r="S850" s="48"/>
      <c r="T850" s="2">
        <v>0</v>
      </c>
      <c r="U850" s="2">
        <v>0</v>
      </c>
      <c r="V850" s="1"/>
      <c r="W850" s="6"/>
      <c r="X850" s="1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>
        <f t="shared" si="53"/>
        <v>0</v>
      </c>
      <c r="AX850" s="3">
        <f t="shared" si="54"/>
        <v>0</v>
      </c>
      <c r="AY850" s="4">
        <f t="shared" si="55"/>
        <v>0</v>
      </c>
      <c r="BA850" s="4" t="s">
        <v>5726</v>
      </c>
      <c r="BB850" s="2"/>
      <c r="BC850" s="3"/>
      <c r="BD850" s="4"/>
    </row>
    <row r="851" spans="1:56" ht="16.8" customHeight="1">
      <c r="A851" s="1">
        <v>850</v>
      </c>
      <c r="B851" s="1" t="s">
        <v>3175</v>
      </c>
      <c r="C851" s="1" t="s">
        <v>3176</v>
      </c>
      <c r="D851" s="1" t="s">
        <v>3265</v>
      </c>
      <c r="E851" s="1" t="s">
        <v>3265</v>
      </c>
      <c r="F851" s="1" t="s">
        <v>3266</v>
      </c>
      <c r="G851" s="1" t="s">
        <v>3267</v>
      </c>
      <c r="H851" s="1"/>
      <c r="I851" s="18"/>
      <c r="J851" s="18"/>
      <c r="K851" s="18"/>
      <c r="L851" s="18"/>
      <c r="M851" s="2">
        <v>259259</v>
      </c>
      <c r="N851" s="2">
        <v>259259</v>
      </c>
      <c r="O851" s="2"/>
      <c r="P851" s="2" t="str">
        <f t="shared" si="52"/>
        <v/>
      </c>
      <c r="Q851" s="2"/>
      <c r="R851" s="2"/>
      <c r="S851" s="48"/>
      <c r="T851" s="2">
        <v>0</v>
      </c>
      <c r="U851" s="2">
        <v>0</v>
      </c>
      <c r="V851" s="1"/>
      <c r="W851" s="6"/>
      <c r="X851" s="1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>
        <f t="shared" si="53"/>
        <v>0</v>
      </c>
      <c r="AX851" s="3">
        <f t="shared" si="54"/>
        <v>0</v>
      </c>
      <c r="AY851" s="4">
        <f t="shared" si="55"/>
        <v>0</v>
      </c>
      <c r="BA851" s="4" t="s">
        <v>5726</v>
      </c>
      <c r="BB851" s="2"/>
      <c r="BC851" s="3"/>
      <c r="BD851" s="4"/>
    </row>
    <row r="852" spans="1:56" ht="16.8" customHeight="1">
      <c r="A852" s="1">
        <v>851</v>
      </c>
      <c r="B852" s="1" t="s">
        <v>3175</v>
      </c>
      <c r="C852" s="1" t="s">
        <v>3176</v>
      </c>
      <c r="D852" s="1" t="s">
        <v>3268</v>
      </c>
      <c r="E852" s="1" t="s">
        <v>3268</v>
      </c>
      <c r="F852" s="1" t="s">
        <v>3269</v>
      </c>
      <c r="G852" s="1" t="s">
        <v>3270</v>
      </c>
      <c r="H852" s="1" t="s">
        <v>5043</v>
      </c>
      <c r="I852" s="18"/>
      <c r="J852" s="18"/>
      <c r="K852" s="18"/>
      <c r="L852" s="18"/>
      <c r="M852" s="2">
        <v>3500000</v>
      </c>
      <c r="N852" s="2">
        <v>3500000</v>
      </c>
      <c r="O852" s="2"/>
      <c r="P852" s="2" t="str">
        <f t="shared" si="52"/>
        <v/>
      </c>
      <c r="Q852" s="2"/>
      <c r="R852" s="2"/>
      <c r="S852" s="48"/>
      <c r="T852" s="2">
        <v>0</v>
      </c>
      <c r="U852" s="2">
        <v>42000000</v>
      </c>
      <c r="V852" s="1"/>
      <c r="W852" s="6"/>
      <c r="X852" s="1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>
        <f t="shared" si="53"/>
        <v>0</v>
      </c>
      <c r="AX852" s="3">
        <f t="shared" si="54"/>
        <v>0</v>
      </c>
      <c r="AY852" s="4">
        <f t="shared" si="55"/>
        <v>0</v>
      </c>
      <c r="BA852" s="4" t="s">
        <v>5726</v>
      </c>
      <c r="BB852" s="2"/>
      <c r="BC852" s="3"/>
      <c r="BD852" s="4"/>
    </row>
    <row r="853" spans="1:56" ht="16.8" customHeight="1">
      <c r="A853" s="1">
        <v>852</v>
      </c>
      <c r="B853" s="1" t="s">
        <v>3175</v>
      </c>
      <c r="C853" s="1" t="s">
        <v>3176</v>
      </c>
      <c r="D853" s="1" t="s">
        <v>3271</v>
      </c>
      <c r="E853" s="1" t="s">
        <v>3271</v>
      </c>
      <c r="F853" s="1" t="s">
        <v>3272</v>
      </c>
      <c r="G853" s="1" t="s">
        <v>3273</v>
      </c>
      <c r="H853" s="1" t="s">
        <v>5043</v>
      </c>
      <c r="I853" s="18"/>
      <c r="J853" s="18"/>
      <c r="K853" s="18"/>
      <c r="L853" s="18"/>
      <c r="M853" s="2">
        <v>3000000</v>
      </c>
      <c r="N853" s="2">
        <v>3000000</v>
      </c>
      <c r="O853" s="2"/>
      <c r="P853" s="2" t="str">
        <f t="shared" si="52"/>
        <v/>
      </c>
      <c r="Q853" s="2"/>
      <c r="R853" s="2"/>
      <c r="S853" s="48"/>
      <c r="T853" s="2">
        <v>0</v>
      </c>
      <c r="U853" s="2">
        <v>36000000</v>
      </c>
      <c r="V853" s="1"/>
      <c r="W853" s="6"/>
      <c r="X853" s="1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>
        <f t="shared" si="53"/>
        <v>0</v>
      </c>
      <c r="AX853" s="3">
        <f t="shared" si="54"/>
        <v>0</v>
      </c>
      <c r="AY853" s="4">
        <f t="shared" si="55"/>
        <v>0</v>
      </c>
      <c r="BA853" s="4" t="s">
        <v>5726</v>
      </c>
      <c r="BB853" s="2"/>
      <c r="BC853" s="3"/>
      <c r="BD853" s="4"/>
    </row>
    <row r="854" spans="1:56" ht="16.8" customHeight="1">
      <c r="A854" s="1">
        <v>853</v>
      </c>
      <c r="B854" s="1" t="s">
        <v>3175</v>
      </c>
      <c r="C854" s="1" t="s">
        <v>3176</v>
      </c>
      <c r="D854" s="1" t="s">
        <v>3274</v>
      </c>
      <c r="E854" s="1" t="s">
        <v>3274</v>
      </c>
      <c r="F854" s="1" t="s">
        <v>3275</v>
      </c>
      <c r="G854" s="1" t="s">
        <v>3276</v>
      </c>
      <c r="H854" s="1" t="s">
        <v>5292</v>
      </c>
      <c r="I854" s="18" t="s">
        <v>4783</v>
      </c>
      <c r="J854" s="18" t="s">
        <v>5018</v>
      </c>
      <c r="K854" s="18" t="s">
        <v>4742</v>
      </c>
      <c r="L854" s="18" t="s">
        <v>4734</v>
      </c>
      <c r="M854" s="2">
        <v>3500000</v>
      </c>
      <c r="N854" s="2">
        <v>5000000</v>
      </c>
      <c r="O854" s="2"/>
      <c r="P854" s="2">
        <f t="shared" si="52"/>
        <v>1500000</v>
      </c>
      <c r="Q854" s="2"/>
      <c r="R854" s="2"/>
      <c r="S854" s="48"/>
      <c r="T854" s="2">
        <v>0</v>
      </c>
      <c r="U854" s="2">
        <v>0</v>
      </c>
      <c r="V854" s="1" t="s">
        <v>3276</v>
      </c>
      <c r="W854" s="6" t="s">
        <v>3277</v>
      </c>
      <c r="X854" s="1" t="s">
        <v>3278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>
        <v>5000000</v>
      </c>
      <c r="AL854" s="3">
        <v>5000000</v>
      </c>
      <c r="AM854" s="3">
        <v>5000000</v>
      </c>
      <c r="AN854" s="3">
        <v>5000000</v>
      </c>
      <c r="AO854" s="3">
        <v>5000000</v>
      </c>
      <c r="AP854" s="3">
        <v>5000000</v>
      </c>
      <c r="AQ854" s="3">
        <v>5000000</v>
      </c>
      <c r="AR854" s="3">
        <v>5000000</v>
      </c>
      <c r="AS854" s="3">
        <v>5000000</v>
      </c>
      <c r="AT854" s="3">
        <v>5000000</v>
      </c>
      <c r="AU854" s="3">
        <v>5000000</v>
      </c>
      <c r="AV854" s="3">
        <v>5000000</v>
      </c>
      <c r="AW854" s="3">
        <f t="shared" si="53"/>
        <v>0</v>
      </c>
      <c r="AX854" s="3">
        <f t="shared" si="54"/>
        <v>60000000</v>
      </c>
      <c r="AY854" s="4">
        <f t="shared" si="55"/>
        <v>12</v>
      </c>
      <c r="AZ854" s="8" t="s">
        <v>5495</v>
      </c>
      <c r="BA854" s="4" t="s">
        <v>5726</v>
      </c>
      <c r="BB854" s="2"/>
      <c r="BC854" s="3"/>
      <c r="BD854" s="3"/>
    </row>
    <row r="855" spans="1:56" ht="16.8" customHeight="1">
      <c r="A855" s="1">
        <v>854</v>
      </c>
      <c r="B855" s="1" t="s">
        <v>3175</v>
      </c>
      <c r="C855" s="1" t="s">
        <v>3176</v>
      </c>
      <c r="D855" s="1" t="s">
        <v>3279</v>
      </c>
      <c r="E855" s="1" t="s">
        <v>3279</v>
      </c>
      <c r="F855" s="1" t="s">
        <v>3280</v>
      </c>
      <c r="G855" s="1" t="s">
        <v>3281</v>
      </c>
      <c r="H855" s="1" t="s">
        <v>4626</v>
      </c>
      <c r="I855" s="18" t="s">
        <v>4783</v>
      </c>
      <c r="J855" s="18" t="s">
        <v>5132</v>
      </c>
      <c r="K855" s="18" t="s">
        <v>4795</v>
      </c>
      <c r="L855" s="18" t="s">
        <v>4734</v>
      </c>
      <c r="M855" s="2">
        <v>4000000</v>
      </c>
      <c r="N855" s="2">
        <v>5000000</v>
      </c>
      <c r="O855" s="2"/>
      <c r="P855" s="2">
        <f t="shared" si="52"/>
        <v>1000000</v>
      </c>
      <c r="Q855" s="2">
        <v>5000000</v>
      </c>
      <c r="R855" s="2"/>
      <c r="S855" s="48">
        <v>46023</v>
      </c>
      <c r="T855" s="2">
        <v>24000000</v>
      </c>
      <c r="U855" s="2">
        <v>0</v>
      </c>
      <c r="V855" s="1" t="s">
        <v>3281</v>
      </c>
      <c r="W855" s="6" t="s">
        <v>3282</v>
      </c>
      <c r="X855" s="1" t="s">
        <v>3257</v>
      </c>
      <c r="Y855" s="3"/>
      <c r="Z855" s="3"/>
      <c r="AA855" s="3"/>
      <c r="AB855" s="3"/>
      <c r="AC855" s="3"/>
      <c r="AD855" s="3"/>
      <c r="AE855" s="3">
        <v>4000000</v>
      </c>
      <c r="AF855" s="3">
        <v>4000000</v>
      </c>
      <c r="AG855" s="3">
        <v>4000000</v>
      </c>
      <c r="AH855" s="3">
        <v>4000000</v>
      </c>
      <c r="AI855" s="3">
        <v>4000000</v>
      </c>
      <c r="AJ855" s="3">
        <v>4000000</v>
      </c>
      <c r="AK855" s="3">
        <v>5000000</v>
      </c>
      <c r="AL855" s="3">
        <v>5000000</v>
      </c>
      <c r="AM855" s="3">
        <v>5000000</v>
      </c>
      <c r="AN855" s="3">
        <v>5000000</v>
      </c>
      <c r="AO855" s="3">
        <v>5000000</v>
      </c>
      <c r="AP855" s="3">
        <v>5000000</v>
      </c>
      <c r="AQ855" s="3">
        <v>5000000</v>
      </c>
      <c r="AR855" s="3">
        <v>5000000</v>
      </c>
      <c r="AS855" s="3">
        <v>5000000</v>
      </c>
      <c r="AT855" s="3">
        <v>5000000</v>
      </c>
      <c r="AU855" s="3">
        <v>5000000</v>
      </c>
      <c r="AV855" s="3">
        <v>5000000</v>
      </c>
      <c r="AW855" s="3">
        <f t="shared" si="53"/>
        <v>24000000</v>
      </c>
      <c r="AX855" s="3">
        <f t="shared" si="54"/>
        <v>60000000</v>
      </c>
      <c r="AY855" s="4">
        <f t="shared" si="55"/>
        <v>18</v>
      </c>
      <c r="AZ855" s="8" t="s">
        <v>5610</v>
      </c>
      <c r="BA855" s="4" t="s">
        <v>5709</v>
      </c>
      <c r="BB855" s="2"/>
      <c r="BC855" s="3"/>
      <c r="BD855" s="3"/>
    </row>
    <row r="856" spans="1:56" ht="16.8" customHeight="1">
      <c r="A856" s="1">
        <v>855</v>
      </c>
      <c r="B856" s="1" t="s">
        <v>3175</v>
      </c>
      <c r="C856" s="1" t="s">
        <v>3176</v>
      </c>
      <c r="D856" s="1" t="s">
        <v>3283</v>
      </c>
      <c r="E856" s="1" t="s">
        <v>3283</v>
      </c>
      <c r="F856" s="1" t="s">
        <v>3284</v>
      </c>
      <c r="G856" s="1" t="s">
        <v>3285</v>
      </c>
      <c r="H856" s="1" t="s">
        <v>4627</v>
      </c>
      <c r="I856" s="18" t="s">
        <v>4783</v>
      </c>
      <c r="J856" s="18" t="s">
        <v>5132</v>
      </c>
      <c r="K856" s="18" t="s">
        <v>4752</v>
      </c>
      <c r="L856" s="18" t="s">
        <v>4734</v>
      </c>
      <c r="M856" s="2">
        <v>3500000</v>
      </c>
      <c r="N856" s="2">
        <v>3500000</v>
      </c>
      <c r="O856" s="2"/>
      <c r="P856" s="2" t="str">
        <f t="shared" si="52"/>
        <v/>
      </c>
      <c r="Q856" s="2"/>
      <c r="R856" s="2"/>
      <c r="S856" s="48"/>
      <c r="T856" s="2">
        <v>21000000</v>
      </c>
      <c r="U856" s="2">
        <v>0</v>
      </c>
      <c r="V856" s="1" t="s">
        <v>3286</v>
      </c>
      <c r="W856" s="6" t="s">
        <v>3287</v>
      </c>
      <c r="X856" s="1" t="s">
        <v>3288</v>
      </c>
      <c r="Y856" s="3"/>
      <c r="Z856" s="3"/>
      <c r="AA856" s="3"/>
      <c r="AB856" s="3"/>
      <c r="AC856" s="3"/>
      <c r="AD856" s="3"/>
      <c r="AE856" s="3">
        <v>3500000</v>
      </c>
      <c r="AF856" s="3">
        <v>3500000</v>
      </c>
      <c r="AG856" s="3">
        <v>3500000</v>
      </c>
      <c r="AH856" s="3">
        <v>3500000</v>
      </c>
      <c r="AI856" s="3">
        <v>3500000</v>
      </c>
      <c r="AJ856" s="3">
        <v>3500000</v>
      </c>
      <c r="AK856" s="3">
        <v>3500000</v>
      </c>
      <c r="AL856" s="3">
        <v>3500000</v>
      </c>
      <c r="AM856" s="3">
        <v>3500000</v>
      </c>
      <c r="AN856" s="3">
        <v>3500000</v>
      </c>
      <c r="AO856" s="3">
        <v>3500000</v>
      </c>
      <c r="AP856" s="3">
        <v>3500000</v>
      </c>
      <c r="AQ856" s="3">
        <v>3500000</v>
      </c>
      <c r="AR856" s="3">
        <v>3500000</v>
      </c>
      <c r="AS856" s="3">
        <v>3500000</v>
      </c>
      <c r="AT856" s="3">
        <v>3500000</v>
      </c>
      <c r="AU856" s="3">
        <v>3500000</v>
      </c>
      <c r="AV856" s="3">
        <v>3500000</v>
      </c>
      <c r="AW856" s="3">
        <f t="shared" si="53"/>
        <v>21000000</v>
      </c>
      <c r="AX856" s="3">
        <f t="shared" si="54"/>
        <v>42000000</v>
      </c>
      <c r="AY856" s="4">
        <f t="shared" si="55"/>
        <v>18</v>
      </c>
      <c r="AZ856" s="8">
        <v>0</v>
      </c>
      <c r="BA856" s="4" t="s">
        <v>5709</v>
      </c>
      <c r="BB856" s="2"/>
      <c r="BC856" s="3"/>
      <c r="BD856" s="3"/>
    </row>
    <row r="857" spans="1:56" ht="16.8" customHeight="1">
      <c r="A857" s="1">
        <v>856</v>
      </c>
      <c r="B857" s="1" t="s">
        <v>3175</v>
      </c>
      <c r="C857" s="1" t="s">
        <v>3176</v>
      </c>
      <c r="D857" s="1" t="s">
        <v>3289</v>
      </c>
      <c r="E857" s="1" t="s">
        <v>3289</v>
      </c>
      <c r="F857" s="1" t="s">
        <v>3290</v>
      </c>
      <c r="G857" s="1" t="s">
        <v>3291</v>
      </c>
      <c r="H857" s="1" t="s">
        <v>4628</v>
      </c>
      <c r="I857" s="18" t="s">
        <v>4783</v>
      </c>
      <c r="J857" s="18" t="s">
        <v>5074</v>
      </c>
      <c r="K857" s="18" t="s">
        <v>4742</v>
      </c>
      <c r="L857" s="18" t="s">
        <v>4734</v>
      </c>
      <c r="M857" s="2">
        <v>500000</v>
      </c>
      <c r="N857" s="2">
        <v>500000</v>
      </c>
      <c r="O857" s="2"/>
      <c r="P857" s="2" t="str">
        <f t="shared" si="52"/>
        <v/>
      </c>
      <c r="Q857" s="2"/>
      <c r="R857" s="2"/>
      <c r="S857" s="48"/>
      <c r="T857" s="2">
        <v>0</v>
      </c>
      <c r="U857" s="2">
        <v>0</v>
      </c>
      <c r="V857" s="1" t="s">
        <v>3291</v>
      </c>
      <c r="W857" s="6" t="s">
        <v>3292</v>
      </c>
      <c r="X857" s="1" t="s">
        <v>1422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>
        <f t="shared" si="53"/>
        <v>0</v>
      </c>
      <c r="AX857" s="3">
        <f t="shared" si="54"/>
        <v>0</v>
      </c>
      <c r="AY857" s="4">
        <f t="shared" si="55"/>
        <v>0</v>
      </c>
      <c r="AZ857" s="8">
        <v>0</v>
      </c>
      <c r="BA857" s="4" t="s">
        <v>5726</v>
      </c>
      <c r="BB857" s="2"/>
      <c r="BC857" s="3"/>
      <c r="BD857" s="4"/>
    </row>
    <row r="858" spans="1:56" ht="16.8" customHeight="1">
      <c r="A858" s="1">
        <v>857</v>
      </c>
      <c r="B858" s="1" t="s">
        <v>3175</v>
      </c>
      <c r="C858" s="1" t="s">
        <v>3176</v>
      </c>
      <c r="D858" s="1" t="s">
        <v>3293</v>
      </c>
      <c r="E858" s="1" t="s">
        <v>3293</v>
      </c>
      <c r="F858" s="1" t="s">
        <v>3294</v>
      </c>
      <c r="G858" s="1" t="s">
        <v>3295</v>
      </c>
      <c r="H858" s="1" t="s">
        <v>5293</v>
      </c>
      <c r="I858" s="18" t="s">
        <v>4783</v>
      </c>
      <c r="J858" s="18" t="s">
        <v>5132</v>
      </c>
      <c r="K858" s="18" t="s">
        <v>4752</v>
      </c>
      <c r="L858" s="18" t="s">
        <v>4734</v>
      </c>
      <c r="M858" s="2">
        <v>3000000</v>
      </c>
      <c r="N858" s="2">
        <v>3000000</v>
      </c>
      <c r="O858" s="2"/>
      <c r="P858" s="2" t="str">
        <f t="shared" si="52"/>
        <v/>
      </c>
      <c r="Q858" s="2"/>
      <c r="R858" s="2"/>
      <c r="S858" s="48"/>
      <c r="T858" s="2">
        <v>18000000</v>
      </c>
      <c r="U858" s="2">
        <v>0</v>
      </c>
      <c r="V858" s="1"/>
      <c r="W858" s="6"/>
      <c r="X858" s="1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>
        <f t="shared" si="53"/>
        <v>0</v>
      </c>
      <c r="AX858" s="3">
        <f t="shared" si="54"/>
        <v>0</v>
      </c>
      <c r="AY858" s="4">
        <f t="shared" si="55"/>
        <v>0</v>
      </c>
      <c r="AZ858" s="8">
        <v>0</v>
      </c>
      <c r="BA858" s="4" t="s">
        <v>5726</v>
      </c>
      <c r="BB858" s="2"/>
      <c r="BC858" s="3"/>
      <c r="BD858" s="4"/>
    </row>
    <row r="859" spans="1:56" ht="16.8" customHeight="1">
      <c r="A859" s="1">
        <v>858</v>
      </c>
      <c r="B859" s="1" t="s">
        <v>3175</v>
      </c>
      <c r="C859" s="1" t="s">
        <v>3176</v>
      </c>
      <c r="D859" s="1" t="s">
        <v>3296</v>
      </c>
      <c r="E859" s="1" t="s">
        <v>3296</v>
      </c>
      <c r="F859" s="1" t="s">
        <v>3297</v>
      </c>
      <c r="G859" s="1" t="s">
        <v>3298</v>
      </c>
      <c r="H859" s="1" t="s">
        <v>5043</v>
      </c>
      <c r="I859" s="18"/>
      <c r="J859" s="18"/>
      <c r="K859" s="18"/>
      <c r="L859" s="18"/>
      <c r="M859" s="2">
        <v>3000000</v>
      </c>
      <c r="N859" s="2">
        <v>3000000</v>
      </c>
      <c r="O859" s="2"/>
      <c r="P859" s="2" t="str">
        <f t="shared" si="52"/>
        <v/>
      </c>
      <c r="Q859" s="2"/>
      <c r="R859" s="2"/>
      <c r="S859" s="48"/>
      <c r="T859" s="2">
        <v>0</v>
      </c>
      <c r="U859" s="2">
        <v>18000000</v>
      </c>
      <c r="V859" s="1"/>
      <c r="W859" s="6"/>
      <c r="X859" s="1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>
        <f t="shared" si="53"/>
        <v>0</v>
      </c>
      <c r="AX859" s="3">
        <f t="shared" si="54"/>
        <v>0</v>
      </c>
      <c r="AY859" s="4">
        <f t="shared" si="55"/>
        <v>0</v>
      </c>
      <c r="BA859" s="4" t="s">
        <v>5726</v>
      </c>
      <c r="BB859" s="2"/>
      <c r="BC859" s="3"/>
      <c r="BD859" s="4"/>
    </row>
    <row r="860" spans="1:56" ht="16.8" customHeight="1">
      <c r="A860" s="1">
        <v>859</v>
      </c>
      <c r="B860" s="1" t="s">
        <v>3175</v>
      </c>
      <c r="C860" s="1" t="s">
        <v>3176</v>
      </c>
      <c r="D860" s="1" t="s">
        <v>3289</v>
      </c>
      <c r="E860" s="1" t="s">
        <v>3289</v>
      </c>
      <c r="F860" s="1" t="s">
        <v>3290</v>
      </c>
      <c r="G860" s="1" t="s">
        <v>3299</v>
      </c>
      <c r="H860" s="1" t="s">
        <v>4628</v>
      </c>
      <c r="I860" s="18" t="s">
        <v>4783</v>
      </c>
      <c r="J860" s="18" t="s">
        <v>5074</v>
      </c>
      <c r="K860" s="18" t="s">
        <v>4742</v>
      </c>
      <c r="L860" s="18" t="s">
        <v>4734</v>
      </c>
      <c r="M860" s="2">
        <v>500000</v>
      </c>
      <c r="N860" s="2">
        <v>500000</v>
      </c>
      <c r="O860" s="2"/>
      <c r="P860" s="2" t="str">
        <f t="shared" si="52"/>
        <v/>
      </c>
      <c r="Q860" s="2"/>
      <c r="R860" s="2"/>
      <c r="S860" s="48"/>
      <c r="T860" s="2">
        <v>6000000</v>
      </c>
      <c r="U860" s="2">
        <v>0</v>
      </c>
      <c r="V860" s="1"/>
      <c r="W860" s="6"/>
      <c r="X860" s="1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>
        <f t="shared" si="53"/>
        <v>0</v>
      </c>
      <c r="AX860" s="3">
        <f t="shared" si="54"/>
        <v>0</v>
      </c>
      <c r="AY860" s="4">
        <f t="shared" si="55"/>
        <v>0</v>
      </c>
      <c r="AZ860" s="8">
        <v>0</v>
      </c>
      <c r="BA860" s="4" t="s">
        <v>5726</v>
      </c>
      <c r="BB860" s="2"/>
      <c r="BC860" s="3"/>
      <c r="BD860" s="4"/>
    </row>
    <row r="861" spans="1:56" ht="16.8" customHeight="1">
      <c r="A861" s="1">
        <v>860</v>
      </c>
      <c r="B861" s="1" t="s">
        <v>3175</v>
      </c>
      <c r="C861" s="1" t="s">
        <v>3176</v>
      </c>
      <c r="D861" s="1" t="s">
        <v>3300</v>
      </c>
      <c r="E861" s="1" t="s">
        <v>3300</v>
      </c>
      <c r="F861" s="1" t="s">
        <v>3301</v>
      </c>
      <c r="G861" s="1" t="s">
        <v>3302</v>
      </c>
      <c r="H861" s="1" t="s">
        <v>4629</v>
      </c>
      <c r="I861" s="18" t="s">
        <v>4783</v>
      </c>
      <c r="J861" s="18" t="s">
        <v>5074</v>
      </c>
      <c r="K861" s="18" t="s">
        <v>4748</v>
      </c>
      <c r="L861" s="18" t="s">
        <v>4734</v>
      </c>
      <c r="M861" s="2">
        <v>1000000</v>
      </c>
      <c r="N861" s="2">
        <v>1000000</v>
      </c>
      <c r="O861" s="2"/>
      <c r="P861" s="2" t="str">
        <f t="shared" si="52"/>
        <v/>
      </c>
      <c r="Q861" s="2"/>
      <c r="R861" s="2"/>
      <c r="S861" s="48"/>
      <c r="T861" s="2">
        <v>12000000</v>
      </c>
      <c r="U861" s="2">
        <v>7200000</v>
      </c>
      <c r="V861" s="1" t="s">
        <v>3303</v>
      </c>
      <c r="W861" s="6" t="s">
        <v>3304</v>
      </c>
      <c r="X861" s="1" t="s">
        <v>3305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>
        <f t="shared" si="53"/>
        <v>0</v>
      </c>
      <c r="AX861" s="3">
        <f t="shared" si="54"/>
        <v>0</v>
      </c>
      <c r="AY861" s="4">
        <f t="shared" si="55"/>
        <v>0</v>
      </c>
      <c r="AZ861" s="8">
        <v>0</v>
      </c>
      <c r="BA861" s="4" t="s">
        <v>5726</v>
      </c>
      <c r="BB861" s="2"/>
      <c r="BC861" s="3"/>
      <c r="BD861" s="4"/>
    </row>
    <row r="862" spans="1:56" ht="16.8" customHeight="1">
      <c r="A862" s="1">
        <v>861</v>
      </c>
      <c r="B862" s="1" t="s">
        <v>3175</v>
      </c>
      <c r="C862" s="1" t="s">
        <v>3176</v>
      </c>
      <c r="D862" s="1" t="s">
        <v>3306</v>
      </c>
      <c r="E862" s="1" t="s">
        <v>3306</v>
      </c>
      <c r="F862" s="1" t="s">
        <v>3307</v>
      </c>
      <c r="G862" s="1" t="s">
        <v>3308</v>
      </c>
      <c r="H862" s="1" t="s">
        <v>5294</v>
      </c>
      <c r="I862" s="18" t="s">
        <v>4783</v>
      </c>
      <c r="J862" s="18" t="s">
        <v>5132</v>
      </c>
      <c r="K862" s="18" t="s">
        <v>4742</v>
      </c>
      <c r="L862" s="18" t="s">
        <v>4734</v>
      </c>
      <c r="M862" s="2">
        <v>3500000</v>
      </c>
      <c r="N862" s="2">
        <v>3500000</v>
      </c>
      <c r="O862" s="2"/>
      <c r="P862" s="2" t="str">
        <f t="shared" si="52"/>
        <v/>
      </c>
      <c r="Q862" s="2"/>
      <c r="R862" s="2"/>
      <c r="S862" s="48"/>
      <c r="T862" s="2">
        <v>21000000</v>
      </c>
      <c r="U862" s="2">
        <v>0</v>
      </c>
      <c r="V862" s="1" t="s">
        <v>3308</v>
      </c>
      <c r="W862" s="6" t="s">
        <v>3309</v>
      </c>
      <c r="X862" s="1" t="s">
        <v>3310</v>
      </c>
      <c r="Y862" s="3"/>
      <c r="Z862" s="3"/>
      <c r="AA862" s="3"/>
      <c r="AB862" s="3"/>
      <c r="AC862" s="3"/>
      <c r="AD862" s="3"/>
      <c r="AE862" s="3">
        <v>3500000</v>
      </c>
      <c r="AF862" s="3">
        <v>3500000</v>
      </c>
      <c r="AG862" s="3">
        <v>3500000</v>
      </c>
      <c r="AH862" s="3">
        <v>3500000</v>
      </c>
      <c r="AI862" s="3">
        <v>3500000</v>
      </c>
      <c r="AJ862" s="3">
        <v>3500000</v>
      </c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>
        <f t="shared" si="53"/>
        <v>21000000</v>
      </c>
      <c r="AX862" s="3">
        <f t="shared" si="54"/>
        <v>0</v>
      </c>
      <c r="AY862" s="4">
        <f t="shared" si="55"/>
        <v>6</v>
      </c>
      <c r="BA862" s="4" t="s">
        <v>5726</v>
      </c>
      <c r="BB862" s="2"/>
      <c r="BC862" s="3"/>
      <c r="BD862" s="4"/>
    </row>
    <row r="863" spans="1:56" ht="16.8" customHeight="1">
      <c r="A863" s="1">
        <v>862</v>
      </c>
      <c r="B863" s="1" t="s">
        <v>3175</v>
      </c>
      <c r="C863" s="1" t="s">
        <v>3176</v>
      </c>
      <c r="D863" s="1" t="s">
        <v>3311</v>
      </c>
      <c r="E863" s="1" t="s">
        <v>3311</v>
      </c>
      <c r="F863" s="1" t="s">
        <v>3312</v>
      </c>
      <c r="G863" s="1" t="s">
        <v>3313</v>
      </c>
      <c r="H863" s="1" t="s">
        <v>4630</v>
      </c>
      <c r="I863" s="18" t="s">
        <v>4783</v>
      </c>
      <c r="J863" s="18" t="s">
        <v>5074</v>
      </c>
      <c r="K863" s="18" t="s">
        <v>4742</v>
      </c>
      <c r="L863" s="18" t="s">
        <v>4734</v>
      </c>
      <c r="M863" s="2">
        <v>1350000</v>
      </c>
      <c r="N863" s="2">
        <v>1350000</v>
      </c>
      <c r="O863" s="2"/>
      <c r="P863" s="2" t="str">
        <f t="shared" si="52"/>
        <v/>
      </c>
      <c r="Q863" s="2"/>
      <c r="R863" s="2"/>
      <c r="S863" s="48"/>
      <c r="T863" s="2">
        <v>16200000</v>
      </c>
      <c r="U863" s="2">
        <v>0</v>
      </c>
      <c r="V863" s="1" t="s">
        <v>3313</v>
      </c>
      <c r="W863" s="6" t="s">
        <v>3314</v>
      </c>
      <c r="X863" s="1" t="s">
        <v>3315</v>
      </c>
      <c r="Y863" s="3">
        <v>1350000</v>
      </c>
      <c r="Z863" s="3">
        <v>1350000</v>
      </c>
      <c r="AA863" s="3">
        <v>1350000</v>
      </c>
      <c r="AB863" s="3">
        <v>1350000</v>
      </c>
      <c r="AC863" s="3">
        <v>1350000</v>
      </c>
      <c r="AD863" s="3">
        <v>1350000</v>
      </c>
      <c r="AE863" s="3">
        <v>1350000</v>
      </c>
      <c r="AF863" s="3">
        <v>1350000</v>
      </c>
      <c r="AG863" s="3">
        <v>1350000</v>
      </c>
      <c r="AH863" s="3">
        <v>1350000</v>
      </c>
      <c r="AI863" s="3">
        <v>1350000</v>
      </c>
      <c r="AJ863" s="3">
        <v>1350000</v>
      </c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>
        <f t="shared" si="53"/>
        <v>16200000</v>
      </c>
      <c r="AX863" s="3">
        <f t="shared" si="54"/>
        <v>0</v>
      </c>
      <c r="AY863" s="4">
        <f t="shared" si="55"/>
        <v>12</v>
      </c>
      <c r="BA863" s="4" t="s">
        <v>5726</v>
      </c>
      <c r="BB863" s="2"/>
      <c r="BC863" s="3"/>
      <c r="BD863" s="4"/>
    </row>
    <row r="864" spans="1:56" ht="16.8" customHeight="1">
      <c r="A864" s="1">
        <v>863</v>
      </c>
      <c r="B864" s="1" t="s">
        <v>3175</v>
      </c>
      <c r="C864" s="1" t="s">
        <v>3176</v>
      </c>
      <c r="D864" s="1" t="s">
        <v>3316</v>
      </c>
      <c r="E864" s="1" t="s">
        <v>3316</v>
      </c>
      <c r="F864" s="1" t="s">
        <v>3317</v>
      </c>
      <c r="G864" s="1" t="s">
        <v>3318</v>
      </c>
      <c r="H864" s="1" t="s">
        <v>5011</v>
      </c>
      <c r="I864" s="18" t="s">
        <v>4783</v>
      </c>
      <c r="J864" s="18" t="s">
        <v>5018</v>
      </c>
      <c r="K864" s="18" t="s">
        <v>4742</v>
      </c>
      <c r="L864" s="18" t="s">
        <v>4734</v>
      </c>
      <c r="M864" s="2">
        <v>1550000</v>
      </c>
      <c r="N864" s="2">
        <v>1800000</v>
      </c>
      <c r="O864" s="2">
        <v>1800000</v>
      </c>
      <c r="P864" s="2">
        <f t="shared" si="52"/>
        <v>250000</v>
      </c>
      <c r="Q864" s="2"/>
      <c r="R864" s="2"/>
      <c r="S864" s="48"/>
      <c r="T864" s="2">
        <v>0</v>
      </c>
      <c r="U864" s="2">
        <v>0</v>
      </c>
      <c r="V864" s="1" t="s">
        <v>3318</v>
      </c>
      <c r="W864" s="6" t="s">
        <v>3319</v>
      </c>
      <c r="X864" s="1" t="s">
        <v>115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>
        <v>1800000</v>
      </c>
      <c r="AL864" s="3">
        <v>1800000</v>
      </c>
      <c r="AM864" s="3">
        <v>1800000</v>
      </c>
      <c r="AN864" s="3">
        <v>1800000</v>
      </c>
      <c r="AO864" s="3">
        <v>1800000</v>
      </c>
      <c r="AP864" s="3">
        <v>1800000</v>
      </c>
      <c r="AQ864" s="3">
        <v>1800000</v>
      </c>
      <c r="AR864" s="3">
        <v>1800000</v>
      </c>
      <c r="AS864" s="3">
        <v>1800000</v>
      </c>
      <c r="AT864" s="3">
        <v>1800000</v>
      </c>
      <c r="AU864" s="3">
        <v>1800000</v>
      </c>
      <c r="AV864" s="3">
        <v>1800000</v>
      </c>
      <c r="AW864" s="3">
        <f t="shared" si="53"/>
        <v>0</v>
      </c>
      <c r="AX864" s="3">
        <f t="shared" si="54"/>
        <v>21600000</v>
      </c>
      <c r="AY864" s="4">
        <f t="shared" si="55"/>
        <v>12</v>
      </c>
      <c r="AZ864" s="8" t="s">
        <v>5528</v>
      </c>
      <c r="BA864" s="4" t="s">
        <v>5726</v>
      </c>
      <c r="BB864" s="2"/>
      <c r="BC864" s="3"/>
      <c r="BD864" s="3"/>
    </row>
    <row r="865" spans="1:56" ht="16.8" customHeight="1">
      <c r="A865" s="1">
        <v>864</v>
      </c>
      <c r="B865" s="1" t="s">
        <v>3175</v>
      </c>
      <c r="C865" s="1" t="s">
        <v>3176</v>
      </c>
      <c r="D865" s="1" t="s">
        <v>3320</v>
      </c>
      <c r="E865" s="1" t="s">
        <v>3320</v>
      </c>
      <c r="F865" s="1" t="s">
        <v>3321</v>
      </c>
      <c r="G865" s="1" t="s">
        <v>3322</v>
      </c>
      <c r="H865" s="1" t="s">
        <v>5043</v>
      </c>
      <c r="I865" s="18"/>
      <c r="J865" s="18"/>
      <c r="K865" s="18"/>
      <c r="L865" s="18"/>
      <c r="M865" s="2">
        <v>3500000</v>
      </c>
      <c r="N865" s="2">
        <v>3500000</v>
      </c>
      <c r="O865" s="2"/>
      <c r="P865" s="2" t="str">
        <f t="shared" si="52"/>
        <v/>
      </c>
      <c r="Q865" s="2"/>
      <c r="R865" s="2"/>
      <c r="S865" s="48"/>
      <c r="T865" s="2">
        <v>0</v>
      </c>
      <c r="U865" s="2">
        <v>21000000</v>
      </c>
      <c r="V865" s="1"/>
      <c r="W865" s="6"/>
      <c r="X865" s="1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>
        <f t="shared" si="53"/>
        <v>0</v>
      </c>
      <c r="AX865" s="3">
        <f t="shared" si="54"/>
        <v>0</v>
      </c>
      <c r="AY865" s="4">
        <f t="shared" si="55"/>
        <v>0</v>
      </c>
      <c r="BA865" s="4" t="s">
        <v>5726</v>
      </c>
      <c r="BB865" s="2"/>
      <c r="BC865" s="3"/>
      <c r="BD865" s="4"/>
    </row>
    <row r="866" spans="1:56" ht="16.8" customHeight="1">
      <c r="A866" s="1">
        <v>865</v>
      </c>
      <c r="B866" s="1" t="s">
        <v>3175</v>
      </c>
      <c r="C866" s="1" t="s">
        <v>3176</v>
      </c>
      <c r="D866" s="1" t="s">
        <v>3323</v>
      </c>
      <c r="E866" s="1" t="s">
        <v>3323</v>
      </c>
      <c r="F866" s="1" t="s">
        <v>3324</v>
      </c>
      <c r="G866" s="1" t="s">
        <v>3325</v>
      </c>
      <c r="H866" s="1" t="s">
        <v>5295</v>
      </c>
      <c r="I866" s="18" t="s">
        <v>4783</v>
      </c>
      <c r="J866" s="18" t="s">
        <v>5132</v>
      </c>
      <c r="K866" s="18" t="s">
        <v>4752</v>
      </c>
      <c r="L866" s="18" t="s">
        <v>4734</v>
      </c>
      <c r="M866" s="2">
        <v>3000000</v>
      </c>
      <c r="N866" s="2">
        <v>5000000</v>
      </c>
      <c r="O866" s="2"/>
      <c r="P866" s="2">
        <f t="shared" si="52"/>
        <v>2000000</v>
      </c>
      <c r="Q866" s="2"/>
      <c r="R866" s="2"/>
      <c r="S866" s="48"/>
      <c r="T866" s="2">
        <v>30000000</v>
      </c>
      <c r="U866" s="2">
        <v>-6000000</v>
      </c>
      <c r="V866" s="1"/>
      <c r="W866" s="6"/>
      <c r="X866" s="1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>
        <f t="shared" si="53"/>
        <v>0</v>
      </c>
      <c r="AX866" s="3">
        <f t="shared" si="54"/>
        <v>0</v>
      </c>
      <c r="AY866" s="4">
        <f t="shared" si="55"/>
        <v>0</v>
      </c>
      <c r="AZ866" s="8">
        <v>0</v>
      </c>
      <c r="BA866" s="4" t="s">
        <v>5726</v>
      </c>
      <c r="BB866" s="2"/>
      <c r="BC866" s="3"/>
      <c r="BD866" s="4"/>
    </row>
    <row r="867" spans="1:56" ht="16.8" customHeight="1">
      <c r="A867" s="1">
        <v>866</v>
      </c>
      <c r="B867" s="1" t="s">
        <v>3175</v>
      </c>
      <c r="C867" s="1" t="s">
        <v>3176</v>
      </c>
      <c r="D867" s="1" t="s">
        <v>3326</v>
      </c>
      <c r="E867" s="1" t="s">
        <v>3326</v>
      </c>
      <c r="F867" s="1" t="s">
        <v>3327</v>
      </c>
      <c r="G867" s="1" t="s">
        <v>3328</v>
      </c>
      <c r="H867" s="1" t="s">
        <v>5296</v>
      </c>
      <c r="I867" s="18" t="s">
        <v>4783</v>
      </c>
      <c r="J867" s="18" t="s">
        <v>5074</v>
      </c>
      <c r="K867" s="18" t="s">
        <v>4787</v>
      </c>
      <c r="L867" s="18" t="s">
        <v>4734</v>
      </c>
      <c r="M867" s="2">
        <v>3500000</v>
      </c>
      <c r="N867" s="2">
        <v>3500000</v>
      </c>
      <c r="O867" s="2"/>
      <c r="P867" s="2" t="str">
        <f t="shared" si="52"/>
        <v/>
      </c>
      <c r="Q867" s="2"/>
      <c r="R867" s="2"/>
      <c r="S867" s="48"/>
      <c r="T867" s="2">
        <v>0</v>
      </c>
      <c r="U867" s="2">
        <v>21000000</v>
      </c>
      <c r="V867" s="1" t="s">
        <v>3328</v>
      </c>
      <c r="W867" s="6" t="s">
        <v>3329</v>
      </c>
      <c r="X867" s="1" t="s">
        <v>3330</v>
      </c>
      <c r="Y867" s="3"/>
      <c r="Z867" s="3"/>
      <c r="AA867" s="3"/>
      <c r="AB867" s="3"/>
      <c r="AC867" s="3"/>
      <c r="AD867" s="3"/>
      <c r="AE867" s="3">
        <v>3500000</v>
      </c>
      <c r="AF867" s="3">
        <v>3500000</v>
      </c>
      <c r="AG867" s="3">
        <v>3500000</v>
      </c>
      <c r="AH867" s="3">
        <v>3500000</v>
      </c>
      <c r="AI867" s="3">
        <v>3500000</v>
      </c>
      <c r="AJ867" s="3">
        <v>3500000</v>
      </c>
      <c r="AK867" s="3">
        <v>3500000</v>
      </c>
      <c r="AL867" s="3">
        <v>3500000</v>
      </c>
      <c r="AM867" s="3">
        <v>3500000</v>
      </c>
      <c r="AN867" s="3">
        <v>3500000</v>
      </c>
      <c r="AO867" s="3">
        <v>3500000</v>
      </c>
      <c r="AP867" s="3">
        <v>3500000</v>
      </c>
      <c r="AQ867" s="3"/>
      <c r="AR867" s="3"/>
      <c r="AS867" s="3"/>
      <c r="AT867" s="3"/>
      <c r="AU867" s="3"/>
      <c r="AV867" s="3"/>
      <c r="AW867" s="3">
        <f t="shared" si="53"/>
        <v>21000000</v>
      </c>
      <c r="AX867" s="3">
        <f t="shared" si="54"/>
        <v>21000000</v>
      </c>
      <c r="AY867" s="4">
        <f t="shared" si="55"/>
        <v>12</v>
      </c>
      <c r="AZ867" s="8">
        <v>0</v>
      </c>
      <c r="BA867" s="4" t="s">
        <v>5726</v>
      </c>
      <c r="BB867" s="2"/>
      <c r="BC867" s="3"/>
      <c r="BD867" s="3"/>
    </row>
    <row r="868" spans="1:56" ht="16.8" customHeight="1">
      <c r="A868" s="1">
        <v>867</v>
      </c>
      <c r="B868" s="1" t="s">
        <v>3175</v>
      </c>
      <c r="C868" s="1" t="s">
        <v>3176</v>
      </c>
      <c r="D868" s="1" t="s">
        <v>3331</v>
      </c>
      <c r="E868" s="1" t="s">
        <v>3331</v>
      </c>
      <c r="F868" s="1" t="s">
        <v>3332</v>
      </c>
      <c r="G868" s="1" t="s">
        <v>3333</v>
      </c>
      <c r="H868" s="1" t="s">
        <v>5043</v>
      </c>
      <c r="I868" s="18"/>
      <c r="J868" s="18"/>
      <c r="K868" s="18"/>
      <c r="L868" s="18"/>
      <c r="M868" s="2">
        <v>3500000</v>
      </c>
      <c r="N868" s="2">
        <v>3500000</v>
      </c>
      <c r="O868" s="2"/>
      <c r="P868" s="2" t="str">
        <f t="shared" si="52"/>
        <v/>
      </c>
      <c r="Q868" s="2"/>
      <c r="R868" s="2"/>
      <c r="S868" s="48"/>
      <c r="T868" s="2">
        <v>0</v>
      </c>
      <c r="U868" s="2">
        <v>42000000</v>
      </c>
      <c r="V868" s="1"/>
      <c r="W868" s="6"/>
      <c r="X868" s="1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>
        <f t="shared" si="53"/>
        <v>0</v>
      </c>
      <c r="AX868" s="3">
        <f t="shared" si="54"/>
        <v>0</v>
      </c>
      <c r="AY868" s="4">
        <f t="shared" si="55"/>
        <v>0</v>
      </c>
      <c r="BA868" s="4" t="s">
        <v>5726</v>
      </c>
      <c r="BB868" s="2"/>
      <c r="BC868" s="3"/>
      <c r="BD868" s="4"/>
    </row>
    <row r="869" spans="1:56" ht="16.8" customHeight="1">
      <c r="A869" s="1">
        <v>868</v>
      </c>
      <c r="B869" s="1" t="s">
        <v>3175</v>
      </c>
      <c r="C869" s="1" t="s">
        <v>3176</v>
      </c>
      <c r="D869" s="1" t="s">
        <v>3334</v>
      </c>
      <c r="E869" s="1" t="s">
        <v>3334</v>
      </c>
      <c r="F869" s="1" t="s">
        <v>3335</v>
      </c>
      <c r="G869" s="1" t="s">
        <v>3336</v>
      </c>
      <c r="H869" s="1" t="s">
        <v>5043</v>
      </c>
      <c r="I869" s="18"/>
      <c r="J869" s="18"/>
      <c r="K869" s="18"/>
      <c r="L869" s="18"/>
      <c r="M869" s="2">
        <v>2000000</v>
      </c>
      <c r="N869" s="2">
        <v>2000000</v>
      </c>
      <c r="O869" s="2"/>
      <c r="P869" s="2" t="str">
        <f t="shared" si="52"/>
        <v/>
      </c>
      <c r="Q869" s="2"/>
      <c r="R869" s="2"/>
      <c r="S869" s="48"/>
      <c r="T869" s="2">
        <v>0</v>
      </c>
      <c r="U869" s="2">
        <v>12000000</v>
      </c>
      <c r="V869" s="1"/>
      <c r="W869" s="6"/>
      <c r="X869" s="1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>
        <f t="shared" si="53"/>
        <v>0</v>
      </c>
      <c r="AX869" s="3">
        <f t="shared" si="54"/>
        <v>0</v>
      </c>
      <c r="AY869" s="4">
        <f t="shared" si="55"/>
        <v>0</v>
      </c>
      <c r="BA869" s="4" t="s">
        <v>5726</v>
      </c>
      <c r="BB869" s="2"/>
      <c r="BC869" s="3"/>
      <c r="BD869" s="4"/>
    </row>
    <row r="870" spans="1:56" ht="16.8" customHeight="1">
      <c r="A870" s="1">
        <v>869</v>
      </c>
      <c r="B870" s="1" t="s">
        <v>3175</v>
      </c>
      <c r="C870" s="1" t="s">
        <v>3176</v>
      </c>
      <c r="D870" s="1" t="s">
        <v>3337</v>
      </c>
      <c r="E870" s="1" t="s">
        <v>3337</v>
      </c>
      <c r="F870" s="1" t="s">
        <v>3338</v>
      </c>
      <c r="G870" s="1" t="s">
        <v>3339</v>
      </c>
      <c r="H870" s="1" t="s">
        <v>4631</v>
      </c>
      <c r="I870" s="18" t="s">
        <v>4783</v>
      </c>
      <c r="J870" s="18" t="s">
        <v>5132</v>
      </c>
      <c r="K870" s="18" t="s">
        <v>5297</v>
      </c>
      <c r="L870" s="18" t="s">
        <v>4734</v>
      </c>
      <c r="M870" s="2">
        <v>3000000</v>
      </c>
      <c r="N870" s="2">
        <v>3000000</v>
      </c>
      <c r="O870" s="2"/>
      <c r="P870" s="2" t="str">
        <f t="shared" si="52"/>
        <v/>
      </c>
      <c r="Q870" s="2"/>
      <c r="R870" s="2"/>
      <c r="S870" s="48"/>
      <c r="T870" s="2">
        <v>18000000</v>
      </c>
      <c r="U870" s="2">
        <v>0</v>
      </c>
      <c r="V870" s="1" t="s">
        <v>3339</v>
      </c>
      <c r="W870" s="6" t="s">
        <v>3340</v>
      </c>
      <c r="X870" s="1" t="s">
        <v>3257</v>
      </c>
      <c r="Y870" s="3"/>
      <c r="Z870" s="3"/>
      <c r="AA870" s="3"/>
      <c r="AB870" s="3"/>
      <c r="AC870" s="3"/>
      <c r="AD870" s="3"/>
      <c r="AE870" s="3">
        <v>3000000</v>
      </c>
      <c r="AF870" s="3">
        <v>3000000</v>
      </c>
      <c r="AG870" s="3">
        <v>3000000</v>
      </c>
      <c r="AH870" s="3">
        <v>3000000</v>
      </c>
      <c r="AI870" s="3">
        <v>3000000</v>
      </c>
      <c r="AJ870" s="3">
        <v>3000000</v>
      </c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>
        <f t="shared" si="53"/>
        <v>18000000</v>
      </c>
      <c r="AX870" s="3">
        <f t="shared" si="54"/>
        <v>0</v>
      </c>
      <c r="AY870" s="4">
        <f t="shared" si="55"/>
        <v>6</v>
      </c>
      <c r="AZ870" s="8" t="s">
        <v>5611</v>
      </c>
      <c r="BA870" s="4" t="s">
        <v>5726</v>
      </c>
      <c r="BB870" s="2"/>
      <c r="BC870" s="3"/>
      <c r="BD870" s="4"/>
    </row>
    <row r="871" spans="1:56" ht="16.8" customHeight="1">
      <c r="A871" s="1">
        <v>870</v>
      </c>
      <c r="B871" s="1" t="s">
        <v>3175</v>
      </c>
      <c r="C871" s="1" t="s">
        <v>3176</v>
      </c>
      <c r="D871" s="1" t="s">
        <v>3341</v>
      </c>
      <c r="E871" s="1" t="s">
        <v>3341</v>
      </c>
      <c r="F871" s="1" t="s">
        <v>3342</v>
      </c>
      <c r="G871" s="1" t="s">
        <v>3343</v>
      </c>
      <c r="H871" s="1" t="s">
        <v>4632</v>
      </c>
      <c r="I871" s="18" t="s">
        <v>4783</v>
      </c>
      <c r="J871" s="18" t="s">
        <v>5132</v>
      </c>
      <c r="K871" s="18" t="s">
        <v>4742</v>
      </c>
      <c r="L871" s="18" t="s">
        <v>4734</v>
      </c>
      <c r="M871" s="2">
        <v>3500000</v>
      </c>
      <c r="N871" s="2">
        <v>3500000</v>
      </c>
      <c r="O871" s="2"/>
      <c r="P871" s="2" t="str">
        <f t="shared" si="52"/>
        <v/>
      </c>
      <c r="Q871" s="2"/>
      <c r="R871" s="2"/>
      <c r="S871" s="48"/>
      <c r="T871" s="2">
        <v>21000000</v>
      </c>
      <c r="U871" s="2">
        <v>0</v>
      </c>
      <c r="V871" s="1" t="s">
        <v>3344</v>
      </c>
      <c r="W871" s="6" t="s">
        <v>3345</v>
      </c>
      <c r="X871" s="1" t="s">
        <v>3346</v>
      </c>
      <c r="Y871" s="3"/>
      <c r="Z871" s="3"/>
      <c r="AA871" s="3"/>
      <c r="AB871" s="3"/>
      <c r="AC871" s="3"/>
      <c r="AD871" s="3"/>
      <c r="AE871" s="3">
        <v>3500000</v>
      </c>
      <c r="AF871" s="3">
        <v>3500000</v>
      </c>
      <c r="AG871" s="3">
        <v>3500000</v>
      </c>
      <c r="AH871" s="3">
        <v>3500000</v>
      </c>
      <c r="AI871" s="3">
        <v>3500000</v>
      </c>
      <c r="AJ871" s="3">
        <v>3500000</v>
      </c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>
        <f t="shared" si="53"/>
        <v>21000000</v>
      </c>
      <c r="AX871" s="3">
        <f t="shared" si="54"/>
        <v>0</v>
      </c>
      <c r="AY871" s="4">
        <f t="shared" si="55"/>
        <v>6</v>
      </c>
      <c r="AZ871" s="8" t="s">
        <v>5612</v>
      </c>
      <c r="BA871" s="4" t="s">
        <v>5726</v>
      </c>
      <c r="BB871" s="2"/>
      <c r="BC871" s="3"/>
      <c r="BD871" s="4"/>
    </row>
    <row r="872" spans="1:56" ht="16.8" customHeight="1">
      <c r="A872" s="1">
        <v>871</v>
      </c>
      <c r="B872" s="1" t="s">
        <v>3175</v>
      </c>
      <c r="C872" s="1" t="s">
        <v>3176</v>
      </c>
      <c r="D872" s="1" t="s">
        <v>3347</v>
      </c>
      <c r="E872" s="1" t="s">
        <v>3347</v>
      </c>
      <c r="F872" s="1" t="s">
        <v>3348</v>
      </c>
      <c r="G872" s="1" t="s">
        <v>3349</v>
      </c>
      <c r="H872" s="1" t="s">
        <v>5043</v>
      </c>
      <c r="I872" s="18"/>
      <c r="J872" s="18"/>
      <c r="K872" s="18"/>
      <c r="L872" s="18"/>
      <c r="M872" s="2">
        <v>3000000</v>
      </c>
      <c r="N872" s="2">
        <v>3000000</v>
      </c>
      <c r="O872" s="2"/>
      <c r="P872" s="2" t="str">
        <f t="shared" si="52"/>
        <v/>
      </c>
      <c r="Q872" s="2"/>
      <c r="R872" s="2"/>
      <c r="S872" s="48"/>
      <c r="T872" s="2">
        <v>0</v>
      </c>
      <c r="U872" s="2">
        <v>18000000</v>
      </c>
      <c r="V872" s="1"/>
      <c r="W872" s="6"/>
      <c r="X872" s="1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>
        <f t="shared" si="53"/>
        <v>0</v>
      </c>
      <c r="AX872" s="3">
        <f t="shared" si="54"/>
        <v>0</v>
      </c>
      <c r="AY872" s="4">
        <f t="shared" si="55"/>
        <v>0</v>
      </c>
      <c r="BA872" s="4" t="s">
        <v>5726</v>
      </c>
      <c r="BB872" s="2"/>
      <c r="BC872" s="3"/>
      <c r="BD872" s="4"/>
    </row>
    <row r="873" spans="1:56" ht="16.8" customHeight="1">
      <c r="A873" s="1">
        <v>872</v>
      </c>
      <c r="B873" s="1" t="s">
        <v>3175</v>
      </c>
      <c r="C873" s="1" t="s">
        <v>3176</v>
      </c>
      <c r="D873" s="1" t="s">
        <v>3350</v>
      </c>
      <c r="E873" s="1" t="s">
        <v>3350</v>
      </c>
      <c r="F873" s="1" t="s">
        <v>3351</v>
      </c>
      <c r="G873" s="1" t="s">
        <v>3352</v>
      </c>
      <c r="H873" s="1" t="s">
        <v>5298</v>
      </c>
      <c r="I873" s="18" t="s">
        <v>4783</v>
      </c>
      <c r="J873" s="18" t="s">
        <v>5132</v>
      </c>
      <c r="K873" s="18" t="s">
        <v>4737</v>
      </c>
      <c r="L873" s="18"/>
      <c r="M873" s="2">
        <v>3000000</v>
      </c>
      <c r="N873" s="2">
        <v>3000000</v>
      </c>
      <c r="O873" s="2"/>
      <c r="P873" s="2" t="str">
        <f t="shared" si="52"/>
        <v/>
      </c>
      <c r="Q873" s="2"/>
      <c r="R873" s="2"/>
      <c r="S873" s="48"/>
      <c r="T873" s="2">
        <v>18000000</v>
      </c>
      <c r="U873" s="2">
        <v>0</v>
      </c>
      <c r="V873" s="1"/>
      <c r="W873" s="6"/>
      <c r="X873" s="1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>
        <f t="shared" si="53"/>
        <v>0</v>
      </c>
      <c r="AX873" s="3">
        <f t="shared" si="54"/>
        <v>0</v>
      </c>
      <c r="AY873" s="4">
        <f t="shared" si="55"/>
        <v>0</v>
      </c>
      <c r="BA873" s="4" t="s">
        <v>5726</v>
      </c>
      <c r="BB873" s="2"/>
      <c r="BC873" s="3"/>
      <c r="BD873" s="4"/>
    </row>
    <row r="874" spans="1:56" ht="16.8" customHeight="1">
      <c r="A874" s="1">
        <v>873</v>
      </c>
      <c r="B874" s="1" t="s">
        <v>3175</v>
      </c>
      <c r="C874" s="1" t="s">
        <v>3176</v>
      </c>
      <c r="D874" s="1" t="s">
        <v>3353</v>
      </c>
      <c r="E874" s="1" t="s">
        <v>3353</v>
      </c>
      <c r="F874" s="1" t="s">
        <v>3354</v>
      </c>
      <c r="G874" s="1" t="s">
        <v>3355</v>
      </c>
      <c r="H874" s="1" t="s">
        <v>5299</v>
      </c>
      <c r="I874" s="18" t="s">
        <v>4783</v>
      </c>
      <c r="J874" s="18" t="s">
        <v>4783</v>
      </c>
      <c r="K874" s="18" t="s">
        <v>4742</v>
      </c>
      <c r="L874" s="18"/>
      <c r="M874" s="2">
        <v>2555000</v>
      </c>
      <c r="N874" s="2">
        <v>2555000</v>
      </c>
      <c r="O874" s="2"/>
      <c r="P874" s="2" t="str">
        <f t="shared" si="52"/>
        <v/>
      </c>
      <c r="Q874" s="2"/>
      <c r="R874" s="2"/>
      <c r="S874" s="48"/>
      <c r="T874" s="2">
        <v>15660000</v>
      </c>
      <c r="U874" s="2">
        <v>0</v>
      </c>
      <c r="V874" s="1" t="s">
        <v>3356</v>
      </c>
      <c r="W874" s="6" t="s">
        <v>3357</v>
      </c>
      <c r="X874" s="1" t="s">
        <v>3288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>
        <f t="shared" si="53"/>
        <v>0</v>
      </c>
      <c r="AX874" s="3">
        <f t="shared" si="54"/>
        <v>0</v>
      </c>
      <c r="AY874" s="4">
        <f t="shared" si="55"/>
        <v>0</v>
      </c>
      <c r="BA874" s="4" t="s">
        <v>5726</v>
      </c>
      <c r="BB874" s="2"/>
      <c r="BC874" s="3"/>
      <c r="BD874" s="4"/>
    </row>
    <row r="875" spans="1:56" ht="16.8" customHeight="1">
      <c r="A875" s="1">
        <v>874</v>
      </c>
      <c r="B875" s="1" t="s">
        <v>3175</v>
      </c>
      <c r="C875" s="1" t="s">
        <v>3176</v>
      </c>
      <c r="D875" s="1" t="s">
        <v>3358</v>
      </c>
      <c r="E875" s="1" t="s">
        <v>3358</v>
      </c>
      <c r="F875" s="1" t="s">
        <v>3359</v>
      </c>
      <c r="G875" s="1" t="s">
        <v>3360</v>
      </c>
      <c r="H875" s="1" t="s">
        <v>5300</v>
      </c>
      <c r="I875" s="18" t="s">
        <v>4783</v>
      </c>
      <c r="J875" s="18" t="s">
        <v>5018</v>
      </c>
      <c r="K875" s="18" t="s">
        <v>5003</v>
      </c>
      <c r="L875" s="18"/>
      <c r="M875" s="2">
        <v>5000000</v>
      </c>
      <c r="N875" s="2">
        <v>6000000</v>
      </c>
      <c r="O875" s="2">
        <v>6000000</v>
      </c>
      <c r="P875" s="2">
        <f t="shared" si="52"/>
        <v>1000000</v>
      </c>
      <c r="Q875" s="2"/>
      <c r="R875" s="2"/>
      <c r="S875" s="48"/>
      <c r="T875" s="2">
        <v>30000000</v>
      </c>
      <c r="U875" s="2">
        <v>0</v>
      </c>
      <c r="V875" s="1" t="s">
        <v>3360</v>
      </c>
      <c r="W875" s="6" t="s">
        <v>3361</v>
      </c>
      <c r="X875" s="1" t="s">
        <v>3235</v>
      </c>
      <c r="Y875" s="3"/>
      <c r="Z875" s="3"/>
      <c r="AA875" s="3"/>
      <c r="AB875" s="3"/>
      <c r="AC875" s="3"/>
      <c r="AD875" s="3"/>
      <c r="AE875" s="3">
        <v>5000000</v>
      </c>
      <c r="AF875" s="3">
        <v>5000000</v>
      </c>
      <c r="AG875" s="3">
        <v>5000000</v>
      </c>
      <c r="AH875" s="3">
        <v>5000000</v>
      </c>
      <c r="AI875" s="3">
        <v>5000000</v>
      </c>
      <c r="AJ875" s="3">
        <v>5000000</v>
      </c>
      <c r="AK875" s="3">
        <v>6000000</v>
      </c>
      <c r="AL875" s="3">
        <v>6000000</v>
      </c>
      <c r="AM875" s="3">
        <v>6000000</v>
      </c>
      <c r="AN875" s="3">
        <v>6000000</v>
      </c>
      <c r="AO875" s="3">
        <v>6000000</v>
      </c>
      <c r="AP875" s="3">
        <v>6000000</v>
      </c>
      <c r="AQ875" s="3">
        <v>6000000</v>
      </c>
      <c r="AR875" s="3">
        <v>6000000</v>
      </c>
      <c r="AS875" s="3">
        <v>6000000</v>
      </c>
      <c r="AT875" s="3">
        <v>6000000</v>
      </c>
      <c r="AU875" s="3">
        <v>6000000</v>
      </c>
      <c r="AV875" s="3">
        <v>6000000</v>
      </c>
      <c r="AW875" s="3">
        <f t="shared" si="53"/>
        <v>30000000</v>
      </c>
      <c r="AX875" s="3">
        <f t="shared" si="54"/>
        <v>72000000</v>
      </c>
      <c r="AY875" s="4">
        <f t="shared" si="55"/>
        <v>18</v>
      </c>
      <c r="BA875" s="4" t="s">
        <v>5726</v>
      </c>
      <c r="BB875" s="2"/>
      <c r="BC875" s="3"/>
      <c r="BD875" s="3"/>
    </row>
    <row r="876" spans="1:56" ht="16.8" customHeight="1">
      <c r="A876" s="1">
        <v>875</v>
      </c>
      <c r="B876" s="1" t="s">
        <v>3175</v>
      </c>
      <c r="C876" s="1" t="s">
        <v>3176</v>
      </c>
      <c r="D876" s="1" t="s">
        <v>3362</v>
      </c>
      <c r="E876" s="1" t="s">
        <v>3362</v>
      </c>
      <c r="F876" s="1" t="s">
        <v>3363</v>
      </c>
      <c r="G876" s="1" t="s">
        <v>3364</v>
      </c>
      <c r="H876" s="1" t="s">
        <v>5301</v>
      </c>
      <c r="I876" s="18" t="s">
        <v>4783</v>
      </c>
      <c r="J876" s="18" t="s">
        <v>5132</v>
      </c>
      <c r="K876" s="18" t="s">
        <v>4742</v>
      </c>
      <c r="L876" s="18" t="s">
        <v>4734</v>
      </c>
      <c r="M876" s="2">
        <v>3000000</v>
      </c>
      <c r="N876" s="2">
        <v>3000000</v>
      </c>
      <c r="O876" s="2"/>
      <c r="P876" s="2" t="str">
        <f t="shared" si="52"/>
        <v/>
      </c>
      <c r="Q876" s="2"/>
      <c r="R876" s="2"/>
      <c r="S876" s="48"/>
      <c r="T876" s="2">
        <v>18000000</v>
      </c>
      <c r="U876" s="2">
        <v>0</v>
      </c>
      <c r="V876" s="1" t="s">
        <v>3364</v>
      </c>
      <c r="W876" s="6" t="s">
        <v>3365</v>
      </c>
      <c r="X876" s="1" t="s">
        <v>3230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>
        <v>3000000</v>
      </c>
      <c r="AL876" s="3">
        <v>3000000</v>
      </c>
      <c r="AM876" s="3">
        <v>3000000</v>
      </c>
      <c r="AN876" s="3">
        <v>3000000</v>
      </c>
      <c r="AO876" s="3">
        <v>3000000</v>
      </c>
      <c r="AP876" s="3">
        <v>3000000</v>
      </c>
      <c r="AQ876" s="3"/>
      <c r="AR876" s="3"/>
      <c r="AS876" s="3"/>
      <c r="AT876" s="3"/>
      <c r="AU876" s="3"/>
      <c r="AV876" s="3"/>
      <c r="AW876" s="3">
        <f t="shared" si="53"/>
        <v>0</v>
      </c>
      <c r="AX876" s="3">
        <f t="shared" si="54"/>
        <v>18000000</v>
      </c>
      <c r="AY876" s="4">
        <f t="shared" si="55"/>
        <v>6</v>
      </c>
      <c r="AZ876" s="8" t="s">
        <v>5613</v>
      </c>
      <c r="BA876" s="4" t="s">
        <v>5726</v>
      </c>
      <c r="BB876" s="2"/>
      <c r="BC876" s="3"/>
      <c r="BD876" s="3"/>
    </row>
    <row r="877" spans="1:56" ht="16.8" customHeight="1">
      <c r="A877" s="1">
        <v>876</v>
      </c>
      <c r="B877" s="1" t="s">
        <v>3175</v>
      </c>
      <c r="C877" s="1" t="s">
        <v>3176</v>
      </c>
      <c r="D877" s="1" t="s">
        <v>3366</v>
      </c>
      <c r="E877" s="1" t="s">
        <v>3366</v>
      </c>
      <c r="F877" s="1" t="s">
        <v>3367</v>
      </c>
      <c r="G877" s="1" t="s">
        <v>3368</v>
      </c>
      <c r="H877" s="1" t="s">
        <v>5043</v>
      </c>
      <c r="I877" s="18"/>
      <c r="J877" s="18"/>
      <c r="K877" s="18"/>
      <c r="L877" s="18"/>
      <c r="M877" s="2">
        <v>4000000</v>
      </c>
      <c r="N877" s="2">
        <v>4000000</v>
      </c>
      <c r="O877" s="2"/>
      <c r="P877" s="2" t="str">
        <f t="shared" si="52"/>
        <v/>
      </c>
      <c r="Q877" s="2"/>
      <c r="R877" s="2"/>
      <c r="S877" s="48"/>
      <c r="T877" s="2">
        <v>0</v>
      </c>
      <c r="U877" s="2">
        <v>0</v>
      </c>
      <c r="V877" s="1"/>
      <c r="W877" s="6"/>
      <c r="X877" s="1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>
        <f t="shared" si="53"/>
        <v>0</v>
      </c>
      <c r="AX877" s="3">
        <f t="shared" si="54"/>
        <v>0</v>
      </c>
      <c r="AY877" s="4">
        <f t="shared" si="55"/>
        <v>0</v>
      </c>
      <c r="BA877" s="4" t="s">
        <v>5726</v>
      </c>
      <c r="BB877" s="2"/>
      <c r="BC877" s="3"/>
      <c r="BD877" s="4"/>
    </row>
    <row r="878" spans="1:56" ht="16.8" customHeight="1">
      <c r="A878" s="1">
        <v>877</v>
      </c>
      <c r="B878" s="1" t="s">
        <v>3175</v>
      </c>
      <c r="C878" s="1" t="s">
        <v>3176</v>
      </c>
      <c r="D878" s="1" t="s">
        <v>3369</v>
      </c>
      <c r="E878" s="1" t="s">
        <v>3369</v>
      </c>
      <c r="F878" s="1" t="s">
        <v>3370</v>
      </c>
      <c r="G878" s="1" t="s">
        <v>3371</v>
      </c>
      <c r="H878" s="1" t="s">
        <v>5302</v>
      </c>
      <c r="I878" s="18" t="s">
        <v>4783</v>
      </c>
      <c r="J878" s="18" t="s">
        <v>5018</v>
      </c>
      <c r="K878" s="18" t="s">
        <v>5303</v>
      </c>
      <c r="L878" s="18" t="s">
        <v>4734</v>
      </c>
      <c r="M878" s="2">
        <v>4000000</v>
      </c>
      <c r="N878" s="2">
        <v>4000000</v>
      </c>
      <c r="O878" s="2"/>
      <c r="P878" s="2" t="str">
        <f t="shared" si="52"/>
        <v/>
      </c>
      <c r="Q878" s="2"/>
      <c r="R878" s="2"/>
      <c r="S878" s="48"/>
      <c r="T878" s="2">
        <v>0</v>
      </c>
      <c r="U878" s="2">
        <v>0</v>
      </c>
      <c r="V878" s="1"/>
      <c r="W878" s="6"/>
      <c r="X878" s="1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>
        <v>4000000</v>
      </c>
      <c r="AL878" s="3">
        <v>4000000</v>
      </c>
      <c r="AM878" s="3">
        <v>4000000</v>
      </c>
      <c r="AN878" s="3">
        <v>4000000</v>
      </c>
      <c r="AO878" s="3">
        <v>4000000</v>
      </c>
      <c r="AP878" s="3">
        <v>4000000</v>
      </c>
      <c r="AQ878" s="3"/>
      <c r="AR878" s="3"/>
      <c r="AS878" s="3"/>
      <c r="AT878" s="3"/>
      <c r="AU878" s="3"/>
      <c r="AV878" s="3"/>
      <c r="AW878" s="3">
        <f t="shared" si="53"/>
        <v>0</v>
      </c>
      <c r="AX878" s="3">
        <f t="shared" si="54"/>
        <v>24000000</v>
      </c>
      <c r="AY878" s="4">
        <f t="shared" si="55"/>
        <v>6</v>
      </c>
      <c r="AZ878" s="8" t="s">
        <v>5574</v>
      </c>
      <c r="BA878" s="4" t="s">
        <v>5711</v>
      </c>
      <c r="BB878" s="2">
        <v>24000000</v>
      </c>
      <c r="BC878" s="3"/>
      <c r="BD878" s="3"/>
    </row>
    <row r="879" spans="1:56" ht="16.8" customHeight="1">
      <c r="A879" s="1">
        <v>878</v>
      </c>
      <c r="B879" s="1" t="s">
        <v>3175</v>
      </c>
      <c r="C879" s="1" t="s">
        <v>3176</v>
      </c>
      <c r="D879" s="1" t="s">
        <v>3372</v>
      </c>
      <c r="E879" s="1" t="s">
        <v>3372</v>
      </c>
      <c r="F879" s="1" t="s">
        <v>3373</v>
      </c>
      <c r="G879" s="1" t="s">
        <v>3374</v>
      </c>
      <c r="H879" s="1" t="s">
        <v>5043</v>
      </c>
      <c r="I879" s="18"/>
      <c r="J879" s="18"/>
      <c r="K879" s="18"/>
      <c r="L879" s="18"/>
      <c r="M879" s="2">
        <v>3000000</v>
      </c>
      <c r="N879" s="2">
        <v>4000000</v>
      </c>
      <c r="O879" s="2">
        <v>4000000</v>
      </c>
      <c r="P879" s="2">
        <f t="shared" si="52"/>
        <v>1000000</v>
      </c>
      <c r="Q879" s="2"/>
      <c r="R879" s="2"/>
      <c r="S879" s="48"/>
      <c r="T879" s="2">
        <v>0</v>
      </c>
      <c r="U879" s="2">
        <v>0</v>
      </c>
      <c r="V879" s="1"/>
      <c r="W879" s="6"/>
      <c r="X879" s="1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>
        <f t="shared" si="53"/>
        <v>0</v>
      </c>
      <c r="AX879" s="3">
        <f t="shared" si="54"/>
        <v>0</v>
      </c>
      <c r="AY879" s="4">
        <f t="shared" si="55"/>
        <v>0</v>
      </c>
      <c r="BA879" s="4" t="s">
        <v>5726</v>
      </c>
      <c r="BB879" s="2"/>
      <c r="BC879" s="3"/>
      <c r="BD879" s="4"/>
    </row>
    <row r="880" spans="1:56" ht="16.8" customHeight="1">
      <c r="A880" s="1">
        <v>879</v>
      </c>
      <c r="B880" s="1" t="s">
        <v>3175</v>
      </c>
      <c r="C880" s="1" t="s">
        <v>3176</v>
      </c>
      <c r="D880" s="1" t="s">
        <v>3375</v>
      </c>
      <c r="E880" s="1" t="s">
        <v>3375</v>
      </c>
      <c r="F880" s="1" t="s">
        <v>3376</v>
      </c>
      <c r="G880" s="1" t="s">
        <v>3344</v>
      </c>
      <c r="H880" s="1" t="s">
        <v>4633</v>
      </c>
      <c r="I880" s="18" t="s">
        <v>4783</v>
      </c>
      <c r="J880" s="18" t="s">
        <v>5132</v>
      </c>
      <c r="K880" s="18" t="s">
        <v>5304</v>
      </c>
      <c r="L880" s="18" t="s">
        <v>4734</v>
      </c>
      <c r="M880" s="2">
        <v>3500000</v>
      </c>
      <c r="N880" s="2">
        <v>3500000</v>
      </c>
      <c r="O880" s="2"/>
      <c r="P880" s="2" t="str">
        <f t="shared" si="52"/>
        <v/>
      </c>
      <c r="Q880" s="2">
        <v>5000000</v>
      </c>
      <c r="R880" s="2"/>
      <c r="S880" s="48">
        <v>46023</v>
      </c>
      <c r="T880" s="2">
        <v>21000000</v>
      </c>
      <c r="U880" s="2">
        <v>0</v>
      </c>
      <c r="V880" s="1" t="s">
        <v>3344</v>
      </c>
      <c r="W880" s="6" t="s">
        <v>3345</v>
      </c>
      <c r="X880" s="1" t="s">
        <v>3346</v>
      </c>
      <c r="Y880" s="3"/>
      <c r="Z880" s="3"/>
      <c r="AA880" s="3"/>
      <c r="AB880" s="3"/>
      <c r="AC880" s="3"/>
      <c r="AD880" s="3"/>
      <c r="AE880" s="3">
        <v>3500000</v>
      </c>
      <c r="AF880" s="3">
        <v>3500000</v>
      </c>
      <c r="AG880" s="3">
        <v>3500000</v>
      </c>
      <c r="AH880" s="3">
        <v>3500000</v>
      </c>
      <c r="AI880" s="3">
        <v>3500000</v>
      </c>
      <c r="AJ880" s="3">
        <v>3500000</v>
      </c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>
        <f t="shared" si="53"/>
        <v>21000000</v>
      </c>
      <c r="AX880" s="3">
        <f t="shared" si="54"/>
        <v>0</v>
      </c>
      <c r="AY880" s="4">
        <f t="shared" si="55"/>
        <v>6</v>
      </c>
      <c r="AZ880" s="8" t="s">
        <v>5614</v>
      </c>
      <c r="BA880" s="4" t="s">
        <v>5726</v>
      </c>
      <c r="BB880" s="2"/>
      <c r="BC880" s="3"/>
      <c r="BD880" s="4"/>
    </row>
    <row r="881" spans="1:56" ht="16.8" customHeight="1">
      <c r="A881" s="1">
        <v>880</v>
      </c>
      <c r="B881" s="1" t="s">
        <v>3175</v>
      </c>
      <c r="C881" s="1" t="s">
        <v>3176</v>
      </c>
      <c r="D881" s="1" t="s">
        <v>3377</v>
      </c>
      <c r="E881" s="1" t="s">
        <v>3377</v>
      </c>
      <c r="F881" s="1" t="s">
        <v>3378</v>
      </c>
      <c r="G881" s="1" t="s">
        <v>3379</v>
      </c>
      <c r="H881" s="1" t="s">
        <v>5305</v>
      </c>
      <c r="I881" s="18" t="s">
        <v>4783</v>
      </c>
      <c r="J881" s="18" t="s">
        <v>5074</v>
      </c>
      <c r="K881" s="18" t="s">
        <v>4752</v>
      </c>
      <c r="L881" s="18" t="s">
        <v>4734</v>
      </c>
      <c r="M881" s="2">
        <v>1900000</v>
      </c>
      <c r="N881" s="2">
        <v>1900000</v>
      </c>
      <c r="O881" s="2"/>
      <c r="P881" s="2" t="str">
        <f t="shared" si="52"/>
        <v/>
      </c>
      <c r="Q881" s="2"/>
      <c r="R881" s="2"/>
      <c r="S881" s="48"/>
      <c r="T881" s="2">
        <v>22500000</v>
      </c>
      <c r="U881" s="2">
        <v>0</v>
      </c>
      <c r="V881" s="1"/>
      <c r="W881" s="6"/>
      <c r="X881" s="1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>
        <f t="shared" si="53"/>
        <v>0</v>
      </c>
      <c r="AX881" s="3">
        <f t="shared" si="54"/>
        <v>0</v>
      </c>
      <c r="AY881" s="4">
        <f t="shared" si="55"/>
        <v>0</v>
      </c>
      <c r="AZ881" s="8">
        <v>0</v>
      </c>
      <c r="BA881" s="4" t="s">
        <v>5726</v>
      </c>
      <c r="BB881" s="2"/>
      <c r="BC881" s="3"/>
      <c r="BD881" s="4"/>
    </row>
    <row r="882" spans="1:56" ht="16.8" customHeight="1">
      <c r="A882" s="1">
        <v>881</v>
      </c>
      <c r="B882" s="1" t="s">
        <v>3175</v>
      </c>
      <c r="C882" s="1" t="s">
        <v>3176</v>
      </c>
      <c r="D882" s="1" t="s">
        <v>3380</v>
      </c>
      <c r="E882" s="1" t="s">
        <v>3380</v>
      </c>
      <c r="F882" s="1" t="s">
        <v>3381</v>
      </c>
      <c r="G882" s="1" t="s">
        <v>3382</v>
      </c>
      <c r="H882" s="1" t="s">
        <v>4634</v>
      </c>
      <c r="I882" s="18" t="s">
        <v>5018</v>
      </c>
      <c r="J882" s="18" t="s">
        <v>5018</v>
      </c>
      <c r="K882" s="18" t="s">
        <v>5136</v>
      </c>
      <c r="L882" s="18" t="s">
        <v>4734</v>
      </c>
      <c r="M882" s="2">
        <v>4000000</v>
      </c>
      <c r="N882" s="2">
        <v>5000000</v>
      </c>
      <c r="O882" s="2">
        <v>5000000</v>
      </c>
      <c r="P882" s="2">
        <f t="shared" si="52"/>
        <v>1000000</v>
      </c>
      <c r="Q882" s="2"/>
      <c r="R882" s="2"/>
      <c r="S882" s="48"/>
      <c r="T882" s="2">
        <v>24000000</v>
      </c>
      <c r="U882" s="2">
        <v>0</v>
      </c>
      <c r="V882" s="1" t="s">
        <v>3382</v>
      </c>
      <c r="W882" s="6" t="s">
        <v>3383</v>
      </c>
      <c r="X882" s="1" t="s">
        <v>3230</v>
      </c>
      <c r="Y882" s="3"/>
      <c r="Z882" s="3"/>
      <c r="AA882" s="3"/>
      <c r="AB882" s="3"/>
      <c r="AC882" s="3"/>
      <c r="AD882" s="3"/>
      <c r="AE882" s="3">
        <v>4000000</v>
      </c>
      <c r="AF882" s="3">
        <v>4000000</v>
      </c>
      <c r="AG882" s="3">
        <v>4000000</v>
      </c>
      <c r="AH882" s="3">
        <v>4000000</v>
      </c>
      <c r="AI882" s="3">
        <v>4000000</v>
      </c>
      <c r="AJ882" s="3">
        <v>4000000</v>
      </c>
      <c r="AK882" s="3">
        <v>5000000</v>
      </c>
      <c r="AL882" s="3">
        <v>5000000</v>
      </c>
      <c r="AM882" s="3">
        <v>5000000</v>
      </c>
      <c r="AN882" s="3">
        <v>5000000</v>
      </c>
      <c r="AO882" s="3">
        <v>5000000</v>
      </c>
      <c r="AP882" s="3">
        <v>5000000</v>
      </c>
      <c r="AQ882" s="3"/>
      <c r="AR882" s="3"/>
      <c r="AS882" s="3"/>
      <c r="AT882" s="3"/>
      <c r="AU882" s="3"/>
      <c r="AV882" s="3"/>
      <c r="AW882" s="3">
        <f t="shared" si="53"/>
        <v>24000000</v>
      </c>
      <c r="AX882" s="3">
        <f t="shared" si="54"/>
        <v>30000000</v>
      </c>
      <c r="AY882" s="4">
        <f t="shared" si="55"/>
        <v>12</v>
      </c>
      <c r="AZ882" s="8" t="s">
        <v>5615</v>
      </c>
      <c r="BA882" s="4" t="s">
        <v>5726</v>
      </c>
      <c r="BB882" s="2"/>
      <c r="BC882" s="3"/>
      <c r="BD882" s="3"/>
    </row>
    <row r="883" spans="1:56" ht="16.8" customHeight="1">
      <c r="A883" s="1">
        <v>882</v>
      </c>
      <c r="B883" s="1" t="s">
        <v>3175</v>
      </c>
      <c r="C883" s="1" t="s">
        <v>3176</v>
      </c>
      <c r="D883" s="1" t="s">
        <v>3384</v>
      </c>
      <c r="E883" s="1" t="s">
        <v>3384</v>
      </c>
      <c r="F883" s="1" t="s">
        <v>3385</v>
      </c>
      <c r="G883" s="1" t="s">
        <v>3386</v>
      </c>
      <c r="H883" s="1" t="s">
        <v>5306</v>
      </c>
      <c r="I883" s="18" t="s">
        <v>4783</v>
      </c>
      <c r="J883" s="18" t="s">
        <v>5074</v>
      </c>
      <c r="K883" s="18" t="s">
        <v>4795</v>
      </c>
      <c r="L883" s="18" t="s">
        <v>4734</v>
      </c>
      <c r="M883" s="2">
        <v>3000000</v>
      </c>
      <c r="N883" s="2">
        <v>3000000</v>
      </c>
      <c r="O883" s="2"/>
      <c r="P883" s="2" t="str">
        <f t="shared" si="52"/>
        <v/>
      </c>
      <c r="Q883" s="2"/>
      <c r="R883" s="2"/>
      <c r="S883" s="48"/>
      <c r="T883" s="2">
        <v>0</v>
      </c>
      <c r="U883" s="2">
        <v>36000000</v>
      </c>
      <c r="V883" s="1" t="s">
        <v>3387</v>
      </c>
      <c r="W883" s="6" t="s">
        <v>3388</v>
      </c>
      <c r="X883" s="1" t="s">
        <v>3230</v>
      </c>
      <c r="Y883" s="3">
        <v>3000000</v>
      </c>
      <c r="Z883" s="3">
        <v>3000000</v>
      </c>
      <c r="AA883" s="3">
        <v>3000000</v>
      </c>
      <c r="AB883" s="3">
        <v>3000000</v>
      </c>
      <c r="AC883" s="3">
        <v>3000000</v>
      </c>
      <c r="AD883" s="3">
        <v>3000000</v>
      </c>
      <c r="AE883" s="3">
        <v>3000000</v>
      </c>
      <c r="AF883" s="3">
        <v>3000000</v>
      </c>
      <c r="AG883" s="3">
        <v>3000000</v>
      </c>
      <c r="AH883" s="3">
        <v>3000000</v>
      </c>
      <c r="AI883" s="3">
        <v>3000000</v>
      </c>
      <c r="AJ883" s="3">
        <v>3000000</v>
      </c>
      <c r="AK883" s="3">
        <v>3000000</v>
      </c>
      <c r="AL883" s="3">
        <v>3000000</v>
      </c>
      <c r="AM883" s="3">
        <v>3000000</v>
      </c>
      <c r="AN883" s="3">
        <v>3000000</v>
      </c>
      <c r="AO883" s="3">
        <v>3000000</v>
      </c>
      <c r="AP883" s="3">
        <v>3000000</v>
      </c>
      <c r="AQ883" s="3">
        <v>3000000</v>
      </c>
      <c r="AR883" s="3">
        <v>3000000</v>
      </c>
      <c r="AS883" s="3">
        <v>3000000</v>
      </c>
      <c r="AT883" s="3">
        <v>3000000</v>
      </c>
      <c r="AU883" s="3">
        <v>3000000</v>
      </c>
      <c r="AV883" s="3">
        <v>3000000</v>
      </c>
      <c r="AW883" s="3">
        <f t="shared" si="53"/>
        <v>36000000</v>
      </c>
      <c r="AX883" s="3">
        <f t="shared" si="54"/>
        <v>36000000</v>
      </c>
      <c r="AY883" s="4">
        <f t="shared" si="55"/>
        <v>24</v>
      </c>
      <c r="AZ883" s="8" t="s">
        <v>5616</v>
      </c>
      <c r="BA883" s="4" t="s">
        <v>5726</v>
      </c>
      <c r="BB883" s="2"/>
      <c r="BC883" s="3"/>
      <c r="BD883" s="3"/>
    </row>
    <row r="884" spans="1:56" ht="16.8" customHeight="1">
      <c r="A884" s="1">
        <v>883</v>
      </c>
      <c r="B884" s="1" t="s">
        <v>3175</v>
      </c>
      <c r="C884" s="1" t="s">
        <v>3389</v>
      </c>
      <c r="D884" s="1" t="s">
        <v>3390</v>
      </c>
      <c r="E884" s="1" t="s">
        <v>3390</v>
      </c>
      <c r="F884" s="1" t="s">
        <v>3391</v>
      </c>
      <c r="G884" s="1" t="s">
        <v>3392</v>
      </c>
      <c r="H884" s="1" t="s">
        <v>3204</v>
      </c>
      <c r="I884" s="18" t="s">
        <v>4783</v>
      </c>
      <c r="J884" s="18" t="s">
        <v>4783</v>
      </c>
      <c r="K884" s="18" t="s">
        <v>5307</v>
      </c>
      <c r="L884" s="18" t="s">
        <v>4734</v>
      </c>
      <c r="M884" s="2">
        <v>3600000</v>
      </c>
      <c r="N884" s="2">
        <v>3600000</v>
      </c>
      <c r="O884" s="2"/>
      <c r="P884" s="2" t="str">
        <f t="shared" si="52"/>
        <v/>
      </c>
      <c r="Q884" s="2"/>
      <c r="R884" s="2"/>
      <c r="S884" s="48"/>
      <c r="T884" s="2">
        <v>0</v>
      </c>
      <c r="U884" s="2">
        <v>0</v>
      </c>
      <c r="V884" s="1" t="s">
        <v>3392</v>
      </c>
      <c r="W884" s="6" t="s">
        <v>3393</v>
      </c>
      <c r="X884" s="1" t="s">
        <v>3394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>
        <v>3600000</v>
      </c>
      <c r="AL884" s="3">
        <v>3600000</v>
      </c>
      <c r="AM884" s="3">
        <v>3600000</v>
      </c>
      <c r="AN884" s="3">
        <v>3600000</v>
      </c>
      <c r="AO884" s="3">
        <v>3600000</v>
      </c>
      <c r="AP884" s="3">
        <v>3600000</v>
      </c>
      <c r="AQ884" s="3">
        <v>3600000</v>
      </c>
      <c r="AR884" s="3">
        <v>3600000</v>
      </c>
      <c r="AS884" s="3">
        <v>3600000</v>
      </c>
      <c r="AT884" s="3">
        <v>3600000</v>
      </c>
      <c r="AU884" s="3">
        <v>3600000</v>
      </c>
      <c r="AV884" s="3">
        <v>3600000</v>
      </c>
      <c r="AW884" s="3">
        <f t="shared" si="53"/>
        <v>0</v>
      </c>
      <c r="AX884" s="3">
        <f t="shared" si="54"/>
        <v>43200000</v>
      </c>
      <c r="AY884" s="4">
        <f t="shared" si="55"/>
        <v>12</v>
      </c>
      <c r="AZ884" s="8" t="s">
        <v>5574</v>
      </c>
      <c r="BA884" s="4" t="s">
        <v>5726</v>
      </c>
      <c r="BB884" s="2"/>
      <c r="BC884" s="3"/>
      <c r="BD884" s="3"/>
    </row>
    <row r="885" spans="1:56" ht="16.8" customHeight="1">
      <c r="A885" s="1">
        <v>884</v>
      </c>
      <c r="B885" s="1" t="s">
        <v>3175</v>
      </c>
      <c r="C885" s="1" t="s">
        <v>3389</v>
      </c>
      <c r="D885" s="1" t="s">
        <v>3395</v>
      </c>
      <c r="E885" s="1" t="s">
        <v>3395</v>
      </c>
      <c r="F885" s="1" t="s">
        <v>3396</v>
      </c>
      <c r="G885" s="1" t="s">
        <v>3397</v>
      </c>
      <c r="H885" s="1" t="s">
        <v>4635</v>
      </c>
      <c r="I885" s="18" t="s">
        <v>4783</v>
      </c>
      <c r="J885" s="18" t="s">
        <v>5018</v>
      </c>
      <c r="K885" s="18" t="s">
        <v>4748</v>
      </c>
      <c r="L885" s="18" t="s">
        <v>4734</v>
      </c>
      <c r="M885" s="2">
        <v>3600000</v>
      </c>
      <c r="N885" s="2">
        <v>3600000</v>
      </c>
      <c r="O885" s="2"/>
      <c r="P885" s="2" t="str">
        <f t="shared" si="52"/>
        <v/>
      </c>
      <c r="Q885" s="2"/>
      <c r="R885" s="2"/>
      <c r="S885" s="48"/>
      <c r="T885" s="2">
        <v>0</v>
      </c>
      <c r="U885" s="2">
        <v>0</v>
      </c>
      <c r="V885" s="1" t="s">
        <v>3397</v>
      </c>
      <c r="W885" s="6" t="s">
        <v>3398</v>
      </c>
      <c r="X885" s="1" t="s">
        <v>3399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>
        <v>3600000</v>
      </c>
      <c r="AL885" s="3">
        <v>3600000</v>
      </c>
      <c r="AM885" s="3">
        <v>3600000</v>
      </c>
      <c r="AN885" s="3">
        <v>3600000</v>
      </c>
      <c r="AO885" s="3">
        <v>3600000</v>
      </c>
      <c r="AP885" s="3">
        <v>3600000</v>
      </c>
      <c r="AQ885" s="3">
        <v>3600000</v>
      </c>
      <c r="AR885" s="3">
        <v>3600000</v>
      </c>
      <c r="AS885" s="3">
        <v>3600000</v>
      </c>
      <c r="AT885" s="3">
        <v>3600000</v>
      </c>
      <c r="AU885" s="3">
        <v>3600000</v>
      </c>
      <c r="AV885" s="3">
        <v>3600000</v>
      </c>
      <c r="AW885" s="3">
        <f t="shared" si="53"/>
        <v>0</v>
      </c>
      <c r="AX885" s="3">
        <f t="shared" si="54"/>
        <v>43200000</v>
      </c>
      <c r="AY885" s="4">
        <f t="shared" si="55"/>
        <v>12</v>
      </c>
      <c r="AZ885" s="8">
        <v>0</v>
      </c>
      <c r="BA885" s="4" t="s">
        <v>5726</v>
      </c>
      <c r="BB885" s="2">
        <v>43200000</v>
      </c>
      <c r="BC885" s="3"/>
      <c r="BD885" s="3"/>
    </row>
    <row r="886" spans="1:56" ht="16.8" customHeight="1">
      <c r="A886" s="1">
        <v>885</v>
      </c>
      <c r="B886" s="1" t="s">
        <v>3175</v>
      </c>
      <c r="C886" s="1" t="s">
        <v>3389</v>
      </c>
      <c r="D886" s="1" t="s">
        <v>3400</v>
      </c>
      <c r="E886" s="1" t="s">
        <v>3400</v>
      </c>
      <c r="F886" s="1" t="s">
        <v>3401</v>
      </c>
      <c r="G886" s="1" t="s">
        <v>3402</v>
      </c>
      <c r="H886" s="1" t="s">
        <v>5043</v>
      </c>
      <c r="I886" s="18"/>
      <c r="J886" s="18"/>
      <c r="K886" s="18"/>
      <c r="L886" s="18"/>
      <c r="M886" s="2">
        <v>3000000</v>
      </c>
      <c r="N886" s="2">
        <v>3000000</v>
      </c>
      <c r="O886" s="2"/>
      <c r="P886" s="2" t="str">
        <f t="shared" si="52"/>
        <v/>
      </c>
      <c r="Q886" s="2">
        <v>4000000</v>
      </c>
      <c r="R886" s="2"/>
      <c r="S886" s="48">
        <v>46388</v>
      </c>
      <c r="T886" s="2">
        <v>0</v>
      </c>
      <c r="U886" s="2">
        <v>0</v>
      </c>
      <c r="V886" s="1"/>
      <c r="W886" s="6"/>
      <c r="X886" s="1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>
        <f t="shared" si="53"/>
        <v>0</v>
      </c>
      <c r="AX886" s="3">
        <f t="shared" si="54"/>
        <v>0</v>
      </c>
      <c r="AY886" s="4">
        <f t="shared" si="55"/>
        <v>0</v>
      </c>
      <c r="BA886" s="4" t="s">
        <v>5726</v>
      </c>
      <c r="BB886" s="2"/>
      <c r="BC886" s="3"/>
      <c r="BD886" s="4"/>
    </row>
    <row r="887" spans="1:56" ht="16.8" customHeight="1">
      <c r="A887" s="1">
        <v>886</v>
      </c>
      <c r="B887" s="1" t="s">
        <v>3175</v>
      </c>
      <c r="C887" s="1" t="s">
        <v>3389</v>
      </c>
      <c r="D887" s="1" t="s">
        <v>3403</v>
      </c>
      <c r="E887" s="1" t="s">
        <v>3403</v>
      </c>
      <c r="F887" s="1" t="s">
        <v>3404</v>
      </c>
      <c r="G887" s="1" t="s">
        <v>3405</v>
      </c>
      <c r="H887" s="1" t="s">
        <v>5308</v>
      </c>
      <c r="I887" s="18" t="s">
        <v>5018</v>
      </c>
      <c r="J887" s="18" t="s">
        <v>5018</v>
      </c>
      <c r="K887" s="18" t="s">
        <v>5003</v>
      </c>
      <c r="L887" s="18" t="s">
        <v>4734</v>
      </c>
      <c r="M887" s="2">
        <v>3100000</v>
      </c>
      <c r="N887" s="2">
        <v>4000000</v>
      </c>
      <c r="O887" s="2">
        <v>4000000</v>
      </c>
      <c r="P887" s="2">
        <f t="shared" si="52"/>
        <v>900000</v>
      </c>
      <c r="Q887" s="2"/>
      <c r="R887" s="2"/>
      <c r="S887" s="48"/>
      <c r="T887" s="2">
        <v>37200000</v>
      </c>
      <c r="U887" s="2">
        <v>0</v>
      </c>
      <c r="V887" s="1" t="s">
        <v>3405</v>
      </c>
      <c r="W887" s="6" t="s">
        <v>3406</v>
      </c>
      <c r="X887" s="1" t="s">
        <v>3407</v>
      </c>
      <c r="Y887" s="3">
        <v>3100000</v>
      </c>
      <c r="Z887" s="3">
        <v>3100000</v>
      </c>
      <c r="AA887" s="3">
        <v>3100000</v>
      </c>
      <c r="AB887" s="3">
        <v>3100000</v>
      </c>
      <c r="AC887" s="3">
        <v>3100000</v>
      </c>
      <c r="AD887" s="3">
        <v>3100000</v>
      </c>
      <c r="AE887" s="3">
        <v>3100000</v>
      </c>
      <c r="AF887" s="3">
        <v>3100000</v>
      </c>
      <c r="AG887" s="3">
        <v>3100000</v>
      </c>
      <c r="AH887" s="3">
        <v>3100000</v>
      </c>
      <c r="AI887" s="3">
        <v>3100000</v>
      </c>
      <c r="AJ887" s="3">
        <v>3100000</v>
      </c>
      <c r="AK887" s="3">
        <v>4000000</v>
      </c>
      <c r="AL887" s="3">
        <v>4000000</v>
      </c>
      <c r="AM887" s="3">
        <v>4000000</v>
      </c>
      <c r="AN887" s="3">
        <v>4000000</v>
      </c>
      <c r="AO887" s="3">
        <v>4000000</v>
      </c>
      <c r="AP887" s="3">
        <v>4000000</v>
      </c>
      <c r="AQ887" s="3">
        <v>4000000</v>
      </c>
      <c r="AR887" s="3">
        <v>4000000</v>
      </c>
      <c r="AS887" s="3">
        <v>4000000</v>
      </c>
      <c r="AT887" s="3">
        <v>4000000</v>
      </c>
      <c r="AU887" s="3">
        <v>4000000</v>
      </c>
      <c r="AV887" s="3">
        <v>4000000</v>
      </c>
      <c r="AW887" s="3">
        <f t="shared" si="53"/>
        <v>37200000</v>
      </c>
      <c r="AX887" s="3">
        <f t="shared" si="54"/>
        <v>48000000</v>
      </c>
      <c r="AY887" s="4">
        <f t="shared" si="55"/>
        <v>24</v>
      </c>
      <c r="AZ887" s="8">
        <v>0</v>
      </c>
      <c r="BA887" s="4" t="s">
        <v>5726</v>
      </c>
      <c r="BB887" s="2"/>
      <c r="BC887" s="3"/>
      <c r="BD887" s="3"/>
    </row>
    <row r="888" spans="1:56" ht="16.8" customHeight="1">
      <c r="A888" s="1">
        <v>887</v>
      </c>
      <c r="B888" s="1" t="s">
        <v>3175</v>
      </c>
      <c r="C888" s="1" t="s">
        <v>3389</v>
      </c>
      <c r="D888" s="1" t="s">
        <v>3408</v>
      </c>
      <c r="E888" s="1" t="s">
        <v>3408</v>
      </c>
      <c r="F888" s="1" t="s">
        <v>3409</v>
      </c>
      <c r="G888" s="1" t="s">
        <v>3410</v>
      </c>
      <c r="H888" s="1" t="s">
        <v>5309</v>
      </c>
      <c r="I888" s="18" t="s">
        <v>5310</v>
      </c>
      <c r="J888" s="18" t="s">
        <v>5018</v>
      </c>
      <c r="K888" s="18" t="s">
        <v>4748</v>
      </c>
      <c r="L888" s="18" t="s">
        <v>4734</v>
      </c>
      <c r="M888" s="2">
        <v>2000000</v>
      </c>
      <c r="N888" s="2">
        <v>2000000</v>
      </c>
      <c r="O888" s="2"/>
      <c r="P888" s="2" t="str">
        <f t="shared" si="52"/>
        <v/>
      </c>
      <c r="Q888" s="2"/>
      <c r="R888" s="2"/>
      <c r="S888" s="48"/>
      <c r="T888" s="2">
        <v>12000000</v>
      </c>
      <c r="U888" s="2">
        <v>6000000</v>
      </c>
      <c r="V888" s="1" t="s">
        <v>3411</v>
      </c>
      <c r="W888" s="6" t="s">
        <v>3412</v>
      </c>
      <c r="X888" s="1" t="s">
        <v>3413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>
        <v>2000000</v>
      </c>
      <c r="AL888" s="3">
        <v>2000000</v>
      </c>
      <c r="AM888" s="3">
        <v>2000000</v>
      </c>
      <c r="AN888" s="3">
        <v>2000000</v>
      </c>
      <c r="AO888" s="3">
        <v>2000000</v>
      </c>
      <c r="AP888" s="3">
        <v>2000000</v>
      </c>
      <c r="AQ888" s="3">
        <v>2000000</v>
      </c>
      <c r="AR888" s="3">
        <v>2000000</v>
      </c>
      <c r="AS888" s="3">
        <v>2000000</v>
      </c>
      <c r="AT888" s="3">
        <v>2000000</v>
      </c>
      <c r="AU888" s="3">
        <v>2000000</v>
      </c>
      <c r="AV888" s="3">
        <v>2000000</v>
      </c>
      <c r="AW888" s="3">
        <f t="shared" si="53"/>
        <v>0</v>
      </c>
      <c r="AX888" s="3">
        <f t="shared" si="54"/>
        <v>24000000</v>
      </c>
      <c r="AY888" s="4">
        <f t="shared" si="55"/>
        <v>12</v>
      </c>
      <c r="AZ888" s="8">
        <v>0</v>
      </c>
      <c r="BA888" s="4" t="s">
        <v>5726</v>
      </c>
      <c r="BB888" s="2">
        <v>24000000</v>
      </c>
      <c r="BC888" s="3"/>
      <c r="BD888" s="3"/>
    </row>
    <row r="889" spans="1:56" ht="16.8" customHeight="1">
      <c r="A889" s="1">
        <v>888</v>
      </c>
      <c r="B889" s="1" t="s">
        <v>3175</v>
      </c>
      <c r="C889" s="1" t="s">
        <v>3389</v>
      </c>
      <c r="D889" s="1" t="s">
        <v>3414</v>
      </c>
      <c r="E889" s="1" t="s">
        <v>3414</v>
      </c>
      <c r="F889" s="1" t="s">
        <v>3415</v>
      </c>
      <c r="G889" s="1" t="s">
        <v>3416</v>
      </c>
      <c r="H889" s="1" t="s">
        <v>4636</v>
      </c>
      <c r="I889" s="18" t="s">
        <v>4783</v>
      </c>
      <c r="J889" s="18" t="s">
        <v>5018</v>
      </c>
      <c r="K889" s="18" t="s">
        <v>4742</v>
      </c>
      <c r="L889" s="18" t="s">
        <v>4734</v>
      </c>
      <c r="M889" s="2">
        <v>3000000</v>
      </c>
      <c r="N889" s="2">
        <v>3500000</v>
      </c>
      <c r="O889" s="2"/>
      <c r="P889" s="2">
        <f t="shared" si="52"/>
        <v>500000</v>
      </c>
      <c r="Q889" s="2"/>
      <c r="R889" s="2"/>
      <c r="S889" s="48"/>
      <c r="T889" s="2">
        <v>0</v>
      </c>
      <c r="U889" s="2">
        <v>0</v>
      </c>
      <c r="V889" s="1" t="s">
        <v>3416</v>
      </c>
      <c r="W889" s="6" t="s">
        <v>3417</v>
      </c>
      <c r="X889" s="1" t="s">
        <v>3418</v>
      </c>
      <c r="Y889" s="3"/>
      <c r="Z889" s="3"/>
      <c r="AA889" s="3"/>
      <c r="AB889" s="3"/>
      <c r="AC889" s="3"/>
      <c r="AD889" s="3"/>
      <c r="AE889" s="3">
        <v>3500000</v>
      </c>
      <c r="AF889" s="3">
        <v>3500000</v>
      </c>
      <c r="AG889" s="3">
        <v>3500000</v>
      </c>
      <c r="AH889" s="3">
        <v>3500000</v>
      </c>
      <c r="AI889" s="3">
        <v>3500000</v>
      </c>
      <c r="AJ889" s="3">
        <v>3500000</v>
      </c>
      <c r="AK889" s="3">
        <v>3500000</v>
      </c>
      <c r="AL889" s="3">
        <v>3500000</v>
      </c>
      <c r="AM889" s="3">
        <v>3500000</v>
      </c>
      <c r="AN889" s="3">
        <v>3500000</v>
      </c>
      <c r="AO889" s="3">
        <v>3500000</v>
      </c>
      <c r="AP889" s="3">
        <v>3500000</v>
      </c>
      <c r="AQ889" s="3">
        <v>3500000</v>
      </c>
      <c r="AR889" s="3">
        <v>3500000</v>
      </c>
      <c r="AS889" s="3">
        <v>3500000</v>
      </c>
      <c r="AT889" s="3">
        <v>3500000</v>
      </c>
      <c r="AU889" s="3">
        <v>3500000</v>
      </c>
      <c r="AV889" s="3">
        <v>3500000</v>
      </c>
      <c r="AW889" s="3">
        <f t="shared" si="53"/>
        <v>21000000</v>
      </c>
      <c r="AX889" s="3">
        <f t="shared" si="54"/>
        <v>42000000</v>
      </c>
      <c r="AY889" s="4">
        <f t="shared" si="55"/>
        <v>18</v>
      </c>
      <c r="AZ889" s="8" t="s">
        <v>5688</v>
      </c>
      <c r="BA889" s="4" t="s">
        <v>5709</v>
      </c>
      <c r="BB889" s="2"/>
      <c r="BC889" s="3"/>
      <c r="BD889" s="3"/>
    </row>
    <row r="890" spans="1:56" ht="16.8" customHeight="1">
      <c r="A890" s="1">
        <v>889</v>
      </c>
      <c r="B890" s="1" t="s">
        <v>3175</v>
      </c>
      <c r="C890" s="1" t="s">
        <v>3389</v>
      </c>
      <c r="D890" s="1" t="s">
        <v>3419</v>
      </c>
      <c r="E890" s="1" t="s">
        <v>3419</v>
      </c>
      <c r="F890" s="1" t="s">
        <v>3420</v>
      </c>
      <c r="G890" s="1" t="s">
        <v>3421</v>
      </c>
      <c r="H890" s="1" t="s">
        <v>4637</v>
      </c>
      <c r="I890" s="18" t="s">
        <v>4783</v>
      </c>
      <c r="J890" s="18" t="s">
        <v>5018</v>
      </c>
      <c r="K890" s="18" t="s">
        <v>4742</v>
      </c>
      <c r="L890" s="18" t="s">
        <v>4734</v>
      </c>
      <c r="M890" s="2">
        <v>2000000</v>
      </c>
      <c r="N890" s="2">
        <v>2000000</v>
      </c>
      <c r="O890" s="2"/>
      <c r="P890" s="2" t="str">
        <f t="shared" si="52"/>
        <v/>
      </c>
      <c r="Q890" s="2"/>
      <c r="R890" s="2"/>
      <c r="S890" s="48"/>
      <c r="T890" s="2">
        <v>0</v>
      </c>
      <c r="U890" s="2">
        <v>0</v>
      </c>
      <c r="V890" s="1" t="s">
        <v>3421</v>
      </c>
      <c r="W890" s="6" t="s">
        <v>3422</v>
      </c>
      <c r="X890" s="1" t="s">
        <v>3423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>
        <v>2000000</v>
      </c>
      <c r="AL890" s="3">
        <v>2000000</v>
      </c>
      <c r="AM890" s="3">
        <v>2000000</v>
      </c>
      <c r="AN890" s="3">
        <v>2000000</v>
      </c>
      <c r="AO890" s="3">
        <v>2000000</v>
      </c>
      <c r="AP890" s="3">
        <v>2000000</v>
      </c>
      <c r="AQ890" s="3">
        <v>2000000</v>
      </c>
      <c r="AR890" s="3">
        <v>2000000</v>
      </c>
      <c r="AS890" s="3">
        <v>2000000</v>
      </c>
      <c r="AT890" s="3">
        <v>2000000</v>
      </c>
      <c r="AU890" s="3">
        <v>2000000</v>
      </c>
      <c r="AV890" s="3">
        <v>2000000</v>
      </c>
      <c r="AW890" s="3">
        <f t="shared" si="53"/>
        <v>0</v>
      </c>
      <c r="AX890" s="3">
        <f t="shared" si="54"/>
        <v>24000000</v>
      </c>
      <c r="AY890" s="4">
        <f t="shared" si="55"/>
        <v>12</v>
      </c>
      <c r="AZ890" s="8" t="s">
        <v>5611</v>
      </c>
      <c r="BA890" s="4" t="s">
        <v>5726</v>
      </c>
      <c r="BB890" s="2">
        <v>24000000</v>
      </c>
      <c r="BC890" s="3"/>
      <c r="BD890" s="3"/>
    </row>
    <row r="891" spans="1:56" ht="16.8" customHeight="1">
      <c r="A891" s="1">
        <v>890</v>
      </c>
      <c r="B891" s="1" t="s">
        <v>3175</v>
      </c>
      <c r="C891" s="1" t="s">
        <v>3389</v>
      </c>
      <c r="D891" s="1" t="s">
        <v>3424</v>
      </c>
      <c r="E891" s="1" t="s">
        <v>3424</v>
      </c>
      <c r="F891" s="1" t="s">
        <v>3425</v>
      </c>
      <c r="G891" s="1" t="s">
        <v>3426</v>
      </c>
      <c r="H891" s="1" t="s">
        <v>5043</v>
      </c>
      <c r="I891" s="18"/>
      <c r="J891" s="18"/>
      <c r="K891" s="18"/>
      <c r="L891" s="18"/>
      <c r="M891" s="2">
        <v>4545455</v>
      </c>
      <c r="N891" s="2">
        <v>4545455</v>
      </c>
      <c r="O891" s="2"/>
      <c r="P891" s="2" t="str">
        <f t="shared" si="52"/>
        <v/>
      </c>
      <c r="Q891" s="2"/>
      <c r="R891" s="2"/>
      <c r="S891" s="48"/>
      <c r="T891" s="2">
        <v>0</v>
      </c>
      <c r="U891" s="2">
        <v>0</v>
      </c>
      <c r="V891" s="1"/>
      <c r="W891" s="6"/>
      <c r="X891" s="1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>
        <f t="shared" si="53"/>
        <v>0</v>
      </c>
      <c r="AX891" s="3">
        <f t="shared" si="54"/>
        <v>0</v>
      </c>
      <c r="AY891" s="4">
        <f t="shared" si="55"/>
        <v>0</v>
      </c>
      <c r="BA891" s="4" t="s">
        <v>5726</v>
      </c>
      <c r="BB891" s="2"/>
      <c r="BC891" s="3"/>
      <c r="BD891" s="4"/>
    </row>
    <row r="892" spans="1:56" ht="16.8" customHeight="1">
      <c r="A892" s="1">
        <v>891</v>
      </c>
      <c r="B892" s="1" t="s">
        <v>3175</v>
      </c>
      <c r="C892" s="1" t="s">
        <v>3389</v>
      </c>
      <c r="D892" s="1" t="s">
        <v>3427</v>
      </c>
      <c r="E892" s="1" t="s">
        <v>3427</v>
      </c>
      <c r="F892" s="1" t="s">
        <v>3428</v>
      </c>
      <c r="G892" s="1" t="s">
        <v>3429</v>
      </c>
      <c r="H892" s="1" t="s">
        <v>5311</v>
      </c>
      <c r="I892" s="18" t="s">
        <v>4783</v>
      </c>
      <c r="J892" s="18" t="s">
        <v>5018</v>
      </c>
      <c r="K892" s="18" t="s">
        <v>4742</v>
      </c>
      <c r="L892" s="18" t="s">
        <v>4734</v>
      </c>
      <c r="M892" s="2">
        <v>3500000</v>
      </c>
      <c r="N892" s="2">
        <v>3850000</v>
      </c>
      <c r="O892" s="2"/>
      <c r="P892" s="2">
        <f t="shared" si="52"/>
        <v>350000</v>
      </c>
      <c r="Q892" s="2"/>
      <c r="R892" s="2"/>
      <c r="S892" s="48"/>
      <c r="T892" s="2">
        <v>0</v>
      </c>
      <c r="U892" s="2">
        <v>0</v>
      </c>
      <c r="V892" s="1" t="s">
        <v>3429</v>
      </c>
      <c r="W892" s="6" t="s">
        <v>3430</v>
      </c>
      <c r="X892" s="1" t="s">
        <v>324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>
        <v>3850000</v>
      </c>
      <c r="AL892" s="3">
        <v>3850000</v>
      </c>
      <c r="AM892" s="3">
        <v>3850000</v>
      </c>
      <c r="AN892" s="3">
        <v>3850000</v>
      </c>
      <c r="AO892" s="3">
        <v>3850000</v>
      </c>
      <c r="AP892" s="3">
        <v>3850000</v>
      </c>
      <c r="AQ892" s="3">
        <v>3850000</v>
      </c>
      <c r="AR892" s="3">
        <v>3850000</v>
      </c>
      <c r="AS892" s="3">
        <v>3850000</v>
      </c>
      <c r="AT892" s="3">
        <v>3850000</v>
      </c>
      <c r="AU892" s="3">
        <v>3850000</v>
      </c>
      <c r="AV892" s="3">
        <v>3850000</v>
      </c>
      <c r="AW892" s="3">
        <f t="shared" si="53"/>
        <v>0</v>
      </c>
      <c r="AX892" s="3">
        <f t="shared" si="54"/>
        <v>46200000</v>
      </c>
      <c r="AY892" s="4">
        <f t="shared" si="55"/>
        <v>12</v>
      </c>
      <c r="AZ892" s="8" t="s">
        <v>5528</v>
      </c>
      <c r="BA892" s="4" t="s">
        <v>5726</v>
      </c>
      <c r="BB892" s="2"/>
      <c r="BC892" s="3"/>
      <c r="BD892" s="3"/>
    </row>
    <row r="893" spans="1:56" ht="16.8" customHeight="1">
      <c r="A893" s="1">
        <v>892</v>
      </c>
      <c r="B893" s="1" t="s">
        <v>3175</v>
      </c>
      <c r="C893" s="1" t="s">
        <v>3389</v>
      </c>
      <c r="D893" s="1" t="s">
        <v>3431</v>
      </c>
      <c r="E893" s="1" t="s">
        <v>3431</v>
      </c>
      <c r="F893" s="1" t="s">
        <v>3432</v>
      </c>
      <c r="G893" s="1" t="s">
        <v>3433</v>
      </c>
      <c r="H893" s="1" t="s">
        <v>4638</v>
      </c>
      <c r="I893" s="18" t="s">
        <v>4783</v>
      </c>
      <c r="J893" s="18" t="s">
        <v>5018</v>
      </c>
      <c r="K893" s="18" t="s">
        <v>4742</v>
      </c>
      <c r="L893" s="18" t="s">
        <v>4734</v>
      </c>
      <c r="M893" s="2">
        <v>3100000</v>
      </c>
      <c r="N893" s="2">
        <v>3100000</v>
      </c>
      <c r="O893" s="2"/>
      <c r="P893" s="2" t="str">
        <f t="shared" si="52"/>
        <v/>
      </c>
      <c r="Q893" s="2"/>
      <c r="R893" s="2"/>
      <c r="S893" s="48"/>
      <c r="T893" s="2">
        <v>0</v>
      </c>
      <c r="U893" s="2">
        <v>0</v>
      </c>
      <c r="V893" s="1" t="s">
        <v>3433</v>
      </c>
      <c r="W893" s="6" t="s">
        <v>3434</v>
      </c>
      <c r="X893" s="1" t="s">
        <v>3435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>
        <v>3100000</v>
      </c>
      <c r="AL893" s="3">
        <v>3100000</v>
      </c>
      <c r="AM893" s="3">
        <v>3100000</v>
      </c>
      <c r="AN893" s="3">
        <v>3100000</v>
      </c>
      <c r="AO893" s="3">
        <v>3100000</v>
      </c>
      <c r="AP893" s="3">
        <v>3100000</v>
      </c>
      <c r="AQ893" s="3">
        <v>3100000</v>
      </c>
      <c r="AR893" s="3">
        <v>3100000</v>
      </c>
      <c r="AS893" s="3">
        <v>3100000</v>
      </c>
      <c r="AT893" s="3">
        <v>3100000</v>
      </c>
      <c r="AU893" s="3">
        <v>3100000</v>
      </c>
      <c r="AV893" s="3">
        <v>3100000</v>
      </c>
      <c r="AW893" s="3">
        <f t="shared" si="53"/>
        <v>0</v>
      </c>
      <c r="AX893" s="3">
        <f t="shared" si="54"/>
        <v>37200000</v>
      </c>
      <c r="AY893" s="4">
        <f t="shared" si="55"/>
        <v>12</v>
      </c>
      <c r="AZ893" s="8">
        <v>0</v>
      </c>
      <c r="BA893" s="4" t="s">
        <v>5709</v>
      </c>
      <c r="BB893" s="2"/>
      <c r="BC893" s="3"/>
      <c r="BD893" s="4"/>
    </row>
    <row r="894" spans="1:56" ht="16.8" customHeight="1">
      <c r="A894" s="1">
        <v>893</v>
      </c>
      <c r="B894" s="1" t="s">
        <v>3175</v>
      </c>
      <c r="C894" s="1" t="s">
        <v>3389</v>
      </c>
      <c r="D894" s="1" t="s">
        <v>3436</v>
      </c>
      <c r="E894" s="1" t="s">
        <v>3436</v>
      </c>
      <c r="F894" s="1" t="s">
        <v>3437</v>
      </c>
      <c r="G894" s="1" t="s">
        <v>3438</v>
      </c>
      <c r="H894" s="1" t="s">
        <v>5312</v>
      </c>
      <c r="I894" s="18" t="s">
        <v>4783</v>
      </c>
      <c r="J894" s="18" t="s">
        <v>5018</v>
      </c>
      <c r="K894" s="18" t="s">
        <v>4742</v>
      </c>
      <c r="L894" s="18" t="s">
        <v>4734</v>
      </c>
      <c r="M894" s="2">
        <v>3000000</v>
      </c>
      <c r="N894" s="2">
        <v>3000000</v>
      </c>
      <c r="O894" s="2"/>
      <c r="P894" s="2" t="str">
        <f t="shared" si="52"/>
        <v/>
      </c>
      <c r="Q894" s="2"/>
      <c r="R894" s="2"/>
      <c r="S894" s="48"/>
      <c r="T894" s="2">
        <v>0</v>
      </c>
      <c r="U894" s="2">
        <v>0</v>
      </c>
      <c r="V894" s="1" t="s">
        <v>3438</v>
      </c>
      <c r="W894" s="6" t="s">
        <v>3439</v>
      </c>
      <c r="X894" s="1" t="s">
        <v>3394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>
        <v>3000000</v>
      </c>
      <c r="AL894" s="3">
        <v>3000000</v>
      </c>
      <c r="AM894" s="3">
        <v>3000000</v>
      </c>
      <c r="AN894" s="3">
        <v>3000000</v>
      </c>
      <c r="AO894" s="3">
        <v>3000000</v>
      </c>
      <c r="AP894" s="3">
        <v>3000000</v>
      </c>
      <c r="AQ894" s="3">
        <v>3000000</v>
      </c>
      <c r="AR894" s="3">
        <v>3000000</v>
      </c>
      <c r="AS894" s="3">
        <v>3000000</v>
      </c>
      <c r="AT894" s="3">
        <v>3000000</v>
      </c>
      <c r="AU894" s="3">
        <v>3000000</v>
      </c>
      <c r="AV894" s="3">
        <v>3000000</v>
      </c>
      <c r="AW894" s="3">
        <f t="shared" si="53"/>
        <v>0</v>
      </c>
      <c r="AX894" s="3">
        <f t="shared" si="54"/>
        <v>36000000</v>
      </c>
      <c r="AY894" s="4">
        <f t="shared" si="55"/>
        <v>12</v>
      </c>
      <c r="AZ894" s="8">
        <v>0</v>
      </c>
      <c r="BA894" s="4" t="s">
        <v>5726</v>
      </c>
      <c r="BB894" s="2"/>
      <c r="BC894" s="3"/>
      <c r="BD894" s="3"/>
    </row>
    <row r="895" spans="1:56" ht="16.8" customHeight="1">
      <c r="A895" s="1">
        <v>894</v>
      </c>
      <c r="B895" s="1" t="s">
        <v>3175</v>
      </c>
      <c r="C895" s="1" t="s">
        <v>3389</v>
      </c>
      <c r="D895" s="1" t="s">
        <v>3440</v>
      </c>
      <c r="E895" s="1" t="s">
        <v>3440</v>
      </c>
      <c r="F895" s="1" t="s">
        <v>3441</v>
      </c>
      <c r="G895" s="1" t="s">
        <v>3426</v>
      </c>
      <c r="H895" s="1" t="s">
        <v>5043</v>
      </c>
      <c r="I895" s="18"/>
      <c r="J895" s="18"/>
      <c r="K895" s="18"/>
      <c r="L895" s="18"/>
      <c r="M895" s="2">
        <v>4545455</v>
      </c>
      <c r="N895" s="2">
        <v>4545455</v>
      </c>
      <c r="O895" s="2"/>
      <c r="P895" s="2" t="str">
        <f t="shared" si="52"/>
        <v/>
      </c>
      <c r="Q895" s="2"/>
      <c r="R895" s="2"/>
      <c r="S895" s="48"/>
      <c r="T895" s="2">
        <v>0</v>
      </c>
      <c r="U895" s="2">
        <v>0</v>
      </c>
      <c r="V895" s="1"/>
      <c r="W895" s="6"/>
      <c r="X895" s="1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>
        <v>4545455</v>
      </c>
      <c r="AL895" s="3">
        <v>4545455</v>
      </c>
      <c r="AM895" s="3">
        <v>4545455</v>
      </c>
      <c r="AN895" s="3">
        <v>4545455</v>
      </c>
      <c r="AO895" s="3">
        <v>4545455</v>
      </c>
      <c r="AP895" s="3">
        <v>4545455</v>
      </c>
      <c r="AQ895" s="3">
        <v>4545455</v>
      </c>
      <c r="AR895" s="3">
        <v>4545455</v>
      </c>
      <c r="AS895" s="3">
        <v>4545455</v>
      </c>
      <c r="AT895" s="3">
        <v>4545455</v>
      </c>
      <c r="AU895" s="3">
        <v>4545455</v>
      </c>
      <c r="AV895" s="3">
        <v>4545450</v>
      </c>
      <c r="AW895" s="3">
        <f t="shared" si="53"/>
        <v>0</v>
      </c>
      <c r="AX895" s="3">
        <f t="shared" si="54"/>
        <v>54545455</v>
      </c>
      <c r="AY895" s="4">
        <f t="shared" si="55"/>
        <v>12</v>
      </c>
      <c r="BA895" s="4" t="s">
        <v>5726</v>
      </c>
      <c r="BB895" s="2">
        <v>54545454.545454539</v>
      </c>
      <c r="BC895" s="3"/>
      <c r="BD895" s="3"/>
    </row>
    <row r="896" spans="1:56" ht="16.8" customHeight="1">
      <c r="A896" s="1">
        <v>895</v>
      </c>
      <c r="B896" s="1" t="s">
        <v>3175</v>
      </c>
      <c r="C896" s="1" t="s">
        <v>3389</v>
      </c>
      <c r="D896" s="1" t="s">
        <v>3442</v>
      </c>
      <c r="E896" s="1" t="s">
        <v>3442</v>
      </c>
      <c r="F896" s="1" t="s">
        <v>3443</v>
      </c>
      <c r="G896" s="1" t="s">
        <v>3444</v>
      </c>
      <c r="H896" s="1" t="s">
        <v>5043</v>
      </c>
      <c r="I896" s="18"/>
      <c r="J896" s="18"/>
      <c r="K896" s="18"/>
      <c r="L896" s="18"/>
      <c r="M896" s="2">
        <v>3000000</v>
      </c>
      <c r="N896" s="2">
        <v>3000000</v>
      </c>
      <c r="O896" s="2"/>
      <c r="P896" s="2" t="str">
        <f t="shared" si="52"/>
        <v/>
      </c>
      <c r="Q896" s="2"/>
      <c r="R896" s="2"/>
      <c r="S896" s="48"/>
      <c r="T896" s="2">
        <v>0</v>
      </c>
      <c r="U896" s="2">
        <v>0</v>
      </c>
      <c r="V896" s="1"/>
      <c r="W896" s="6"/>
      <c r="X896" s="1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>
        <f t="shared" si="53"/>
        <v>0</v>
      </c>
      <c r="AX896" s="3">
        <f t="shared" si="54"/>
        <v>0</v>
      </c>
      <c r="AY896" s="4">
        <f t="shared" si="55"/>
        <v>0</v>
      </c>
      <c r="BA896" s="4" t="s">
        <v>5726</v>
      </c>
      <c r="BB896" s="2"/>
      <c r="BC896" s="3"/>
      <c r="BD896" s="4"/>
    </row>
    <row r="897" spans="1:56" ht="16.8" customHeight="1">
      <c r="A897" s="1">
        <v>896</v>
      </c>
      <c r="B897" s="1" t="s">
        <v>3175</v>
      </c>
      <c r="C897" s="1" t="s">
        <v>3389</v>
      </c>
      <c r="D897" s="1" t="s">
        <v>3445</v>
      </c>
      <c r="E897" s="1" t="s">
        <v>3445</v>
      </c>
      <c r="F897" s="1" t="s">
        <v>3446</v>
      </c>
      <c r="G897" s="1" t="s">
        <v>3447</v>
      </c>
      <c r="H897" s="1" t="s">
        <v>5043</v>
      </c>
      <c r="I897" s="18"/>
      <c r="J897" s="18"/>
      <c r="K897" s="18"/>
      <c r="L897" s="18"/>
      <c r="M897" s="2">
        <v>4000000</v>
      </c>
      <c r="N897" s="2">
        <v>4400000</v>
      </c>
      <c r="O897" s="2"/>
      <c r="P897" s="2">
        <f t="shared" si="52"/>
        <v>400000</v>
      </c>
      <c r="Q897" s="2">
        <v>5000000</v>
      </c>
      <c r="R897" s="2"/>
      <c r="S897" s="48">
        <v>46023</v>
      </c>
      <c r="T897" s="2">
        <v>0</v>
      </c>
      <c r="U897" s="2">
        <v>0</v>
      </c>
      <c r="V897" s="1"/>
      <c r="W897" s="6"/>
      <c r="X897" s="1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>
        <v>4400000</v>
      </c>
      <c r="AL897" s="3">
        <v>4400000</v>
      </c>
      <c r="AM897" s="3">
        <v>4400000</v>
      </c>
      <c r="AN897" s="3">
        <v>4400000</v>
      </c>
      <c r="AO897" s="3">
        <v>4400000</v>
      </c>
      <c r="AP897" s="3">
        <v>4400000</v>
      </c>
      <c r="AQ897" s="3">
        <v>4400000</v>
      </c>
      <c r="AR897" s="3">
        <v>4400000</v>
      </c>
      <c r="AS897" s="3">
        <v>4400000</v>
      </c>
      <c r="AT897" s="3">
        <v>4400000</v>
      </c>
      <c r="AU897" s="3">
        <v>4400000</v>
      </c>
      <c r="AV897" s="3">
        <v>4400000</v>
      </c>
      <c r="AW897" s="3">
        <f t="shared" si="53"/>
        <v>0</v>
      </c>
      <c r="AX897" s="3">
        <f t="shared" si="54"/>
        <v>52800000</v>
      </c>
      <c r="AY897" s="4">
        <f t="shared" si="55"/>
        <v>12</v>
      </c>
      <c r="BA897" s="4" t="s">
        <v>5709</v>
      </c>
      <c r="BB897" s="2"/>
      <c r="BC897" s="3"/>
      <c r="BD897" s="3"/>
    </row>
    <row r="898" spans="1:56" ht="16.8" customHeight="1">
      <c r="A898" s="1">
        <v>897</v>
      </c>
      <c r="B898" s="1" t="s">
        <v>3175</v>
      </c>
      <c r="C898" s="1" t="s">
        <v>3389</v>
      </c>
      <c r="D898" s="1" t="s">
        <v>3448</v>
      </c>
      <c r="E898" s="1" t="s">
        <v>3448</v>
      </c>
      <c r="F898" s="1" t="s">
        <v>3449</v>
      </c>
      <c r="G898" s="1" t="s">
        <v>3450</v>
      </c>
      <c r="H898" s="1" t="s">
        <v>4639</v>
      </c>
      <c r="I898" s="18" t="s">
        <v>4783</v>
      </c>
      <c r="J898" s="18" t="s">
        <v>5074</v>
      </c>
      <c r="K898" s="18" t="s">
        <v>4785</v>
      </c>
      <c r="L898" s="18"/>
      <c r="M898" s="2">
        <v>1500000</v>
      </c>
      <c r="N898" s="2">
        <v>1500000</v>
      </c>
      <c r="O898" s="2"/>
      <c r="P898" s="2" t="str">
        <f t="shared" ref="P898:P961" si="56">IF(OR(M898="",N898="",M898=N898),"",N898-M898)</f>
        <v/>
      </c>
      <c r="Q898" s="2"/>
      <c r="R898" s="2"/>
      <c r="S898" s="48"/>
      <c r="T898" s="2">
        <v>18000000</v>
      </c>
      <c r="U898" s="2">
        <v>0</v>
      </c>
      <c r="V898" s="1" t="s">
        <v>3450</v>
      </c>
      <c r="W898" s="6" t="s">
        <v>3451</v>
      </c>
      <c r="X898" s="1" t="s">
        <v>3315</v>
      </c>
      <c r="Y898" s="3"/>
      <c r="Z898" s="3"/>
      <c r="AA898" s="3"/>
      <c r="AB898" s="3"/>
      <c r="AC898" s="3"/>
      <c r="AD898" s="3"/>
      <c r="AE898" s="3">
        <v>1500000</v>
      </c>
      <c r="AF898" s="3">
        <v>1500000</v>
      </c>
      <c r="AG898" s="3">
        <v>1500000</v>
      </c>
      <c r="AH898" s="3">
        <v>1500000</v>
      </c>
      <c r="AI898" s="3">
        <v>1500000</v>
      </c>
      <c r="AJ898" s="3">
        <v>1500000</v>
      </c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>
        <f t="shared" ref="AW898:AW961" si="57">SUM(Y898:AJ898)</f>
        <v>9000000</v>
      </c>
      <c r="AX898" s="3">
        <f t="shared" ref="AX898:AX961" si="58">SUM(AK898:AV898)</f>
        <v>0</v>
      </c>
      <c r="AY898" s="4">
        <f t="shared" ref="AY898:AY961" si="59">COUNT(Y898:AV898)</f>
        <v>6</v>
      </c>
      <c r="BA898" s="4" t="s">
        <v>5726</v>
      </c>
      <c r="BB898" s="2"/>
      <c r="BC898" s="3"/>
      <c r="BD898" s="4"/>
    </row>
    <row r="899" spans="1:56" ht="16.8" customHeight="1">
      <c r="A899" s="1">
        <v>898</v>
      </c>
      <c r="B899" s="1" t="s">
        <v>3175</v>
      </c>
      <c r="C899" s="1" t="s">
        <v>3389</v>
      </c>
      <c r="D899" s="1" t="s">
        <v>3452</v>
      </c>
      <c r="E899" s="1" t="s">
        <v>3452</v>
      </c>
      <c r="F899" s="1" t="s">
        <v>3453</v>
      </c>
      <c r="G899" s="1" t="s">
        <v>3454</v>
      </c>
      <c r="H899" s="1" t="s">
        <v>4640</v>
      </c>
      <c r="I899" s="18" t="s">
        <v>4783</v>
      </c>
      <c r="J899" s="18" t="s">
        <v>5074</v>
      </c>
      <c r="K899" s="18" t="s">
        <v>4785</v>
      </c>
      <c r="L899" s="18"/>
      <c r="M899" s="2">
        <v>1500000</v>
      </c>
      <c r="N899" s="2">
        <v>1500000</v>
      </c>
      <c r="O899" s="2"/>
      <c r="P899" s="2" t="str">
        <f t="shared" si="56"/>
        <v/>
      </c>
      <c r="Q899" s="2"/>
      <c r="R899" s="2"/>
      <c r="S899" s="48"/>
      <c r="T899" s="2">
        <v>18000000</v>
      </c>
      <c r="U899" s="2">
        <v>0</v>
      </c>
      <c r="V899" s="1" t="s">
        <v>3454</v>
      </c>
      <c r="W899" s="6" t="s">
        <v>3455</v>
      </c>
      <c r="X899" s="1" t="s">
        <v>3257</v>
      </c>
      <c r="Y899" s="3">
        <v>1500000</v>
      </c>
      <c r="Z899" s="3">
        <v>1500000</v>
      </c>
      <c r="AA899" s="3">
        <v>1500000</v>
      </c>
      <c r="AB899" s="3">
        <v>1500000</v>
      </c>
      <c r="AC899" s="3">
        <v>1500000</v>
      </c>
      <c r="AD899" s="3">
        <v>1500000</v>
      </c>
      <c r="AE899" s="3">
        <v>1500000</v>
      </c>
      <c r="AF899" s="3">
        <v>1500000</v>
      </c>
      <c r="AG899" s="3">
        <v>1500000</v>
      </c>
      <c r="AH899" s="3">
        <v>1500000</v>
      </c>
      <c r="AI899" s="3">
        <v>1500000</v>
      </c>
      <c r="AJ899" s="3">
        <v>1500000</v>
      </c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>
        <f t="shared" si="57"/>
        <v>18000000</v>
      </c>
      <c r="AX899" s="3">
        <f t="shared" si="58"/>
        <v>0</v>
      </c>
      <c r="AY899" s="4">
        <f t="shared" si="59"/>
        <v>12</v>
      </c>
      <c r="BA899" s="4" t="s">
        <v>5726</v>
      </c>
      <c r="BB899" s="2"/>
      <c r="BC899" s="3"/>
      <c r="BD899" s="4"/>
    </row>
    <row r="900" spans="1:56" ht="16.8" customHeight="1">
      <c r="A900" s="1">
        <v>899</v>
      </c>
      <c r="B900" s="1" t="s">
        <v>3175</v>
      </c>
      <c r="C900" s="1" t="s">
        <v>3389</v>
      </c>
      <c r="D900" s="1" t="s">
        <v>3456</v>
      </c>
      <c r="E900" s="1" t="s">
        <v>3456</v>
      </c>
      <c r="F900" s="1" t="s">
        <v>3457</v>
      </c>
      <c r="G900" s="1" t="s">
        <v>3458</v>
      </c>
      <c r="H900" s="1" t="s">
        <v>5043</v>
      </c>
      <c r="I900" s="18"/>
      <c r="J900" s="18"/>
      <c r="K900" s="18"/>
      <c r="L900" s="18"/>
      <c r="M900" s="2">
        <v>3100000</v>
      </c>
      <c r="N900" s="2">
        <v>3100000</v>
      </c>
      <c r="O900" s="2"/>
      <c r="P900" s="2" t="str">
        <f t="shared" si="56"/>
        <v/>
      </c>
      <c r="Q900" s="2">
        <v>5000000</v>
      </c>
      <c r="R900" s="2"/>
      <c r="S900" s="48">
        <v>46023</v>
      </c>
      <c r="T900" s="2">
        <v>0</v>
      </c>
      <c r="U900" s="2">
        <v>0</v>
      </c>
      <c r="V900" s="1"/>
      <c r="W900" s="6"/>
      <c r="X900" s="1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>
        <f t="shared" si="57"/>
        <v>0</v>
      </c>
      <c r="AX900" s="3">
        <f t="shared" si="58"/>
        <v>0</v>
      </c>
      <c r="AY900" s="4">
        <f t="shared" si="59"/>
        <v>0</v>
      </c>
      <c r="BA900" s="4" t="s">
        <v>5726</v>
      </c>
      <c r="BB900" s="2"/>
      <c r="BC900" s="3"/>
      <c r="BD900" s="4"/>
    </row>
    <row r="901" spans="1:56" ht="16.8" customHeight="1">
      <c r="A901" s="1">
        <v>900</v>
      </c>
      <c r="B901" s="1" t="s">
        <v>3175</v>
      </c>
      <c r="C901" s="1" t="s">
        <v>3389</v>
      </c>
      <c r="D901" s="1" t="s">
        <v>3459</v>
      </c>
      <c r="E901" s="1" t="s">
        <v>3459</v>
      </c>
      <c r="F901" s="1" t="s">
        <v>3460</v>
      </c>
      <c r="G901" s="1" t="s">
        <v>3461</v>
      </c>
      <c r="H901" s="1" t="s">
        <v>5313</v>
      </c>
      <c r="I901" s="18" t="s">
        <v>5018</v>
      </c>
      <c r="J901" s="18" t="s">
        <v>5018</v>
      </c>
      <c r="K901" s="18" t="s">
        <v>5003</v>
      </c>
      <c r="L901" s="18" t="s">
        <v>4734</v>
      </c>
      <c r="M901" s="2">
        <v>3100000</v>
      </c>
      <c r="N901" s="2">
        <v>4000000</v>
      </c>
      <c r="O901" s="2">
        <v>4000000</v>
      </c>
      <c r="P901" s="2">
        <f t="shared" si="56"/>
        <v>900000</v>
      </c>
      <c r="Q901" s="2"/>
      <c r="R901" s="2"/>
      <c r="S901" s="48"/>
      <c r="T901" s="2">
        <v>37200000</v>
      </c>
      <c r="U901" s="2">
        <v>0</v>
      </c>
      <c r="V901" s="1" t="s">
        <v>3461</v>
      </c>
      <c r="W901" s="6" t="s">
        <v>3462</v>
      </c>
      <c r="X901" s="1" t="s">
        <v>3278</v>
      </c>
      <c r="Y901" s="3">
        <v>3100000</v>
      </c>
      <c r="Z901" s="3">
        <v>3100000</v>
      </c>
      <c r="AA901" s="3">
        <v>3100000</v>
      </c>
      <c r="AB901" s="3">
        <v>3100000</v>
      </c>
      <c r="AC901" s="3">
        <v>3100000</v>
      </c>
      <c r="AD901" s="3">
        <v>3100000</v>
      </c>
      <c r="AE901" s="3">
        <v>3100000</v>
      </c>
      <c r="AF901" s="3">
        <v>3100000</v>
      </c>
      <c r="AG901" s="3">
        <v>3100000</v>
      </c>
      <c r="AH901" s="3">
        <v>3100000</v>
      </c>
      <c r="AI901" s="3">
        <v>3100000</v>
      </c>
      <c r="AJ901" s="3">
        <v>3100000</v>
      </c>
      <c r="AK901" s="3">
        <v>4000000</v>
      </c>
      <c r="AL901" s="3">
        <v>4000000</v>
      </c>
      <c r="AM901" s="3">
        <v>4000000</v>
      </c>
      <c r="AN901" s="3">
        <v>4000000</v>
      </c>
      <c r="AO901" s="3">
        <v>4000000</v>
      </c>
      <c r="AP901" s="3">
        <v>4000000</v>
      </c>
      <c r="AQ901" s="3">
        <v>4000000</v>
      </c>
      <c r="AR901" s="3">
        <v>4000000</v>
      </c>
      <c r="AS901" s="3">
        <v>4000000</v>
      </c>
      <c r="AT901" s="3">
        <v>4000000</v>
      </c>
      <c r="AU901" s="3">
        <v>4000000</v>
      </c>
      <c r="AV901" s="3">
        <v>4000000</v>
      </c>
      <c r="AW901" s="3">
        <f t="shared" si="57"/>
        <v>37200000</v>
      </c>
      <c r="AX901" s="3">
        <f t="shared" si="58"/>
        <v>48000000</v>
      </c>
      <c r="AY901" s="4">
        <f t="shared" si="59"/>
        <v>24</v>
      </c>
      <c r="AZ901" s="8" t="s">
        <v>5495</v>
      </c>
      <c r="BA901" s="4" t="s">
        <v>5726</v>
      </c>
      <c r="BB901" s="2"/>
      <c r="BC901" s="3"/>
      <c r="BD901" s="3"/>
    </row>
    <row r="902" spans="1:56" ht="16.8" customHeight="1">
      <c r="A902" s="1">
        <v>901</v>
      </c>
      <c r="B902" s="1" t="s">
        <v>3175</v>
      </c>
      <c r="C902" s="1" t="s">
        <v>3389</v>
      </c>
      <c r="D902" s="1" t="s">
        <v>3463</v>
      </c>
      <c r="E902" s="1" t="s">
        <v>3463</v>
      </c>
      <c r="F902" s="1" t="s">
        <v>3464</v>
      </c>
      <c r="G902" s="1" t="s">
        <v>3465</v>
      </c>
      <c r="H902" s="1" t="s">
        <v>5043</v>
      </c>
      <c r="I902" s="18"/>
      <c r="J902" s="18"/>
      <c r="K902" s="18"/>
      <c r="L902" s="18"/>
      <c r="M902" s="2">
        <v>3500000</v>
      </c>
      <c r="N902" s="2">
        <v>3500000</v>
      </c>
      <c r="O902" s="2"/>
      <c r="P902" s="2" t="str">
        <f t="shared" si="56"/>
        <v/>
      </c>
      <c r="Q902" s="2"/>
      <c r="R902" s="2"/>
      <c r="S902" s="48"/>
      <c r="T902" s="2">
        <v>0</v>
      </c>
      <c r="U902" s="2">
        <v>0</v>
      </c>
      <c r="V902" s="1"/>
      <c r="W902" s="6"/>
      <c r="X902" s="1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>
        <f t="shared" si="57"/>
        <v>0</v>
      </c>
      <c r="AX902" s="3">
        <f t="shared" si="58"/>
        <v>0</v>
      </c>
      <c r="AY902" s="4">
        <f t="shared" si="59"/>
        <v>0</v>
      </c>
      <c r="BA902" s="4" t="s">
        <v>5726</v>
      </c>
      <c r="BB902" s="2"/>
      <c r="BC902" s="3"/>
      <c r="BD902" s="4"/>
    </row>
    <row r="903" spans="1:56" ht="16.8" customHeight="1">
      <c r="A903" s="1">
        <v>902</v>
      </c>
      <c r="B903" s="1" t="s">
        <v>3175</v>
      </c>
      <c r="C903" s="1" t="s">
        <v>3389</v>
      </c>
      <c r="D903" s="1" t="s">
        <v>3466</v>
      </c>
      <c r="E903" s="1" t="s">
        <v>3466</v>
      </c>
      <c r="F903" s="1" t="s">
        <v>3467</v>
      </c>
      <c r="G903" s="1" t="s">
        <v>3468</v>
      </c>
      <c r="H903" s="1" t="s">
        <v>4641</v>
      </c>
      <c r="I903" s="18" t="s">
        <v>4783</v>
      </c>
      <c r="J903" s="18" t="s">
        <v>4783</v>
      </c>
      <c r="K903" s="18" t="s">
        <v>4755</v>
      </c>
      <c r="L903" s="18" t="s">
        <v>4734</v>
      </c>
      <c r="M903" s="2">
        <v>3000000</v>
      </c>
      <c r="N903" s="2">
        <v>3000000</v>
      </c>
      <c r="O903" s="2"/>
      <c r="P903" s="2" t="str">
        <f t="shared" si="56"/>
        <v/>
      </c>
      <c r="Q903" s="2"/>
      <c r="R903" s="2"/>
      <c r="S903" s="48"/>
      <c r="T903" s="2">
        <v>0</v>
      </c>
      <c r="U903" s="2">
        <v>0</v>
      </c>
      <c r="V903" s="1" t="s">
        <v>3468</v>
      </c>
      <c r="W903" s="6" t="s">
        <v>3469</v>
      </c>
      <c r="X903" s="1" t="s">
        <v>3470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>
        <v>3000000</v>
      </c>
      <c r="AL903" s="3">
        <v>3000000</v>
      </c>
      <c r="AM903" s="3">
        <v>3000000</v>
      </c>
      <c r="AN903" s="3">
        <v>3000000</v>
      </c>
      <c r="AO903" s="3">
        <v>3000000</v>
      </c>
      <c r="AP903" s="3">
        <v>3000000</v>
      </c>
      <c r="AQ903" s="3">
        <v>3000000</v>
      </c>
      <c r="AR903" s="3">
        <v>3000000</v>
      </c>
      <c r="AS903" s="3">
        <v>3000000</v>
      </c>
      <c r="AT903" s="3">
        <v>3000000</v>
      </c>
      <c r="AU903" s="3">
        <v>3000000</v>
      </c>
      <c r="AV903" s="3">
        <v>3000000</v>
      </c>
      <c r="AW903" s="3">
        <f t="shared" si="57"/>
        <v>0</v>
      </c>
      <c r="AX903" s="3">
        <f t="shared" si="58"/>
        <v>36000000</v>
      </c>
      <c r="AY903" s="4">
        <f t="shared" si="59"/>
        <v>12</v>
      </c>
      <c r="AZ903" s="8">
        <v>0</v>
      </c>
      <c r="BA903" s="4" t="s">
        <v>5726</v>
      </c>
      <c r="BB903" s="2">
        <v>36000000</v>
      </c>
      <c r="BC903" s="3"/>
      <c r="BD903" s="3"/>
    </row>
    <row r="904" spans="1:56" ht="16.8" customHeight="1">
      <c r="A904" s="1">
        <v>903</v>
      </c>
      <c r="B904" s="1" t="s">
        <v>3175</v>
      </c>
      <c r="C904" s="1" t="s">
        <v>3389</v>
      </c>
      <c r="D904" s="1" t="s">
        <v>3471</v>
      </c>
      <c r="E904" s="1" t="s">
        <v>3471</v>
      </c>
      <c r="F904" s="1" t="s">
        <v>3472</v>
      </c>
      <c r="G904" s="1" t="s">
        <v>3473</v>
      </c>
      <c r="H904" s="1" t="s">
        <v>4642</v>
      </c>
      <c r="I904" s="18" t="s">
        <v>4783</v>
      </c>
      <c r="J904" s="18" t="s">
        <v>5018</v>
      </c>
      <c r="K904" s="18" t="s">
        <v>4742</v>
      </c>
      <c r="L904" s="18" t="s">
        <v>4734</v>
      </c>
      <c r="M904" s="2">
        <v>3100000</v>
      </c>
      <c r="N904" s="2">
        <v>3100000</v>
      </c>
      <c r="O904" s="2"/>
      <c r="P904" s="2" t="str">
        <f t="shared" si="56"/>
        <v/>
      </c>
      <c r="Q904" s="2"/>
      <c r="R904" s="2"/>
      <c r="S904" s="48"/>
      <c r="T904" s="2">
        <v>0</v>
      </c>
      <c r="U904" s="2">
        <v>0</v>
      </c>
      <c r="V904" s="1" t="s">
        <v>3474</v>
      </c>
      <c r="W904" s="6" t="s">
        <v>3475</v>
      </c>
      <c r="X904" s="1" t="s">
        <v>3476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>
        <v>3100000</v>
      </c>
      <c r="AL904" s="3">
        <v>3100000</v>
      </c>
      <c r="AM904" s="3">
        <v>3100000</v>
      </c>
      <c r="AN904" s="3">
        <v>3100000</v>
      </c>
      <c r="AO904" s="3">
        <v>3100000</v>
      </c>
      <c r="AP904" s="3">
        <v>3100000</v>
      </c>
      <c r="AQ904" s="3">
        <v>3100000</v>
      </c>
      <c r="AR904" s="3">
        <v>3100000</v>
      </c>
      <c r="AS904" s="3">
        <v>3100000</v>
      </c>
      <c r="AT904" s="3">
        <v>3100000</v>
      </c>
      <c r="AU904" s="3">
        <v>3100000</v>
      </c>
      <c r="AV904" s="3">
        <v>3100000</v>
      </c>
      <c r="AW904" s="3">
        <f t="shared" si="57"/>
        <v>0</v>
      </c>
      <c r="AX904" s="3">
        <f t="shared" si="58"/>
        <v>37200000</v>
      </c>
      <c r="AY904" s="4">
        <f t="shared" si="59"/>
        <v>12</v>
      </c>
      <c r="AZ904" s="8">
        <v>0</v>
      </c>
      <c r="BA904" s="4" t="s">
        <v>5709</v>
      </c>
      <c r="BB904" s="2"/>
      <c r="BC904" s="3"/>
      <c r="BD904" s="4"/>
    </row>
    <row r="905" spans="1:56" ht="16.8" customHeight="1">
      <c r="A905" s="1">
        <v>904</v>
      </c>
      <c r="B905" s="1" t="s">
        <v>3175</v>
      </c>
      <c r="C905" s="1" t="s">
        <v>3389</v>
      </c>
      <c r="D905" s="1" t="s">
        <v>3477</v>
      </c>
      <c r="E905" s="1" t="s">
        <v>3477</v>
      </c>
      <c r="F905" s="1" t="s">
        <v>3478</v>
      </c>
      <c r="G905" s="1" t="s">
        <v>3479</v>
      </c>
      <c r="H905" s="1" t="s">
        <v>5314</v>
      </c>
      <c r="I905" s="18" t="s">
        <v>4783</v>
      </c>
      <c r="J905" s="18" t="s">
        <v>5018</v>
      </c>
      <c r="K905" s="18" t="s">
        <v>4742</v>
      </c>
      <c r="L905" s="18" t="s">
        <v>4734</v>
      </c>
      <c r="M905" s="2">
        <v>3100000</v>
      </c>
      <c r="N905" s="2">
        <v>3100000</v>
      </c>
      <c r="O905" s="2"/>
      <c r="P905" s="2" t="str">
        <f t="shared" si="56"/>
        <v/>
      </c>
      <c r="Q905" s="2"/>
      <c r="R905" s="2"/>
      <c r="S905" s="48"/>
      <c r="T905" s="2">
        <v>0</v>
      </c>
      <c r="U905" s="2">
        <v>0</v>
      </c>
      <c r="V905" s="1" t="s">
        <v>3479</v>
      </c>
      <c r="W905" s="6" t="s">
        <v>3480</v>
      </c>
      <c r="X905" s="1" t="s">
        <v>333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>
        <v>3100000</v>
      </c>
      <c r="AL905" s="3">
        <v>3100000</v>
      </c>
      <c r="AM905" s="3">
        <v>3100000</v>
      </c>
      <c r="AN905" s="3">
        <v>3100000</v>
      </c>
      <c r="AO905" s="3">
        <v>3100000</v>
      </c>
      <c r="AP905" s="3">
        <v>3100000</v>
      </c>
      <c r="AQ905" s="3">
        <v>3100000</v>
      </c>
      <c r="AR905" s="3">
        <v>3100000</v>
      </c>
      <c r="AS905" s="3">
        <v>3100000</v>
      </c>
      <c r="AT905" s="3">
        <v>3100000</v>
      </c>
      <c r="AU905" s="3">
        <v>3100000</v>
      </c>
      <c r="AV905" s="3">
        <v>3100000</v>
      </c>
      <c r="AW905" s="3">
        <f t="shared" si="57"/>
        <v>0</v>
      </c>
      <c r="AX905" s="3">
        <f t="shared" si="58"/>
        <v>37200000</v>
      </c>
      <c r="AY905" s="4">
        <f t="shared" si="59"/>
        <v>12</v>
      </c>
      <c r="AZ905" s="8" t="s">
        <v>5495</v>
      </c>
      <c r="BA905" s="4" t="s">
        <v>5726</v>
      </c>
      <c r="BB905" s="2"/>
      <c r="BC905" s="3"/>
      <c r="BD905" s="3"/>
    </row>
    <row r="906" spans="1:56" ht="16.8" customHeight="1">
      <c r="A906" s="1">
        <v>905</v>
      </c>
      <c r="B906" s="1" t="s">
        <v>3175</v>
      </c>
      <c r="C906" s="1" t="s">
        <v>3389</v>
      </c>
      <c r="D906" s="1" t="s">
        <v>3481</v>
      </c>
      <c r="E906" s="1" t="s">
        <v>3481</v>
      </c>
      <c r="F906" s="1" t="s">
        <v>3482</v>
      </c>
      <c r="G906" s="1" t="s">
        <v>2249</v>
      </c>
      <c r="H906" s="1" t="s">
        <v>4643</v>
      </c>
      <c r="I906" s="18" t="s">
        <v>4783</v>
      </c>
      <c r="J906" s="18" t="s">
        <v>5074</v>
      </c>
      <c r="K906" s="18" t="s">
        <v>4742</v>
      </c>
      <c r="L906" s="18" t="s">
        <v>4734</v>
      </c>
      <c r="M906" s="2">
        <v>1300000</v>
      </c>
      <c r="N906" s="2">
        <v>1300000</v>
      </c>
      <c r="O906" s="2"/>
      <c r="P906" s="2" t="str">
        <f t="shared" si="56"/>
        <v/>
      </c>
      <c r="Q906" s="2"/>
      <c r="R906" s="2"/>
      <c r="S906" s="48"/>
      <c r="T906" s="2">
        <v>15600000</v>
      </c>
      <c r="U906" s="2">
        <v>0</v>
      </c>
      <c r="V906" s="1" t="s">
        <v>2249</v>
      </c>
      <c r="W906" s="6" t="s">
        <v>3483</v>
      </c>
      <c r="X906" s="1" t="s">
        <v>3257</v>
      </c>
      <c r="Y906" s="3"/>
      <c r="Z906" s="3"/>
      <c r="AA906" s="3"/>
      <c r="AB906" s="3"/>
      <c r="AC906" s="3"/>
      <c r="AD906" s="3"/>
      <c r="AE906" s="3">
        <v>1300000</v>
      </c>
      <c r="AF906" s="3">
        <v>1300000</v>
      </c>
      <c r="AG906" s="3">
        <v>1300000</v>
      </c>
      <c r="AH906" s="3">
        <v>1300000</v>
      </c>
      <c r="AI906" s="3">
        <v>1300000</v>
      </c>
      <c r="AJ906" s="3">
        <v>1300000</v>
      </c>
      <c r="AK906" s="3">
        <v>1300000</v>
      </c>
      <c r="AL906" s="3">
        <v>1300000</v>
      </c>
      <c r="AM906" s="3">
        <v>1300000</v>
      </c>
      <c r="AN906" s="3">
        <v>1300000</v>
      </c>
      <c r="AO906" s="3">
        <v>1300000</v>
      </c>
      <c r="AP906" s="3">
        <v>1300000</v>
      </c>
      <c r="AQ906" s="3">
        <v>1300000</v>
      </c>
      <c r="AR906" s="3">
        <v>1300000</v>
      </c>
      <c r="AS906" s="3">
        <v>1300000</v>
      </c>
      <c r="AT906" s="3">
        <v>1300000</v>
      </c>
      <c r="AU906" s="3">
        <v>1300000</v>
      </c>
      <c r="AV906" s="3">
        <v>1300000</v>
      </c>
      <c r="AW906" s="3">
        <f t="shared" si="57"/>
        <v>7800000</v>
      </c>
      <c r="AX906" s="3">
        <f t="shared" si="58"/>
        <v>15600000</v>
      </c>
      <c r="AY906" s="4">
        <f t="shared" si="59"/>
        <v>18</v>
      </c>
      <c r="AZ906" s="8" t="s">
        <v>5617</v>
      </c>
      <c r="BA906" s="4" t="s">
        <v>5726</v>
      </c>
      <c r="BB906" s="2">
        <v>15600000</v>
      </c>
      <c r="BC906" s="3"/>
      <c r="BD906" s="3"/>
    </row>
    <row r="907" spans="1:56" ht="16.8" customHeight="1">
      <c r="A907" s="1">
        <v>906</v>
      </c>
      <c r="B907" s="1" t="s">
        <v>3175</v>
      </c>
      <c r="C907" s="1" t="s">
        <v>3389</v>
      </c>
      <c r="D907" s="1" t="s">
        <v>3484</v>
      </c>
      <c r="E907" s="1" t="s">
        <v>3484</v>
      </c>
      <c r="F907" s="1" t="s">
        <v>3485</v>
      </c>
      <c r="G907" s="1" t="s">
        <v>3486</v>
      </c>
      <c r="H907" s="1" t="s">
        <v>5315</v>
      </c>
      <c r="I907" s="18" t="s">
        <v>4783</v>
      </c>
      <c r="J907" s="18" t="s">
        <v>4783</v>
      </c>
      <c r="K907" s="18" t="s">
        <v>4742</v>
      </c>
      <c r="L907" s="18" t="s">
        <v>4734</v>
      </c>
      <c r="M907" s="2">
        <v>3000000</v>
      </c>
      <c r="N907" s="2">
        <v>3300000</v>
      </c>
      <c r="O907" s="2">
        <v>3300000</v>
      </c>
      <c r="P907" s="2">
        <f t="shared" si="56"/>
        <v>300000</v>
      </c>
      <c r="Q907" s="2"/>
      <c r="R907" s="2"/>
      <c r="S907" s="48"/>
      <c r="T907" s="2">
        <v>0</v>
      </c>
      <c r="U907" s="2">
        <v>0</v>
      </c>
      <c r="V907" s="1" t="s">
        <v>3486</v>
      </c>
      <c r="W907" s="6" t="s">
        <v>3487</v>
      </c>
      <c r="X907" s="1" t="s">
        <v>324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>
        <v>3300000</v>
      </c>
      <c r="AL907" s="3">
        <v>3300000</v>
      </c>
      <c r="AM907" s="3">
        <v>3300000</v>
      </c>
      <c r="AN907" s="3">
        <v>3300000</v>
      </c>
      <c r="AO907" s="3">
        <v>3300000</v>
      </c>
      <c r="AP907" s="3">
        <v>3300000</v>
      </c>
      <c r="AQ907" s="3">
        <v>3300000</v>
      </c>
      <c r="AR907" s="3">
        <v>3300000</v>
      </c>
      <c r="AS907" s="3">
        <v>3300000</v>
      </c>
      <c r="AT907" s="3">
        <v>3300000</v>
      </c>
      <c r="AU907" s="3">
        <v>3300000</v>
      </c>
      <c r="AV907" s="3">
        <v>3300000</v>
      </c>
      <c r="AW907" s="3">
        <f t="shared" si="57"/>
        <v>0</v>
      </c>
      <c r="AX907" s="3">
        <f t="shared" si="58"/>
        <v>39600000</v>
      </c>
      <c r="AY907" s="4">
        <f t="shared" si="59"/>
        <v>12</v>
      </c>
      <c r="AZ907" s="8" t="s">
        <v>5528</v>
      </c>
      <c r="BA907" s="4" t="s">
        <v>5726</v>
      </c>
      <c r="BB907" s="2"/>
      <c r="BC907" s="3"/>
      <c r="BD907" s="3"/>
    </row>
    <row r="908" spans="1:56" ht="16.8" customHeight="1">
      <c r="A908" s="1">
        <v>907</v>
      </c>
      <c r="B908" s="1" t="s">
        <v>3175</v>
      </c>
      <c r="C908" s="1" t="s">
        <v>3389</v>
      </c>
      <c r="D908" s="1" t="s">
        <v>3488</v>
      </c>
      <c r="E908" s="1" t="s">
        <v>3488</v>
      </c>
      <c r="F908" s="1" t="s">
        <v>3489</v>
      </c>
      <c r="G908" s="1" t="s">
        <v>3490</v>
      </c>
      <c r="H908" s="1" t="s">
        <v>5137</v>
      </c>
      <c r="I908" s="18" t="s">
        <v>4783</v>
      </c>
      <c r="J908" s="18" t="s">
        <v>5018</v>
      </c>
      <c r="K908" s="18" t="s">
        <v>4785</v>
      </c>
      <c r="L908" s="18" t="s">
        <v>4734</v>
      </c>
      <c r="M908" s="2">
        <v>4000000</v>
      </c>
      <c r="N908" s="2">
        <v>4000000</v>
      </c>
      <c r="O908" s="2"/>
      <c r="P908" s="2" t="str">
        <f t="shared" si="56"/>
        <v/>
      </c>
      <c r="Q908" s="2"/>
      <c r="R908" s="2"/>
      <c r="S908" s="48"/>
      <c r="T908" s="2">
        <v>0</v>
      </c>
      <c r="U908" s="2">
        <v>0</v>
      </c>
      <c r="V908" s="1" t="s">
        <v>3490</v>
      </c>
      <c r="W908" s="6" t="s">
        <v>3491</v>
      </c>
      <c r="X908" s="1" t="s">
        <v>2921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>
        <v>4000000</v>
      </c>
      <c r="AL908" s="3">
        <v>4000000</v>
      </c>
      <c r="AM908" s="3">
        <v>4000000</v>
      </c>
      <c r="AN908" s="3">
        <v>4000000</v>
      </c>
      <c r="AO908" s="3">
        <v>4000000</v>
      </c>
      <c r="AP908" s="3">
        <v>4000000</v>
      </c>
      <c r="AQ908" s="3">
        <v>4000000</v>
      </c>
      <c r="AR908" s="3">
        <v>4000000</v>
      </c>
      <c r="AS908" s="3">
        <v>4000000</v>
      </c>
      <c r="AT908" s="3">
        <v>4000000</v>
      </c>
      <c r="AU908" s="3">
        <v>4000000</v>
      </c>
      <c r="AV908" s="3">
        <v>4000000</v>
      </c>
      <c r="AW908" s="3">
        <f t="shared" si="57"/>
        <v>0</v>
      </c>
      <c r="AX908" s="3">
        <f t="shared" si="58"/>
        <v>48000000</v>
      </c>
      <c r="AY908" s="4">
        <f t="shared" si="59"/>
        <v>12</v>
      </c>
      <c r="AZ908" s="8">
        <v>0</v>
      </c>
      <c r="BA908" s="4" t="s">
        <v>5726</v>
      </c>
      <c r="BB908" s="2"/>
      <c r="BC908" s="3"/>
      <c r="BD908" s="3"/>
    </row>
    <row r="909" spans="1:56" ht="16.8" customHeight="1">
      <c r="A909" s="1">
        <v>908</v>
      </c>
      <c r="B909" s="1" t="s">
        <v>3175</v>
      </c>
      <c r="C909" s="1" t="s">
        <v>3389</v>
      </c>
      <c r="D909" s="1" t="s">
        <v>3492</v>
      </c>
      <c r="E909" s="1" t="s">
        <v>3492</v>
      </c>
      <c r="F909" s="1" t="s">
        <v>3493</v>
      </c>
      <c r="G909" s="1" t="s">
        <v>3494</v>
      </c>
      <c r="H909" s="1" t="s">
        <v>5316</v>
      </c>
      <c r="I909" s="18" t="s">
        <v>4783</v>
      </c>
      <c r="J909" s="18" t="s">
        <v>5074</v>
      </c>
      <c r="K909" s="18" t="s">
        <v>4742</v>
      </c>
      <c r="L909" s="18" t="s">
        <v>4734</v>
      </c>
      <c r="M909" s="2">
        <v>3000000</v>
      </c>
      <c r="N909" s="2">
        <v>3000000</v>
      </c>
      <c r="O909" s="2"/>
      <c r="P909" s="2" t="str">
        <f t="shared" si="56"/>
        <v/>
      </c>
      <c r="Q909" s="2"/>
      <c r="R909" s="2"/>
      <c r="S909" s="48"/>
      <c r="T909" s="2">
        <v>36000000</v>
      </c>
      <c r="U909" s="2">
        <v>0</v>
      </c>
      <c r="V909" s="1" t="s">
        <v>3494</v>
      </c>
      <c r="W909" s="6" t="s">
        <v>3495</v>
      </c>
      <c r="X909" s="1" t="s">
        <v>3257</v>
      </c>
      <c r="Y909" s="3">
        <v>3000000</v>
      </c>
      <c r="Z909" s="3">
        <v>3000000</v>
      </c>
      <c r="AA909" s="3">
        <v>3000000</v>
      </c>
      <c r="AB909" s="3">
        <v>3000000</v>
      </c>
      <c r="AC909" s="3">
        <v>3000000</v>
      </c>
      <c r="AD909" s="3">
        <v>3000000</v>
      </c>
      <c r="AE909" s="3">
        <v>3000000</v>
      </c>
      <c r="AF909" s="3">
        <v>3000000</v>
      </c>
      <c r="AG909" s="3">
        <v>3000000</v>
      </c>
      <c r="AH909" s="3">
        <v>3000000</v>
      </c>
      <c r="AI909" s="3">
        <v>3000000</v>
      </c>
      <c r="AJ909" s="3">
        <v>3000000</v>
      </c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>
        <f t="shared" si="57"/>
        <v>36000000</v>
      </c>
      <c r="AX909" s="3">
        <f t="shared" si="58"/>
        <v>0</v>
      </c>
      <c r="AY909" s="4">
        <f t="shared" si="59"/>
        <v>12</v>
      </c>
      <c r="AZ909" s="8" t="s">
        <v>5618</v>
      </c>
      <c r="BA909" s="4" t="s">
        <v>5726</v>
      </c>
      <c r="BB909" s="2"/>
      <c r="BC909" s="3"/>
      <c r="BD909" s="4"/>
    </row>
    <row r="910" spans="1:56" ht="16.8" customHeight="1">
      <c r="A910" s="1">
        <v>909</v>
      </c>
      <c r="B910" s="1" t="s">
        <v>3175</v>
      </c>
      <c r="C910" s="1" t="s">
        <v>3389</v>
      </c>
      <c r="D910" s="1" t="s">
        <v>3496</v>
      </c>
      <c r="E910" s="1" t="s">
        <v>3496</v>
      </c>
      <c r="F910" s="1" t="s">
        <v>3497</v>
      </c>
      <c r="G910" s="1" t="s">
        <v>3498</v>
      </c>
      <c r="H910" s="1" t="s">
        <v>5317</v>
      </c>
      <c r="I910" s="18" t="s">
        <v>4783</v>
      </c>
      <c r="J910" s="18" t="s">
        <v>5074</v>
      </c>
      <c r="K910" s="18" t="s">
        <v>4770</v>
      </c>
      <c r="L910" s="18" t="s">
        <v>4734</v>
      </c>
      <c r="M910" s="2">
        <v>3000000</v>
      </c>
      <c r="N910" s="2">
        <v>3000000</v>
      </c>
      <c r="O910" s="2"/>
      <c r="P910" s="2" t="str">
        <f t="shared" si="56"/>
        <v/>
      </c>
      <c r="Q910" s="2">
        <v>5000000</v>
      </c>
      <c r="R910" s="2"/>
      <c r="S910" s="48">
        <v>46023</v>
      </c>
      <c r="T910" s="2">
        <v>36000000</v>
      </c>
      <c r="U910" s="2">
        <v>0</v>
      </c>
      <c r="V910" s="1" t="s">
        <v>3498</v>
      </c>
      <c r="W910" s="6" t="s">
        <v>3499</v>
      </c>
      <c r="X910" s="1" t="s">
        <v>3435</v>
      </c>
      <c r="Y910" s="3">
        <v>3000000</v>
      </c>
      <c r="Z910" s="3">
        <v>3000000</v>
      </c>
      <c r="AA910" s="3">
        <v>3000000</v>
      </c>
      <c r="AB910" s="3">
        <v>3000000</v>
      </c>
      <c r="AC910" s="3">
        <v>3000000</v>
      </c>
      <c r="AD910" s="3">
        <v>3000000</v>
      </c>
      <c r="AE910" s="3">
        <v>3000000</v>
      </c>
      <c r="AF910" s="3">
        <v>3000000</v>
      </c>
      <c r="AG910" s="3">
        <v>3000000</v>
      </c>
      <c r="AH910" s="3">
        <v>3000000</v>
      </c>
      <c r="AI910" s="3">
        <v>3000000</v>
      </c>
      <c r="AJ910" s="3">
        <v>3000000</v>
      </c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>
        <f t="shared" si="57"/>
        <v>36000000</v>
      </c>
      <c r="AX910" s="3">
        <f t="shared" si="58"/>
        <v>0</v>
      </c>
      <c r="AY910" s="4">
        <f t="shared" si="59"/>
        <v>12</v>
      </c>
      <c r="AZ910" s="8" t="s">
        <v>5618</v>
      </c>
      <c r="BA910" s="4" t="s">
        <v>5726</v>
      </c>
      <c r="BB910" s="2"/>
      <c r="BC910" s="3"/>
      <c r="BD910" s="4"/>
    </row>
    <row r="911" spans="1:56" ht="16.8" customHeight="1">
      <c r="A911" s="1">
        <v>910</v>
      </c>
      <c r="B911" s="1" t="s">
        <v>3175</v>
      </c>
      <c r="C911" s="1" t="s">
        <v>3389</v>
      </c>
      <c r="D911" s="1" t="s">
        <v>3500</v>
      </c>
      <c r="E911" s="1" t="s">
        <v>3500</v>
      </c>
      <c r="F911" s="1" t="s">
        <v>3501</v>
      </c>
      <c r="G911" s="1" t="s">
        <v>3502</v>
      </c>
      <c r="H911" s="1" t="s">
        <v>4644</v>
      </c>
      <c r="I911" s="18" t="s">
        <v>4783</v>
      </c>
      <c r="J911" s="18" t="s">
        <v>5018</v>
      </c>
      <c r="K911" s="18" t="s">
        <v>4742</v>
      </c>
      <c r="L911" s="18" t="s">
        <v>4734</v>
      </c>
      <c r="M911" s="2">
        <v>3500000</v>
      </c>
      <c r="N911" s="2">
        <v>3500000</v>
      </c>
      <c r="O911" s="2"/>
      <c r="P911" s="2" t="str">
        <f t="shared" si="56"/>
        <v/>
      </c>
      <c r="Q911" s="2"/>
      <c r="R911" s="2"/>
      <c r="S911" s="48"/>
      <c r="T911" s="2">
        <v>0</v>
      </c>
      <c r="U911" s="2">
        <v>0</v>
      </c>
      <c r="V911" s="1" t="s">
        <v>3503</v>
      </c>
      <c r="W911" s="6" t="s">
        <v>3504</v>
      </c>
      <c r="X911" s="1" t="s">
        <v>3505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>
        <v>3500000</v>
      </c>
      <c r="AL911" s="3">
        <v>3500000</v>
      </c>
      <c r="AM911" s="3">
        <v>3500000</v>
      </c>
      <c r="AN911" s="3">
        <v>3500000</v>
      </c>
      <c r="AO911" s="3">
        <v>3500000</v>
      </c>
      <c r="AP911" s="3">
        <v>3500000</v>
      </c>
      <c r="AQ911" s="3">
        <v>3500000</v>
      </c>
      <c r="AR911" s="3">
        <v>3500000</v>
      </c>
      <c r="AS911" s="3">
        <v>3500000</v>
      </c>
      <c r="AT911" s="3">
        <v>3500000</v>
      </c>
      <c r="AU911" s="3">
        <v>3500000</v>
      </c>
      <c r="AV911" s="3">
        <v>3500000</v>
      </c>
      <c r="AW911" s="3">
        <f t="shared" si="57"/>
        <v>0</v>
      </c>
      <c r="AX911" s="3">
        <f t="shared" si="58"/>
        <v>42000000</v>
      </c>
      <c r="AY911" s="4">
        <f t="shared" si="59"/>
        <v>12</v>
      </c>
      <c r="AZ911" s="8" t="s">
        <v>5619</v>
      </c>
      <c r="BA911" s="4" t="s">
        <v>5726</v>
      </c>
      <c r="BB911" s="2">
        <v>42000000</v>
      </c>
      <c r="BC911" s="3"/>
      <c r="BD911" s="3"/>
    </row>
    <row r="912" spans="1:56" ht="16.8" customHeight="1">
      <c r="A912" s="1">
        <v>911</v>
      </c>
      <c r="B912" s="1" t="s">
        <v>3175</v>
      </c>
      <c r="C912" s="1" t="s">
        <v>3389</v>
      </c>
      <c r="D912" s="1" t="s">
        <v>3506</v>
      </c>
      <c r="E912" s="1" t="s">
        <v>3506</v>
      </c>
      <c r="F912" s="1" t="s">
        <v>3507</v>
      </c>
      <c r="G912" s="1" t="s">
        <v>3508</v>
      </c>
      <c r="H912" s="1" t="s">
        <v>4645</v>
      </c>
      <c r="I912" s="18" t="s">
        <v>4783</v>
      </c>
      <c r="J912" s="18" t="s">
        <v>5018</v>
      </c>
      <c r="K912" s="18" t="s">
        <v>5136</v>
      </c>
      <c r="L912" s="18" t="s">
        <v>4734</v>
      </c>
      <c r="M912" s="2">
        <v>1500000</v>
      </c>
      <c r="N912" s="2">
        <v>1500000</v>
      </c>
      <c r="O912" s="2"/>
      <c r="P912" s="2" t="str">
        <f t="shared" si="56"/>
        <v/>
      </c>
      <c r="Q912" s="2"/>
      <c r="R912" s="2"/>
      <c r="S912" s="48"/>
      <c r="T912" s="2">
        <v>0</v>
      </c>
      <c r="U912" s="2">
        <v>0</v>
      </c>
      <c r="V912" s="1" t="s">
        <v>3508</v>
      </c>
      <c r="W912" s="6" t="s">
        <v>3509</v>
      </c>
      <c r="X912" s="1" t="s">
        <v>3510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>
        <v>1500000</v>
      </c>
      <c r="AL912" s="3">
        <v>1500000</v>
      </c>
      <c r="AM912" s="3">
        <v>1500000</v>
      </c>
      <c r="AN912" s="3">
        <v>1500000</v>
      </c>
      <c r="AO912" s="3">
        <v>1500000</v>
      </c>
      <c r="AP912" s="3">
        <v>1500000</v>
      </c>
      <c r="AQ912" s="3">
        <v>1500000</v>
      </c>
      <c r="AR912" s="3">
        <v>1500000</v>
      </c>
      <c r="AS912" s="3">
        <v>1500000</v>
      </c>
      <c r="AT912" s="3">
        <v>1500000</v>
      </c>
      <c r="AU912" s="3">
        <v>1500000</v>
      </c>
      <c r="AV912" s="3">
        <v>1500000</v>
      </c>
      <c r="AW912" s="3">
        <f t="shared" si="57"/>
        <v>0</v>
      </c>
      <c r="AX912" s="3">
        <f t="shared" si="58"/>
        <v>18000000</v>
      </c>
      <c r="AY912" s="4">
        <f t="shared" si="59"/>
        <v>12</v>
      </c>
      <c r="AZ912" s="8" t="s">
        <v>5618</v>
      </c>
      <c r="BA912" s="4" t="s">
        <v>5726</v>
      </c>
      <c r="BB912" s="2">
        <v>18000000</v>
      </c>
      <c r="BC912" s="3"/>
      <c r="BD912" s="3"/>
    </row>
    <row r="913" spans="1:56" ht="16.8" customHeight="1">
      <c r="A913" s="1">
        <v>912</v>
      </c>
      <c r="B913" s="1" t="s">
        <v>3175</v>
      </c>
      <c r="C913" s="1" t="s">
        <v>3389</v>
      </c>
      <c r="D913" s="1" t="s">
        <v>3511</v>
      </c>
      <c r="E913" s="1" t="s">
        <v>3511</v>
      </c>
      <c r="F913" s="1" t="s">
        <v>3512</v>
      </c>
      <c r="G913" s="1" t="s">
        <v>3513</v>
      </c>
      <c r="H913" s="1" t="s">
        <v>5043</v>
      </c>
      <c r="I913" s="18"/>
      <c r="J913" s="18"/>
      <c r="K913" s="18"/>
      <c r="L913" s="18"/>
      <c r="M913" s="2">
        <v>3000000</v>
      </c>
      <c r="N913" s="2">
        <v>3000000</v>
      </c>
      <c r="O913" s="2"/>
      <c r="P913" s="2" t="str">
        <f t="shared" si="56"/>
        <v/>
      </c>
      <c r="Q913" s="2"/>
      <c r="R913" s="2"/>
      <c r="S913" s="48"/>
      <c r="T913" s="2">
        <v>0</v>
      </c>
      <c r="U913" s="2">
        <v>0</v>
      </c>
      <c r="V913" s="1"/>
      <c r="W913" s="6"/>
      <c r="X913" s="1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>
        <v>3000000</v>
      </c>
      <c r="AL913" s="3">
        <v>3000000</v>
      </c>
      <c r="AM913" s="3">
        <v>3000000</v>
      </c>
      <c r="AN913" s="3">
        <v>3000000</v>
      </c>
      <c r="AO913" s="3">
        <v>3000000</v>
      </c>
      <c r="AP913" s="3">
        <v>3000000</v>
      </c>
      <c r="AQ913" s="3">
        <v>3000000</v>
      </c>
      <c r="AR913" s="3">
        <v>3000000</v>
      </c>
      <c r="AS913" s="3">
        <v>3000000</v>
      </c>
      <c r="AT913" s="3">
        <v>3000000</v>
      </c>
      <c r="AU913" s="3">
        <v>3000000</v>
      </c>
      <c r="AV913" s="3">
        <v>3000000</v>
      </c>
      <c r="AW913" s="3">
        <f t="shared" si="57"/>
        <v>0</v>
      </c>
      <c r="AX913" s="3">
        <f t="shared" si="58"/>
        <v>36000000</v>
      </c>
      <c r="AY913" s="4">
        <f t="shared" si="59"/>
        <v>12</v>
      </c>
      <c r="BA913" s="4" t="s">
        <v>5709</v>
      </c>
      <c r="BB913" s="2"/>
      <c r="BC913" s="3"/>
      <c r="BD913" s="3"/>
    </row>
    <row r="914" spans="1:56" ht="16.8" customHeight="1">
      <c r="A914" s="1">
        <v>913</v>
      </c>
      <c r="B914" s="1" t="s">
        <v>3175</v>
      </c>
      <c r="C914" s="1" t="s">
        <v>3389</v>
      </c>
      <c r="D914" s="1" t="s">
        <v>3514</v>
      </c>
      <c r="E914" s="1" t="s">
        <v>3514</v>
      </c>
      <c r="F914" s="1" t="s">
        <v>3515</v>
      </c>
      <c r="G914" s="1" t="s">
        <v>3516</v>
      </c>
      <c r="H914" s="1" t="s">
        <v>4646</v>
      </c>
      <c r="I914" s="18" t="s">
        <v>4783</v>
      </c>
      <c r="J914" s="18" t="s">
        <v>5018</v>
      </c>
      <c r="K914" s="18" t="s">
        <v>4785</v>
      </c>
      <c r="L914" s="18" t="s">
        <v>4734</v>
      </c>
      <c r="M914" s="2">
        <v>3500000</v>
      </c>
      <c r="N914" s="2">
        <v>3500000</v>
      </c>
      <c r="O914" s="2"/>
      <c r="P914" s="2" t="str">
        <f t="shared" si="56"/>
        <v/>
      </c>
      <c r="Q914" s="2"/>
      <c r="R914" s="2"/>
      <c r="S914" s="48"/>
      <c r="T914" s="2">
        <v>0</v>
      </c>
      <c r="U914" s="2">
        <v>0</v>
      </c>
      <c r="V914" s="1" t="s">
        <v>3516</v>
      </c>
      <c r="W914" s="6" t="s">
        <v>3517</v>
      </c>
      <c r="X914" s="1" t="s">
        <v>3435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>
        <v>3500000</v>
      </c>
      <c r="AL914" s="3">
        <v>3500000</v>
      </c>
      <c r="AM914" s="3">
        <v>3500000</v>
      </c>
      <c r="AN914" s="3">
        <v>3500000</v>
      </c>
      <c r="AO914" s="3">
        <v>3500000</v>
      </c>
      <c r="AP914" s="3">
        <v>3500000</v>
      </c>
      <c r="AQ914" s="3">
        <v>3500000</v>
      </c>
      <c r="AR914" s="3">
        <v>3500000</v>
      </c>
      <c r="AS914" s="3">
        <v>3500000</v>
      </c>
      <c r="AT914" s="3">
        <v>3500000</v>
      </c>
      <c r="AU914" s="3">
        <v>3500000</v>
      </c>
      <c r="AV914" s="3">
        <v>3500000</v>
      </c>
      <c r="AW914" s="3">
        <f t="shared" si="57"/>
        <v>0</v>
      </c>
      <c r="AX914" s="3">
        <f t="shared" si="58"/>
        <v>42000000</v>
      </c>
      <c r="AY914" s="4">
        <f t="shared" si="59"/>
        <v>12</v>
      </c>
      <c r="AZ914" s="8">
        <v>0</v>
      </c>
      <c r="BA914" s="4" t="s">
        <v>5709</v>
      </c>
      <c r="BB914" s="2"/>
      <c r="BC914" s="3"/>
      <c r="BD914" s="4"/>
    </row>
    <row r="915" spans="1:56" ht="16.8" customHeight="1">
      <c r="A915" s="1">
        <v>914</v>
      </c>
      <c r="B915" s="1" t="s">
        <v>3175</v>
      </c>
      <c r="C915" s="1" t="s">
        <v>3389</v>
      </c>
      <c r="D915" s="1" t="s">
        <v>3518</v>
      </c>
      <c r="E915" s="1" t="s">
        <v>3518</v>
      </c>
      <c r="F915" s="1" t="s">
        <v>3519</v>
      </c>
      <c r="G915" s="1" t="s">
        <v>3520</v>
      </c>
      <c r="H915" s="1" t="s">
        <v>5043</v>
      </c>
      <c r="I915" s="18"/>
      <c r="J915" s="18"/>
      <c r="K915" s="18"/>
      <c r="L915" s="18"/>
      <c r="M915" s="2">
        <v>4545455</v>
      </c>
      <c r="N915" s="2">
        <v>4545455</v>
      </c>
      <c r="O915" s="2"/>
      <c r="P915" s="2" t="str">
        <f t="shared" si="56"/>
        <v/>
      </c>
      <c r="Q915" s="2"/>
      <c r="R915" s="2"/>
      <c r="S915" s="48"/>
      <c r="T915" s="2">
        <v>0</v>
      </c>
      <c r="U915" s="2">
        <v>0</v>
      </c>
      <c r="V915" s="1"/>
      <c r="W915" s="6"/>
      <c r="X915" s="1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>
        <v>4545455</v>
      </c>
      <c r="AL915" s="3">
        <v>4545455</v>
      </c>
      <c r="AM915" s="3">
        <v>4545455</v>
      </c>
      <c r="AN915" s="3">
        <v>4545455</v>
      </c>
      <c r="AO915" s="3">
        <v>4545455</v>
      </c>
      <c r="AP915" s="3">
        <v>4545455</v>
      </c>
      <c r="AQ915" s="3">
        <v>4545455</v>
      </c>
      <c r="AR915" s="3">
        <v>4545455</v>
      </c>
      <c r="AS915" s="3">
        <v>4545455</v>
      </c>
      <c r="AT915" s="3">
        <v>4545455</v>
      </c>
      <c r="AU915" s="3">
        <v>4545455</v>
      </c>
      <c r="AV915" s="3">
        <v>4545450</v>
      </c>
      <c r="AW915" s="3">
        <f t="shared" si="57"/>
        <v>0</v>
      </c>
      <c r="AX915" s="3">
        <f t="shared" si="58"/>
        <v>54545455</v>
      </c>
      <c r="AY915" s="4">
        <f t="shared" si="59"/>
        <v>12</v>
      </c>
      <c r="BA915" s="4" t="s">
        <v>5726</v>
      </c>
      <c r="BB915" s="2">
        <v>54545454.545454539</v>
      </c>
      <c r="BC915" s="3"/>
      <c r="BD915" s="3"/>
    </row>
    <row r="916" spans="1:56" ht="16.8" customHeight="1">
      <c r="A916" s="1">
        <v>915</v>
      </c>
      <c r="B916" s="1" t="s">
        <v>3175</v>
      </c>
      <c r="C916" s="1" t="s">
        <v>3389</v>
      </c>
      <c r="D916" s="1" t="s">
        <v>3521</v>
      </c>
      <c r="E916" s="1" t="s">
        <v>3521</v>
      </c>
      <c r="F916" s="1" t="s">
        <v>3522</v>
      </c>
      <c r="G916" s="1" t="s">
        <v>3520</v>
      </c>
      <c r="H916" s="1"/>
      <c r="I916" s="18"/>
      <c r="J916" s="18"/>
      <c r="K916" s="18"/>
      <c r="L916" s="18"/>
      <c r="M916" s="2">
        <v>4545455</v>
      </c>
      <c r="N916" s="2">
        <v>4545455</v>
      </c>
      <c r="O916" s="2"/>
      <c r="P916" s="2" t="str">
        <f t="shared" si="56"/>
        <v/>
      </c>
      <c r="Q916" s="2"/>
      <c r="R916" s="2"/>
      <c r="S916" s="48"/>
      <c r="T916" s="2">
        <v>0</v>
      </c>
      <c r="U916" s="2">
        <v>0</v>
      </c>
      <c r="V916" s="1"/>
      <c r="W916" s="6"/>
      <c r="X916" s="1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>
        <v>4545455</v>
      </c>
      <c r="AL916" s="3">
        <v>4545455</v>
      </c>
      <c r="AM916" s="3">
        <v>4545455</v>
      </c>
      <c r="AN916" s="3">
        <v>4545455</v>
      </c>
      <c r="AO916" s="3">
        <v>4545455</v>
      </c>
      <c r="AP916" s="3">
        <v>4545455</v>
      </c>
      <c r="AQ916" s="3">
        <v>4545455</v>
      </c>
      <c r="AR916" s="3">
        <v>4545455</v>
      </c>
      <c r="AS916" s="3">
        <v>4545455</v>
      </c>
      <c r="AT916" s="3">
        <v>4545455</v>
      </c>
      <c r="AU916" s="3">
        <v>4545455</v>
      </c>
      <c r="AV916" s="3">
        <v>4545450</v>
      </c>
      <c r="AW916" s="3">
        <f t="shared" si="57"/>
        <v>0</v>
      </c>
      <c r="AX916" s="3">
        <f t="shared" si="58"/>
        <v>54545455</v>
      </c>
      <c r="AY916" s="4">
        <f t="shared" si="59"/>
        <v>12</v>
      </c>
      <c r="BA916" s="4" t="s">
        <v>5726</v>
      </c>
      <c r="BB916" s="2">
        <v>54545454.545454539</v>
      </c>
      <c r="BC916" s="3"/>
      <c r="BD916" s="3"/>
    </row>
    <row r="917" spans="1:56" ht="16.8" customHeight="1">
      <c r="A917" s="1">
        <v>916</v>
      </c>
      <c r="B917" s="1" t="s">
        <v>3175</v>
      </c>
      <c r="C917" s="1" t="s">
        <v>3389</v>
      </c>
      <c r="D917" s="1" t="s">
        <v>3523</v>
      </c>
      <c r="E917" s="1" t="s">
        <v>3523</v>
      </c>
      <c r="F917" s="1" t="s">
        <v>3524</v>
      </c>
      <c r="G917" s="1" t="s">
        <v>3525</v>
      </c>
      <c r="H917" s="1" t="s">
        <v>5318</v>
      </c>
      <c r="I917" s="18" t="s">
        <v>4783</v>
      </c>
      <c r="J917" s="18" t="s">
        <v>5018</v>
      </c>
      <c r="K917" s="18" t="s">
        <v>5319</v>
      </c>
      <c r="L917" s="18" t="s">
        <v>4734</v>
      </c>
      <c r="M917" s="2">
        <v>4545455</v>
      </c>
      <c r="N917" s="2">
        <v>4545455</v>
      </c>
      <c r="O917" s="2"/>
      <c r="P917" s="2" t="str">
        <f t="shared" si="56"/>
        <v/>
      </c>
      <c r="Q917" s="2"/>
      <c r="R917" s="2"/>
      <c r="S917" s="48"/>
      <c r="T917" s="2">
        <v>0</v>
      </c>
      <c r="U917" s="2">
        <v>0</v>
      </c>
      <c r="V917" s="1" t="s">
        <v>3525</v>
      </c>
      <c r="W917" s="6" t="s">
        <v>3526</v>
      </c>
      <c r="X917" s="1" t="s">
        <v>3435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>
        <v>4545455</v>
      </c>
      <c r="AL917" s="3">
        <v>4545455</v>
      </c>
      <c r="AM917" s="3">
        <v>4545455</v>
      </c>
      <c r="AN917" s="3">
        <v>4545455</v>
      </c>
      <c r="AO917" s="3">
        <v>4545455</v>
      </c>
      <c r="AP917" s="3">
        <v>4545455</v>
      </c>
      <c r="AQ917" s="3">
        <v>4545455</v>
      </c>
      <c r="AR917" s="3">
        <v>4545455</v>
      </c>
      <c r="AS917" s="3">
        <v>4545455</v>
      </c>
      <c r="AT917" s="3">
        <v>4545455</v>
      </c>
      <c r="AU917" s="3">
        <v>4545455</v>
      </c>
      <c r="AV917" s="3">
        <v>4545455</v>
      </c>
      <c r="AW917" s="3">
        <f t="shared" si="57"/>
        <v>0</v>
      </c>
      <c r="AX917" s="3">
        <f t="shared" si="58"/>
        <v>54545460</v>
      </c>
      <c r="AY917" s="4">
        <f t="shared" si="59"/>
        <v>12</v>
      </c>
      <c r="AZ917" s="8">
        <v>0</v>
      </c>
      <c r="BA917" s="4" t="s">
        <v>5726</v>
      </c>
      <c r="BB917" s="2">
        <v>30000000</v>
      </c>
      <c r="BC917" s="3"/>
      <c r="BD917" s="3"/>
    </row>
    <row r="918" spans="1:56" ht="16.8" customHeight="1">
      <c r="A918" s="1">
        <v>917</v>
      </c>
      <c r="B918" s="1" t="s">
        <v>3175</v>
      </c>
      <c r="C918" s="1" t="s">
        <v>3389</v>
      </c>
      <c r="D918" s="1" t="s">
        <v>3527</v>
      </c>
      <c r="E918" s="1" t="s">
        <v>3527</v>
      </c>
      <c r="F918" s="1" t="s">
        <v>3528</v>
      </c>
      <c r="G918" s="1" t="s">
        <v>3529</v>
      </c>
      <c r="H918" s="1" t="s">
        <v>5320</v>
      </c>
      <c r="I918" s="18" t="s">
        <v>4783</v>
      </c>
      <c r="J918" s="18" t="s">
        <v>5018</v>
      </c>
      <c r="K918" s="18" t="s">
        <v>4733</v>
      </c>
      <c r="L918" s="18" t="s">
        <v>4734</v>
      </c>
      <c r="M918" s="2">
        <v>4545455</v>
      </c>
      <c r="N918" s="2">
        <v>4545455</v>
      </c>
      <c r="O918" s="2"/>
      <c r="P918" s="2" t="str">
        <f t="shared" si="56"/>
        <v/>
      </c>
      <c r="Q918" s="2"/>
      <c r="R918" s="2"/>
      <c r="S918" s="48"/>
      <c r="T918" s="2">
        <v>0</v>
      </c>
      <c r="U918" s="2">
        <v>0</v>
      </c>
      <c r="V918" s="1"/>
      <c r="W918" s="6"/>
      <c r="X918" s="1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>
        <v>4545455</v>
      </c>
      <c r="AL918" s="3">
        <v>4545455</v>
      </c>
      <c r="AM918" s="3">
        <v>4545455</v>
      </c>
      <c r="AN918" s="3">
        <v>4545455</v>
      </c>
      <c r="AO918" s="3">
        <v>4545455</v>
      </c>
      <c r="AP918" s="3">
        <v>4545455</v>
      </c>
      <c r="AQ918" s="3">
        <v>4545455</v>
      </c>
      <c r="AR918" s="3">
        <v>4545455</v>
      </c>
      <c r="AS918" s="3">
        <v>4545455</v>
      </c>
      <c r="AT918" s="3">
        <v>4545455</v>
      </c>
      <c r="AU918" s="3">
        <v>4545455</v>
      </c>
      <c r="AV918" s="3">
        <v>4545455</v>
      </c>
      <c r="AW918" s="3">
        <f t="shared" si="57"/>
        <v>0</v>
      </c>
      <c r="AX918" s="3">
        <f t="shared" si="58"/>
        <v>54545460</v>
      </c>
      <c r="AY918" s="4">
        <f t="shared" si="59"/>
        <v>12</v>
      </c>
      <c r="AZ918" s="8">
        <v>0</v>
      </c>
      <c r="BA918" s="4" t="s">
        <v>5726</v>
      </c>
      <c r="BB918" s="2">
        <v>54545460</v>
      </c>
      <c r="BC918" s="3"/>
      <c r="BD918" s="3"/>
    </row>
    <row r="919" spans="1:56" ht="16.8" customHeight="1">
      <c r="A919" s="1">
        <v>918</v>
      </c>
      <c r="B919" s="1" t="s">
        <v>3175</v>
      </c>
      <c r="C919" s="1" t="s">
        <v>3389</v>
      </c>
      <c r="D919" s="1" t="s">
        <v>3530</v>
      </c>
      <c r="E919" s="1" t="s">
        <v>3530</v>
      </c>
      <c r="F919" s="1" t="s">
        <v>3531</v>
      </c>
      <c r="G919" s="1" t="s">
        <v>3532</v>
      </c>
      <c r="H919" s="1" t="s">
        <v>5321</v>
      </c>
      <c r="I919" s="18" t="s">
        <v>4783</v>
      </c>
      <c r="J919" s="18" t="s">
        <v>5018</v>
      </c>
      <c r="K919" s="18" t="s">
        <v>4913</v>
      </c>
      <c r="L919" s="18" t="s">
        <v>4734</v>
      </c>
      <c r="M919" s="2">
        <v>8000000</v>
      </c>
      <c r="N919" s="2">
        <v>8000000</v>
      </c>
      <c r="O919" s="2"/>
      <c r="P919" s="2" t="str">
        <f t="shared" si="56"/>
        <v/>
      </c>
      <c r="Q919" s="2"/>
      <c r="R919" s="2"/>
      <c r="S919" s="48"/>
      <c r="T919" s="2">
        <v>0</v>
      </c>
      <c r="U919" s="2">
        <v>0</v>
      </c>
      <c r="V919" s="1" t="s">
        <v>3533</v>
      </c>
      <c r="W919" s="6" t="s">
        <v>3534</v>
      </c>
      <c r="X919" s="1" t="s">
        <v>3435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>
        <v>8000000</v>
      </c>
      <c r="AL919" s="3">
        <v>8000000</v>
      </c>
      <c r="AM919" s="3">
        <v>8000000</v>
      </c>
      <c r="AN919" s="3">
        <v>8000000</v>
      </c>
      <c r="AO919" s="3">
        <v>8000000</v>
      </c>
      <c r="AP919" s="3">
        <v>8000000</v>
      </c>
      <c r="AQ919" s="3"/>
      <c r="AR919" s="3"/>
      <c r="AS919" s="3"/>
      <c r="AT919" s="3"/>
      <c r="AU919" s="3"/>
      <c r="AV919" s="3"/>
      <c r="AW919" s="3">
        <f t="shared" si="57"/>
        <v>0</v>
      </c>
      <c r="AX919" s="3">
        <f t="shared" si="58"/>
        <v>48000000</v>
      </c>
      <c r="AY919" s="4">
        <f t="shared" si="59"/>
        <v>6</v>
      </c>
      <c r="AZ919" s="8" t="s">
        <v>5574</v>
      </c>
      <c r="BA919" s="4" t="s">
        <v>5726</v>
      </c>
      <c r="BB919" s="2">
        <v>48000000</v>
      </c>
      <c r="BC919" s="3"/>
      <c r="BD919" s="3"/>
    </row>
    <row r="920" spans="1:56" ht="16.8" customHeight="1">
      <c r="A920" s="1">
        <v>919</v>
      </c>
      <c r="B920" s="1" t="s">
        <v>3175</v>
      </c>
      <c r="C920" s="1" t="s">
        <v>3389</v>
      </c>
      <c r="D920" s="1" t="s">
        <v>3535</v>
      </c>
      <c r="E920" s="1" t="s">
        <v>3535</v>
      </c>
      <c r="F920" s="1" t="s">
        <v>3536</v>
      </c>
      <c r="G920" s="1" t="s">
        <v>3525</v>
      </c>
      <c r="H920" s="1" t="s">
        <v>5322</v>
      </c>
      <c r="I920" s="18" t="s">
        <v>4783</v>
      </c>
      <c r="J920" s="18" t="s">
        <v>5018</v>
      </c>
      <c r="K920" s="18" t="s">
        <v>5323</v>
      </c>
      <c r="L920" s="18" t="s">
        <v>4734</v>
      </c>
      <c r="M920" s="2">
        <v>4545455</v>
      </c>
      <c r="N920" s="2">
        <v>4545455</v>
      </c>
      <c r="O920" s="2"/>
      <c r="P920" s="2" t="str">
        <f t="shared" si="56"/>
        <v/>
      </c>
      <c r="Q920" s="2"/>
      <c r="R920" s="2"/>
      <c r="S920" s="48"/>
      <c r="T920" s="2">
        <v>0</v>
      </c>
      <c r="U920" s="2">
        <v>0</v>
      </c>
      <c r="V920" s="1" t="s">
        <v>3525</v>
      </c>
      <c r="W920" s="6" t="s">
        <v>3526</v>
      </c>
      <c r="X920" s="1" t="s">
        <v>3435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>
        <v>4545455</v>
      </c>
      <c r="AL920" s="3">
        <v>4545455</v>
      </c>
      <c r="AM920" s="3">
        <v>4545455</v>
      </c>
      <c r="AN920" s="3">
        <v>4545455</v>
      </c>
      <c r="AO920" s="3">
        <v>4545455</v>
      </c>
      <c r="AP920" s="27">
        <v>4545455</v>
      </c>
      <c r="AQ920" s="27">
        <v>4545455</v>
      </c>
      <c r="AR920" s="27">
        <v>4545455</v>
      </c>
      <c r="AS920" s="27">
        <v>4545455</v>
      </c>
      <c r="AT920" s="27">
        <v>4545455</v>
      </c>
      <c r="AU920" s="27">
        <v>4545455</v>
      </c>
      <c r="AV920" s="27">
        <v>4545455</v>
      </c>
      <c r="AW920" s="3">
        <f t="shared" si="57"/>
        <v>0</v>
      </c>
      <c r="AX920" s="3">
        <f t="shared" si="58"/>
        <v>54545460</v>
      </c>
      <c r="AY920" s="4">
        <f t="shared" si="59"/>
        <v>12</v>
      </c>
      <c r="AZ920" s="8">
        <v>0</v>
      </c>
      <c r="BA920" s="4" t="s">
        <v>5726</v>
      </c>
      <c r="BB920" s="2">
        <v>30000000</v>
      </c>
      <c r="BC920" s="3"/>
      <c r="BD920" s="3"/>
    </row>
    <row r="921" spans="1:56" ht="16.8" customHeight="1">
      <c r="A921" s="1">
        <v>920</v>
      </c>
      <c r="B921" s="1" t="s">
        <v>3175</v>
      </c>
      <c r="C921" s="1" t="s">
        <v>3389</v>
      </c>
      <c r="D921" s="1" t="s">
        <v>3537</v>
      </c>
      <c r="E921" s="1" t="s">
        <v>3537</v>
      </c>
      <c r="F921" s="1" t="s">
        <v>3538</v>
      </c>
      <c r="G921" s="1" t="s">
        <v>3529</v>
      </c>
      <c r="H921" s="1" t="s">
        <v>5320</v>
      </c>
      <c r="I921" s="18">
        <v>0</v>
      </c>
      <c r="J921" s="18" t="s">
        <v>5018</v>
      </c>
      <c r="K921" s="18" t="s">
        <v>4733</v>
      </c>
      <c r="L921" s="18" t="s">
        <v>4734</v>
      </c>
      <c r="M921" s="2">
        <v>4545455</v>
      </c>
      <c r="N921" s="2">
        <v>4545455</v>
      </c>
      <c r="O921" s="2"/>
      <c r="P921" s="2" t="str">
        <f t="shared" si="56"/>
        <v/>
      </c>
      <c r="Q921" s="2"/>
      <c r="R921" s="2"/>
      <c r="S921" s="48"/>
      <c r="T921" s="2">
        <v>0</v>
      </c>
      <c r="U921" s="2">
        <v>0</v>
      </c>
      <c r="V921" s="1"/>
      <c r="W921" s="6"/>
      <c r="X921" s="1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>
        <v>4545455</v>
      </c>
      <c r="AL921" s="3">
        <v>4545455</v>
      </c>
      <c r="AM921" s="3">
        <v>4545455</v>
      </c>
      <c r="AN921" s="3">
        <v>4545455</v>
      </c>
      <c r="AO921" s="3">
        <v>4545455</v>
      </c>
      <c r="AP921" s="3">
        <v>4545455</v>
      </c>
      <c r="AQ921" s="3">
        <v>4545455</v>
      </c>
      <c r="AR921" s="3">
        <v>4545455</v>
      </c>
      <c r="AS921" s="3">
        <v>4545455</v>
      </c>
      <c r="AT921" s="3">
        <v>4545455</v>
      </c>
      <c r="AU921" s="3">
        <v>4545455</v>
      </c>
      <c r="AV921" s="3">
        <v>4545455</v>
      </c>
      <c r="AW921" s="3">
        <f t="shared" si="57"/>
        <v>0</v>
      </c>
      <c r="AX921" s="3">
        <f t="shared" si="58"/>
        <v>54545460</v>
      </c>
      <c r="AY921" s="4">
        <f t="shared" si="59"/>
        <v>12</v>
      </c>
      <c r="AZ921" s="8">
        <v>0</v>
      </c>
      <c r="BA921" s="4" t="s">
        <v>5726</v>
      </c>
      <c r="BB921" s="2">
        <v>54545460</v>
      </c>
      <c r="BC921" s="3"/>
      <c r="BD921" s="3"/>
    </row>
    <row r="922" spans="1:56" s="33" customFormat="1" ht="16.8" customHeight="1">
      <c r="A922" s="29">
        <v>921</v>
      </c>
      <c r="B922" s="29" t="s">
        <v>3175</v>
      </c>
      <c r="C922" s="29" t="s">
        <v>3389</v>
      </c>
      <c r="D922" s="29" t="s">
        <v>3539</v>
      </c>
      <c r="E922" s="29" t="s">
        <v>3539</v>
      </c>
      <c r="F922" s="1" t="s">
        <v>3540</v>
      </c>
      <c r="G922" s="1" t="s">
        <v>3541</v>
      </c>
      <c r="H922" s="1" t="s">
        <v>5324</v>
      </c>
      <c r="I922" s="18" t="s">
        <v>4783</v>
      </c>
      <c r="J922" s="18" t="s">
        <v>4783</v>
      </c>
      <c r="K922" s="18" t="s">
        <v>5325</v>
      </c>
      <c r="L922" s="18" t="s">
        <v>4734</v>
      </c>
      <c r="M922" s="30">
        <v>3300000</v>
      </c>
      <c r="N922" s="30">
        <v>4000000</v>
      </c>
      <c r="O922" s="30">
        <v>4000000</v>
      </c>
      <c r="P922" s="2">
        <f t="shared" si="56"/>
        <v>700000</v>
      </c>
      <c r="Q922" s="2"/>
      <c r="R922" s="2"/>
      <c r="S922" s="48"/>
      <c r="T922" s="2">
        <v>9900000</v>
      </c>
      <c r="U922" s="2">
        <v>0</v>
      </c>
      <c r="V922" s="1" t="s">
        <v>3541</v>
      </c>
      <c r="W922" s="6" t="s">
        <v>3542</v>
      </c>
      <c r="X922" s="1" t="s">
        <v>3310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>
        <v>3300000</v>
      </c>
      <c r="AI922" s="3">
        <v>3300000</v>
      </c>
      <c r="AJ922" s="3">
        <v>3300000</v>
      </c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>
        <f t="shared" si="57"/>
        <v>9900000</v>
      </c>
      <c r="AX922" s="31">
        <f t="shared" si="58"/>
        <v>0</v>
      </c>
      <c r="AY922" s="32">
        <f t="shared" si="59"/>
        <v>3</v>
      </c>
      <c r="AZ922" s="33">
        <v>0</v>
      </c>
      <c r="BA922" s="4" t="s">
        <v>5726</v>
      </c>
      <c r="BB922" s="30"/>
      <c r="BC922" s="3"/>
      <c r="BD922" s="32"/>
    </row>
    <row r="923" spans="1:56" ht="16.8" customHeight="1">
      <c r="A923" s="1">
        <v>922</v>
      </c>
      <c r="B923" s="1" t="s">
        <v>3175</v>
      </c>
      <c r="C923" s="1" t="s">
        <v>3389</v>
      </c>
      <c r="D923" s="1" t="s">
        <v>3543</v>
      </c>
      <c r="E923" s="1" t="s">
        <v>3543</v>
      </c>
      <c r="F923" s="1" t="s">
        <v>3544</v>
      </c>
      <c r="G923" s="1" t="s">
        <v>3545</v>
      </c>
      <c r="H923" s="1" t="s">
        <v>5326</v>
      </c>
      <c r="I923" s="18" t="s">
        <v>5018</v>
      </c>
      <c r="J923" s="18" t="s">
        <v>5018</v>
      </c>
      <c r="K923" s="18" t="s">
        <v>5136</v>
      </c>
      <c r="L923" s="18" t="s">
        <v>4734</v>
      </c>
      <c r="M923" s="2">
        <v>3000000</v>
      </c>
      <c r="N923" s="2">
        <v>4000000</v>
      </c>
      <c r="O923" s="2">
        <v>4000000</v>
      </c>
      <c r="P923" s="2">
        <f t="shared" si="56"/>
        <v>1000000</v>
      </c>
      <c r="Q923" s="2"/>
      <c r="R923" s="2"/>
      <c r="S923" s="48"/>
      <c r="T923" s="2">
        <v>9000000</v>
      </c>
      <c r="U923" s="2">
        <v>0</v>
      </c>
      <c r="V923" s="1" t="s">
        <v>3545</v>
      </c>
      <c r="W923" s="6" t="s">
        <v>3546</v>
      </c>
      <c r="X923" s="1" t="s">
        <v>3547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>
        <v>3000000</v>
      </c>
      <c r="AI923" s="3">
        <v>3000000</v>
      </c>
      <c r="AJ923" s="3">
        <v>3000000</v>
      </c>
      <c r="AK923" s="3">
        <v>4000000</v>
      </c>
      <c r="AL923" s="3">
        <v>4000000</v>
      </c>
      <c r="AM923" s="3">
        <v>4000000</v>
      </c>
      <c r="AN923" s="3">
        <v>4000000</v>
      </c>
      <c r="AO923" s="3">
        <v>4000000</v>
      </c>
      <c r="AP923" s="3">
        <v>4000000</v>
      </c>
      <c r="AQ923" s="3"/>
      <c r="AR923" s="3"/>
      <c r="AS923" s="3"/>
      <c r="AT923" s="3"/>
      <c r="AU923" s="3"/>
      <c r="AV923" s="3"/>
      <c r="AW923" s="3">
        <f t="shared" si="57"/>
        <v>9000000</v>
      </c>
      <c r="AX923" s="3">
        <f t="shared" si="58"/>
        <v>24000000</v>
      </c>
      <c r="AY923" s="4">
        <f t="shared" si="59"/>
        <v>9</v>
      </c>
      <c r="AZ923" s="8">
        <v>0</v>
      </c>
      <c r="BA923" s="4" t="s">
        <v>5726</v>
      </c>
      <c r="BB923" s="2"/>
      <c r="BC923" s="3"/>
      <c r="BD923" s="3"/>
    </row>
    <row r="924" spans="1:56" ht="16.8" customHeight="1">
      <c r="A924" s="1">
        <v>923</v>
      </c>
      <c r="B924" s="1" t="s">
        <v>3175</v>
      </c>
      <c r="C924" s="1" t="s">
        <v>3389</v>
      </c>
      <c r="D924" s="1" t="s">
        <v>3548</v>
      </c>
      <c r="E924" s="1" t="s">
        <v>3548</v>
      </c>
      <c r="F924" s="1" t="s">
        <v>3549</v>
      </c>
      <c r="G924" s="1" t="s">
        <v>3550</v>
      </c>
      <c r="H924" s="1" t="s">
        <v>5327</v>
      </c>
      <c r="I924" s="18" t="s">
        <v>4783</v>
      </c>
      <c r="J924" s="18" t="s">
        <v>5132</v>
      </c>
      <c r="K924" s="18" t="s">
        <v>4787</v>
      </c>
      <c r="L924" s="18" t="s">
        <v>4734</v>
      </c>
      <c r="M924" s="2">
        <v>3500000</v>
      </c>
      <c r="N924" s="2">
        <v>3500000</v>
      </c>
      <c r="O924" s="2"/>
      <c r="P924" s="2" t="str">
        <f t="shared" si="56"/>
        <v/>
      </c>
      <c r="Q924" s="2"/>
      <c r="R924" s="2"/>
      <c r="S924" s="48"/>
      <c r="T924" s="2">
        <v>21000000</v>
      </c>
      <c r="U924" s="2">
        <v>0</v>
      </c>
      <c r="V924" s="1" t="s">
        <v>3551</v>
      </c>
      <c r="W924" s="6" t="s">
        <v>3552</v>
      </c>
      <c r="X924" s="1" t="s">
        <v>3435</v>
      </c>
      <c r="Y924" s="3"/>
      <c r="Z924" s="3"/>
      <c r="AA924" s="3"/>
      <c r="AB924" s="3"/>
      <c r="AC924" s="3"/>
      <c r="AD924" s="3"/>
      <c r="AE924" s="3">
        <v>3500000</v>
      </c>
      <c r="AF924" s="3">
        <v>3500000</v>
      </c>
      <c r="AG924" s="3">
        <v>3500000</v>
      </c>
      <c r="AH924" s="3">
        <v>3500000</v>
      </c>
      <c r="AI924" s="3">
        <v>3500000</v>
      </c>
      <c r="AJ924" s="3">
        <v>3500000</v>
      </c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>
        <f t="shared" si="57"/>
        <v>21000000</v>
      </c>
      <c r="AX924" s="3">
        <f t="shared" si="58"/>
        <v>0</v>
      </c>
      <c r="AY924" s="4">
        <f t="shared" si="59"/>
        <v>6</v>
      </c>
      <c r="AZ924" s="8">
        <v>0</v>
      </c>
      <c r="BA924" s="4" t="s">
        <v>5726</v>
      </c>
      <c r="BB924" s="2"/>
      <c r="BC924" s="3"/>
      <c r="BD924" s="4"/>
    </row>
    <row r="925" spans="1:56" ht="16.8" customHeight="1">
      <c r="A925" s="1">
        <v>924</v>
      </c>
      <c r="B925" s="1" t="s">
        <v>3175</v>
      </c>
      <c r="C925" s="1" t="s">
        <v>3389</v>
      </c>
      <c r="D925" s="1" t="s">
        <v>3553</v>
      </c>
      <c r="E925" s="1" t="s">
        <v>3553</v>
      </c>
      <c r="F925" s="1" t="s">
        <v>3554</v>
      </c>
      <c r="G925" s="1" t="s">
        <v>3555</v>
      </c>
      <c r="H925" s="1" t="s">
        <v>5328</v>
      </c>
      <c r="I925" s="18" t="s">
        <v>4783</v>
      </c>
      <c r="J925" s="18" t="s">
        <v>4783</v>
      </c>
      <c r="K925" s="18" t="s">
        <v>4742</v>
      </c>
      <c r="L925" s="18" t="s">
        <v>4734</v>
      </c>
      <c r="M925" s="2">
        <v>3500000</v>
      </c>
      <c r="N925" s="2">
        <v>3500000</v>
      </c>
      <c r="O925" s="2"/>
      <c r="P925" s="2" t="str">
        <f t="shared" si="56"/>
        <v/>
      </c>
      <c r="Q925" s="2"/>
      <c r="R925" s="2"/>
      <c r="S925" s="48"/>
      <c r="T925" s="2">
        <v>10500000</v>
      </c>
      <c r="U925" s="2">
        <v>0</v>
      </c>
      <c r="V925" s="1" t="s">
        <v>3555</v>
      </c>
      <c r="W925" s="6" t="s">
        <v>3556</v>
      </c>
      <c r="X925" s="1" t="s">
        <v>3310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>
        <v>3500000</v>
      </c>
      <c r="AI925" s="3">
        <v>3500000</v>
      </c>
      <c r="AJ925" s="3">
        <v>3500000</v>
      </c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>
        <f t="shared" si="57"/>
        <v>10500000</v>
      </c>
      <c r="AX925" s="3">
        <f t="shared" si="58"/>
        <v>0</v>
      </c>
      <c r="AY925" s="4">
        <f t="shared" si="59"/>
        <v>3</v>
      </c>
      <c r="AZ925" s="8">
        <v>0</v>
      </c>
      <c r="BA925" s="4" t="s">
        <v>5726</v>
      </c>
      <c r="BB925" s="2"/>
      <c r="BC925" s="3"/>
      <c r="BD925" s="4"/>
    </row>
    <row r="926" spans="1:56" ht="16.8" customHeight="1">
      <c r="A926" s="1">
        <v>925</v>
      </c>
      <c r="B926" s="1" t="s">
        <v>3175</v>
      </c>
      <c r="C926" s="1" t="s">
        <v>3389</v>
      </c>
      <c r="D926" s="1" t="s">
        <v>3557</v>
      </c>
      <c r="E926" s="1" t="s">
        <v>3557</v>
      </c>
      <c r="F926" s="1" t="s">
        <v>3558</v>
      </c>
      <c r="G926" s="1" t="s">
        <v>3559</v>
      </c>
      <c r="H926" s="1" t="s">
        <v>4647</v>
      </c>
      <c r="I926" s="18" t="s">
        <v>4783</v>
      </c>
      <c r="J926" s="18" t="s">
        <v>4783</v>
      </c>
      <c r="K926" s="18" t="s">
        <v>4742</v>
      </c>
      <c r="L926" s="18" t="s">
        <v>4734</v>
      </c>
      <c r="M926" s="2">
        <v>3600000</v>
      </c>
      <c r="N926" s="2">
        <v>4000000</v>
      </c>
      <c r="O926" s="2">
        <v>4000000</v>
      </c>
      <c r="P926" s="2">
        <f t="shared" si="56"/>
        <v>400000</v>
      </c>
      <c r="Q926" s="2"/>
      <c r="R926" s="2"/>
      <c r="S926" s="48"/>
      <c r="T926" s="2">
        <v>0</v>
      </c>
      <c r="U926" s="2">
        <v>0</v>
      </c>
      <c r="V926" s="1" t="s">
        <v>3559</v>
      </c>
      <c r="W926" s="6" t="s">
        <v>3560</v>
      </c>
      <c r="X926" s="1" t="s">
        <v>333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>
        <v>4000000</v>
      </c>
      <c r="AL926" s="3">
        <v>4000000</v>
      </c>
      <c r="AM926" s="3">
        <v>4000000</v>
      </c>
      <c r="AN926" s="3">
        <v>4000000</v>
      </c>
      <c r="AO926" s="3">
        <v>4000000</v>
      </c>
      <c r="AP926" s="3">
        <v>4000000</v>
      </c>
      <c r="AQ926" s="3"/>
      <c r="AR926" s="3"/>
      <c r="AS926" s="3"/>
      <c r="AT926" s="3"/>
      <c r="AU926" s="3"/>
      <c r="AV926" s="3"/>
      <c r="AW926" s="3">
        <f t="shared" si="57"/>
        <v>0</v>
      </c>
      <c r="AX926" s="3">
        <f t="shared" si="58"/>
        <v>24000000</v>
      </c>
      <c r="AY926" s="4">
        <f t="shared" si="59"/>
        <v>6</v>
      </c>
      <c r="AZ926" s="8" t="s">
        <v>5620</v>
      </c>
      <c r="BA926" s="4" t="s">
        <v>5710</v>
      </c>
      <c r="BB926" s="2"/>
      <c r="BC926" s="3"/>
      <c r="BD926" s="4"/>
    </row>
    <row r="927" spans="1:56" ht="16.8" customHeight="1">
      <c r="A927" s="1">
        <v>926</v>
      </c>
      <c r="B927" s="1" t="s">
        <v>3175</v>
      </c>
      <c r="C927" s="1" t="s">
        <v>3389</v>
      </c>
      <c r="D927" s="1" t="s">
        <v>3561</v>
      </c>
      <c r="E927" s="1" t="s">
        <v>3561</v>
      </c>
      <c r="F927" s="1" t="s">
        <v>3562</v>
      </c>
      <c r="G927" s="1" t="s">
        <v>3563</v>
      </c>
      <c r="H927" s="1" t="s">
        <v>5329</v>
      </c>
      <c r="I927" s="18" t="s">
        <v>4783</v>
      </c>
      <c r="J927" s="18" t="s">
        <v>4783</v>
      </c>
      <c r="K927" s="18" t="s">
        <v>4742</v>
      </c>
      <c r="L927" s="18" t="s">
        <v>4734</v>
      </c>
      <c r="M927" s="2">
        <v>3400000</v>
      </c>
      <c r="N927" s="2">
        <v>4400000</v>
      </c>
      <c r="O927" s="2"/>
      <c r="P927" s="2">
        <f t="shared" si="56"/>
        <v>1000000</v>
      </c>
      <c r="Q927" s="2">
        <v>4400000</v>
      </c>
      <c r="R927" s="2"/>
      <c r="S927" s="48">
        <v>46388</v>
      </c>
      <c r="T927" s="2">
        <v>10200000</v>
      </c>
      <c r="U927" s="2">
        <v>0</v>
      </c>
      <c r="V927" s="1" t="s">
        <v>3563</v>
      </c>
      <c r="W927" s="6" t="s">
        <v>3564</v>
      </c>
      <c r="X927" s="1" t="s">
        <v>3565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>
        <v>3400000</v>
      </c>
      <c r="AI927" s="3">
        <v>3400000</v>
      </c>
      <c r="AJ927" s="3">
        <v>3400000</v>
      </c>
      <c r="AK927" s="3">
        <v>4400000</v>
      </c>
      <c r="AL927" s="3">
        <v>4400000</v>
      </c>
      <c r="AM927" s="3">
        <v>4400000</v>
      </c>
      <c r="AN927" s="3">
        <v>4400000</v>
      </c>
      <c r="AO927" s="3">
        <v>4400000</v>
      </c>
      <c r="AP927" s="3">
        <v>4400000</v>
      </c>
      <c r="AQ927" s="3">
        <v>4400000</v>
      </c>
      <c r="AR927" s="3">
        <v>4400000</v>
      </c>
      <c r="AS927" s="3">
        <v>4400000</v>
      </c>
      <c r="AT927" s="3">
        <v>4400000</v>
      </c>
      <c r="AU927" s="3">
        <v>4400000</v>
      </c>
      <c r="AV927" s="3">
        <v>4400000</v>
      </c>
      <c r="AW927" s="3">
        <f t="shared" si="57"/>
        <v>10200000</v>
      </c>
      <c r="AX927" s="3">
        <f t="shared" si="58"/>
        <v>52800000</v>
      </c>
      <c r="AY927" s="4">
        <f t="shared" si="59"/>
        <v>15</v>
      </c>
      <c r="AZ927" s="8">
        <v>0</v>
      </c>
      <c r="BA927" s="4" t="s">
        <v>5709</v>
      </c>
      <c r="BB927" s="2"/>
      <c r="BC927" s="3"/>
      <c r="BD927" s="3"/>
    </row>
    <row r="928" spans="1:56" ht="16.8" customHeight="1">
      <c r="A928" s="1">
        <v>927</v>
      </c>
      <c r="B928" s="1" t="s">
        <v>3175</v>
      </c>
      <c r="C928" s="1" t="s">
        <v>3389</v>
      </c>
      <c r="D928" s="1" t="s">
        <v>3566</v>
      </c>
      <c r="E928" s="1" t="s">
        <v>3566</v>
      </c>
      <c r="F928" s="1" t="s">
        <v>3567</v>
      </c>
      <c r="G928" s="1" t="s">
        <v>3568</v>
      </c>
      <c r="H928" s="1" t="s">
        <v>5043</v>
      </c>
      <c r="I928" s="18"/>
      <c r="J928" s="18"/>
      <c r="K928" s="18"/>
      <c r="L928" s="18"/>
      <c r="M928" s="2">
        <v>3000000</v>
      </c>
      <c r="N928" s="2">
        <v>3000000</v>
      </c>
      <c r="O928" s="2"/>
      <c r="P928" s="2" t="str">
        <f t="shared" si="56"/>
        <v/>
      </c>
      <c r="Q928" s="2"/>
      <c r="R928" s="2"/>
      <c r="S928" s="48"/>
      <c r="T928" s="2">
        <v>0</v>
      </c>
      <c r="U928" s="2">
        <v>18000000</v>
      </c>
      <c r="V928" s="1"/>
      <c r="W928" s="6"/>
      <c r="X928" s="1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>
        <f t="shared" si="57"/>
        <v>0</v>
      </c>
      <c r="AX928" s="3">
        <f t="shared" si="58"/>
        <v>0</v>
      </c>
      <c r="AY928" s="4">
        <f t="shared" si="59"/>
        <v>0</v>
      </c>
      <c r="BA928" s="4" t="s">
        <v>5726</v>
      </c>
      <c r="BB928" s="2"/>
      <c r="BC928" s="3"/>
      <c r="BD928" s="4"/>
    </row>
    <row r="929" spans="1:56" ht="16.8" customHeight="1">
      <c r="A929" s="1">
        <v>928</v>
      </c>
      <c r="B929" s="1" t="s">
        <v>3175</v>
      </c>
      <c r="C929" s="1" t="s">
        <v>3389</v>
      </c>
      <c r="D929" s="1" t="s">
        <v>3569</v>
      </c>
      <c r="E929" s="1" t="s">
        <v>3569</v>
      </c>
      <c r="F929" s="1" t="s">
        <v>3570</v>
      </c>
      <c r="G929" s="1" t="s">
        <v>3571</v>
      </c>
      <c r="H929" s="1" t="s">
        <v>4625</v>
      </c>
      <c r="I929" s="18" t="s">
        <v>4783</v>
      </c>
      <c r="J929" s="18" t="s">
        <v>4783</v>
      </c>
      <c r="K929" s="18" t="s">
        <v>4742</v>
      </c>
      <c r="L929" s="18" t="s">
        <v>4734</v>
      </c>
      <c r="M929" s="2">
        <v>3500000</v>
      </c>
      <c r="N929" s="2">
        <v>3500000</v>
      </c>
      <c r="O929" s="2"/>
      <c r="P929" s="2" t="str">
        <f t="shared" si="56"/>
        <v/>
      </c>
      <c r="Q929" s="2"/>
      <c r="R929" s="2"/>
      <c r="S929" s="48"/>
      <c r="T929" s="2">
        <v>10500000</v>
      </c>
      <c r="U929" s="2">
        <v>0</v>
      </c>
      <c r="V929" s="1" t="s">
        <v>3571</v>
      </c>
      <c r="W929" s="6" t="s">
        <v>3572</v>
      </c>
      <c r="X929" s="1" t="s">
        <v>324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>
        <v>3500000</v>
      </c>
      <c r="AI929" s="3">
        <v>3500000</v>
      </c>
      <c r="AJ929" s="3">
        <v>3500000</v>
      </c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>
        <f t="shared" si="57"/>
        <v>10500000</v>
      </c>
      <c r="AX929" s="3">
        <f t="shared" si="58"/>
        <v>0</v>
      </c>
      <c r="AY929" s="4">
        <f t="shared" si="59"/>
        <v>3</v>
      </c>
      <c r="AZ929" s="8" t="s">
        <v>5683</v>
      </c>
      <c r="BA929" s="4" t="s">
        <v>5726</v>
      </c>
      <c r="BB929" s="2"/>
      <c r="BC929" s="3"/>
      <c r="BD929" s="4"/>
    </row>
    <row r="930" spans="1:56" ht="16.8" customHeight="1">
      <c r="A930" s="1">
        <v>929</v>
      </c>
      <c r="B930" s="1" t="s">
        <v>3175</v>
      </c>
      <c r="C930" s="1" t="s">
        <v>3389</v>
      </c>
      <c r="D930" s="1" t="s">
        <v>3573</v>
      </c>
      <c r="E930" s="1" t="s">
        <v>3573</v>
      </c>
      <c r="F930" s="1" t="s">
        <v>3574</v>
      </c>
      <c r="G930" s="1" t="s">
        <v>3575</v>
      </c>
      <c r="H930" s="1" t="s">
        <v>5043</v>
      </c>
      <c r="I930" s="18"/>
      <c r="J930" s="18"/>
      <c r="K930" s="18"/>
      <c r="L930" s="18"/>
      <c r="M930" s="2">
        <v>3100000</v>
      </c>
      <c r="N930" s="2">
        <v>3100000</v>
      </c>
      <c r="O930" s="2"/>
      <c r="P930" s="2" t="str">
        <f t="shared" si="56"/>
        <v/>
      </c>
      <c r="Q930" s="2"/>
      <c r="R930" s="2"/>
      <c r="S930" s="48"/>
      <c r="T930" s="2">
        <v>0</v>
      </c>
      <c r="U930" s="2">
        <v>9300000</v>
      </c>
      <c r="V930" s="1"/>
      <c r="W930" s="6"/>
      <c r="X930" s="1"/>
      <c r="Y930" s="3"/>
      <c r="Z930" s="3"/>
      <c r="AA930" s="3"/>
      <c r="AB930" s="3"/>
      <c r="AC930" s="3"/>
      <c r="AD930" s="3"/>
      <c r="AE930" s="3"/>
      <c r="AF930" s="3"/>
      <c r="AG930" s="3"/>
      <c r="AH930" s="3">
        <v>3100000</v>
      </c>
      <c r="AI930" s="3">
        <v>3100000</v>
      </c>
      <c r="AJ930" s="3">
        <v>3100000</v>
      </c>
      <c r="AK930" s="3">
        <v>3100000</v>
      </c>
      <c r="AL930" s="3">
        <v>3100000</v>
      </c>
      <c r="AM930" s="3">
        <v>3100000</v>
      </c>
      <c r="AN930" s="3">
        <v>3100000</v>
      </c>
      <c r="AO930" s="3">
        <v>3100000</v>
      </c>
      <c r="AP930" s="3">
        <v>3100000</v>
      </c>
      <c r="AQ930" s="3"/>
      <c r="AR930" s="3"/>
      <c r="AS930" s="3"/>
      <c r="AT930" s="3"/>
      <c r="AU930" s="3"/>
      <c r="AV930" s="3"/>
      <c r="AW930" s="3">
        <f t="shared" si="57"/>
        <v>9300000</v>
      </c>
      <c r="AX930" s="3">
        <f t="shared" si="58"/>
        <v>18600000</v>
      </c>
      <c r="AY930" s="4">
        <f t="shared" si="59"/>
        <v>9</v>
      </c>
      <c r="BA930" s="4" t="s">
        <v>5735</v>
      </c>
      <c r="BB930" s="2"/>
      <c r="BC930" s="3"/>
      <c r="BD930" s="3"/>
    </row>
    <row r="931" spans="1:56" ht="16.8" customHeight="1">
      <c r="A931" s="1">
        <v>930</v>
      </c>
      <c r="B931" s="1" t="s">
        <v>3175</v>
      </c>
      <c r="C931" s="1" t="s">
        <v>3389</v>
      </c>
      <c r="D931" s="1" t="s">
        <v>3576</v>
      </c>
      <c r="E931" s="1" t="s">
        <v>3576</v>
      </c>
      <c r="F931" s="1" t="s">
        <v>3577</v>
      </c>
      <c r="G931" s="1" t="s">
        <v>3578</v>
      </c>
      <c r="H931" s="1" t="s">
        <v>5330</v>
      </c>
      <c r="I931" s="18" t="s">
        <v>4783</v>
      </c>
      <c r="J931" s="18" t="s">
        <v>4783</v>
      </c>
      <c r="K931" s="18" t="s">
        <v>4753</v>
      </c>
      <c r="L931" s="18" t="s">
        <v>4734</v>
      </c>
      <c r="M931" s="2">
        <v>3100000</v>
      </c>
      <c r="N931" s="2">
        <v>3100000</v>
      </c>
      <c r="O931" s="2"/>
      <c r="P931" s="2" t="str">
        <f t="shared" si="56"/>
        <v/>
      </c>
      <c r="Q931" s="2">
        <v>5000000</v>
      </c>
      <c r="R931" s="2"/>
      <c r="S931" s="48">
        <v>46023</v>
      </c>
      <c r="T931" s="2">
        <v>9300000</v>
      </c>
      <c r="U931" s="2">
        <v>0</v>
      </c>
      <c r="V931" s="1" t="s">
        <v>3578</v>
      </c>
      <c r="W931" s="6" t="s">
        <v>3579</v>
      </c>
      <c r="X931" s="1" t="s">
        <v>3580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>
        <v>3100000</v>
      </c>
      <c r="AI931" s="3">
        <v>3100000</v>
      </c>
      <c r="AJ931" s="3">
        <v>3100000</v>
      </c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>
        <f t="shared" si="57"/>
        <v>9300000</v>
      </c>
      <c r="AX931" s="3">
        <f t="shared" si="58"/>
        <v>0</v>
      </c>
      <c r="AY931" s="4">
        <f t="shared" si="59"/>
        <v>3</v>
      </c>
      <c r="BA931" s="4" t="s">
        <v>5726</v>
      </c>
      <c r="BB931" s="2"/>
      <c r="BC931" s="3"/>
      <c r="BD931" s="4"/>
    </row>
    <row r="932" spans="1:56" s="33" customFormat="1" ht="16.8" customHeight="1">
      <c r="A932" s="29">
        <v>931</v>
      </c>
      <c r="B932" s="29" t="s">
        <v>3175</v>
      </c>
      <c r="C932" s="29" t="s">
        <v>3389</v>
      </c>
      <c r="D932" s="29" t="s">
        <v>3581</v>
      </c>
      <c r="E932" s="29" t="s">
        <v>3581</v>
      </c>
      <c r="F932" s="1" t="s">
        <v>3582</v>
      </c>
      <c r="G932" s="1" t="s">
        <v>3583</v>
      </c>
      <c r="H932" s="1" t="s">
        <v>4648</v>
      </c>
      <c r="I932" s="18" t="s">
        <v>4783</v>
      </c>
      <c r="J932" s="18" t="s">
        <v>4783</v>
      </c>
      <c r="K932" s="18" t="s">
        <v>4777</v>
      </c>
      <c r="L932" s="18" t="s">
        <v>4734</v>
      </c>
      <c r="M932" s="30">
        <v>3000000</v>
      </c>
      <c r="N932" s="30">
        <v>3300000</v>
      </c>
      <c r="O932" s="30">
        <v>3300000</v>
      </c>
      <c r="P932" s="2">
        <f t="shared" si="56"/>
        <v>300000</v>
      </c>
      <c r="Q932" s="2"/>
      <c r="R932" s="2"/>
      <c r="S932" s="48"/>
      <c r="T932" s="2">
        <v>9000000</v>
      </c>
      <c r="U932" s="2">
        <v>0</v>
      </c>
      <c r="V932" s="1" t="s">
        <v>3583</v>
      </c>
      <c r="W932" s="6" t="s">
        <v>3584</v>
      </c>
      <c r="X932" s="1" t="s">
        <v>3435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>
        <v>3000000</v>
      </c>
      <c r="AI932" s="3">
        <v>3000000</v>
      </c>
      <c r="AJ932" s="3">
        <v>3000000</v>
      </c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>
        <f t="shared" si="57"/>
        <v>9000000</v>
      </c>
      <c r="AX932" s="31">
        <f t="shared" si="58"/>
        <v>0</v>
      </c>
      <c r="AY932" s="32">
        <f t="shared" si="59"/>
        <v>3</v>
      </c>
      <c r="BA932" s="4" t="s">
        <v>5726</v>
      </c>
      <c r="BB932" s="30"/>
      <c r="BC932" s="3"/>
      <c r="BD932" s="32"/>
    </row>
    <row r="933" spans="1:56" ht="16.8" customHeight="1">
      <c r="A933" s="1">
        <v>932</v>
      </c>
      <c r="B933" s="1" t="s">
        <v>3175</v>
      </c>
      <c r="C933" s="1" t="s">
        <v>3389</v>
      </c>
      <c r="D933" s="1" t="s">
        <v>3585</v>
      </c>
      <c r="E933" s="1" t="s">
        <v>3585</v>
      </c>
      <c r="F933" s="1" t="s">
        <v>3586</v>
      </c>
      <c r="G933" s="1" t="s">
        <v>3587</v>
      </c>
      <c r="H933" s="1" t="s">
        <v>5331</v>
      </c>
      <c r="I933" s="18" t="s">
        <v>4783</v>
      </c>
      <c r="J933" s="18" t="s">
        <v>4783</v>
      </c>
      <c r="K933" s="18" t="s">
        <v>4742</v>
      </c>
      <c r="L933" s="18" t="s">
        <v>4734</v>
      </c>
      <c r="M933" s="2">
        <v>3500000</v>
      </c>
      <c r="N933" s="2">
        <v>3500000</v>
      </c>
      <c r="O933" s="2"/>
      <c r="P933" s="2" t="str">
        <f t="shared" si="56"/>
        <v/>
      </c>
      <c r="Q933" s="2"/>
      <c r="R933" s="2"/>
      <c r="S933" s="48"/>
      <c r="T933" s="2">
        <v>10500000</v>
      </c>
      <c r="U933" s="2">
        <v>0</v>
      </c>
      <c r="V933" s="1" t="s">
        <v>3587</v>
      </c>
      <c r="W933" s="6" t="s">
        <v>3588</v>
      </c>
      <c r="X933" s="1" t="s">
        <v>2921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>
        <v>3500000</v>
      </c>
      <c r="AI933" s="3">
        <v>3500000</v>
      </c>
      <c r="AJ933" s="3">
        <v>3500000</v>
      </c>
      <c r="AK933" s="3">
        <v>3500000</v>
      </c>
      <c r="AL933" s="3">
        <v>3500000</v>
      </c>
      <c r="AM933" s="3">
        <v>3500000</v>
      </c>
      <c r="AN933" s="3">
        <v>3500000</v>
      </c>
      <c r="AO933" s="3">
        <v>3500000</v>
      </c>
      <c r="AP933" s="3">
        <v>3500000</v>
      </c>
      <c r="AQ933" s="3"/>
      <c r="AR933" s="3"/>
      <c r="AS933" s="3"/>
      <c r="AT933" s="3"/>
      <c r="AU933" s="3"/>
      <c r="AV933" s="3"/>
      <c r="AW933" s="3">
        <f t="shared" si="57"/>
        <v>10500000</v>
      </c>
      <c r="AX933" s="3">
        <f t="shared" si="58"/>
        <v>21000000</v>
      </c>
      <c r="AY933" s="4">
        <f t="shared" si="59"/>
        <v>9</v>
      </c>
      <c r="BA933" s="4" t="s">
        <v>5726</v>
      </c>
      <c r="BB933" s="2"/>
      <c r="BC933" s="3"/>
      <c r="BD933" s="3"/>
    </row>
    <row r="934" spans="1:56" ht="16.8" customHeight="1">
      <c r="A934" s="1">
        <v>933</v>
      </c>
      <c r="B934" s="1" t="s">
        <v>3175</v>
      </c>
      <c r="C934" s="1" t="s">
        <v>3389</v>
      </c>
      <c r="D934" s="1" t="s">
        <v>3589</v>
      </c>
      <c r="E934" s="1" t="s">
        <v>3589</v>
      </c>
      <c r="F934" s="1" t="s">
        <v>3590</v>
      </c>
      <c r="G934" s="1" t="s">
        <v>2160</v>
      </c>
      <c r="H934" s="1" t="s">
        <v>5332</v>
      </c>
      <c r="I934" s="18" t="s">
        <v>4783</v>
      </c>
      <c r="J934" s="18" t="s">
        <v>4783</v>
      </c>
      <c r="K934" s="18" t="s">
        <v>4742</v>
      </c>
      <c r="L934" s="18" t="s">
        <v>4734</v>
      </c>
      <c r="M934" s="2">
        <v>5000000</v>
      </c>
      <c r="N934" s="2">
        <v>5000000</v>
      </c>
      <c r="O934" s="2"/>
      <c r="P934" s="2" t="str">
        <f t="shared" si="56"/>
        <v/>
      </c>
      <c r="Q934" s="2"/>
      <c r="R934" s="2"/>
      <c r="S934" s="48"/>
      <c r="T934" s="2">
        <v>15000000</v>
      </c>
      <c r="U934" s="2">
        <v>0</v>
      </c>
      <c r="V934" s="1" t="s">
        <v>2160</v>
      </c>
      <c r="W934" s="6" t="s">
        <v>2161</v>
      </c>
      <c r="X934" s="1" t="s">
        <v>3423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>
        <v>5000000</v>
      </c>
      <c r="AI934" s="3">
        <v>5000000</v>
      </c>
      <c r="AJ934" s="3">
        <v>5000000</v>
      </c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>
        <f t="shared" si="57"/>
        <v>15000000</v>
      </c>
      <c r="AX934" s="3">
        <f t="shared" si="58"/>
        <v>0</v>
      </c>
      <c r="AY934" s="4">
        <f t="shared" si="59"/>
        <v>3</v>
      </c>
      <c r="BA934" s="4" t="s">
        <v>5726</v>
      </c>
      <c r="BB934" s="2"/>
      <c r="BC934" s="3"/>
      <c r="BD934" s="4"/>
    </row>
    <row r="935" spans="1:56" ht="16.8" customHeight="1">
      <c r="A935" s="1">
        <v>934</v>
      </c>
      <c r="B935" s="1" t="s">
        <v>3175</v>
      </c>
      <c r="C935" s="1" t="s">
        <v>3389</v>
      </c>
      <c r="D935" s="1" t="s">
        <v>3591</v>
      </c>
      <c r="E935" s="1" t="s">
        <v>3591</v>
      </c>
      <c r="F935" s="1" t="s">
        <v>3592</v>
      </c>
      <c r="G935" s="1" t="s">
        <v>3593</v>
      </c>
      <c r="H935" s="1" t="s">
        <v>4649</v>
      </c>
      <c r="I935" s="18" t="s">
        <v>4783</v>
      </c>
      <c r="J935" s="18" t="s">
        <v>4783</v>
      </c>
      <c r="K935" s="18" t="s">
        <v>4742</v>
      </c>
      <c r="L935" s="18" t="s">
        <v>4734</v>
      </c>
      <c r="M935" s="2">
        <v>3000000</v>
      </c>
      <c r="N935" s="2">
        <v>4000000</v>
      </c>
      <c r="O935" s="2">
        <v>4000000</v>
      </c>
      <c r="P935" s="2">
        <f t="shared" si="56"/>
        <v>1000000</v>
      </c>
      <c r="Q935" s="2"/>
      <c r="R935" s="2"/>
      <c r="S935" s="48"/>
      <c r="T935" s="2">
        <v>9000000</v>
      </c>
      <c r="U935" s="2">
        <v>0</v>
      </c>
      <c r="V935" s="1" t="s">
        <v>3594</v>
      </c>
      <c r="W935" s="6" t="s">
        <v>3595</v>
      </c>
      <c r="X935" s="1" t="s">
        <v>333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>
        <v>3000000</v>
      </c>
      <c r="AI935" s="3">
        <v>3000000</v>
      </c>
      <c r="AJ935" s="3">
        <v>3000000</v>
      </c>
      <c r="AK935" s="3">
        <v>4000000</v>
      </c>
      <c r="AL935" s="3">
        <v>4000000</v>
      </c>
      <c r="AM935" s="3">
        <v>4000000</v>
      </c>
      <c r="AN935" s="3">
        <v>4000000</v>
      </c>
      <c r="AO935" s="3">
        <v>4000000</v>
      </c>
      <c r="AP935" s="3">
        <v>4000000</v>
      </c>
      <c r="AQ935" s="3"/>
      <c r="AR935" s="3"/>
      <c r="AS935" s="3"/>
      <c r="AT935" s="3"/>
      <c r="AU935" s="3"/>
      <c r="AV935" s="3"/>
      <c r="AW935" s="3">
        <f t="shared" si="57"/>
        <v>9000000</v>
      </c>
      <c r="AX935" s="3">
        <f t="shared" si="58"/>
        <v>24000000</v>
      </c>
      <c r="AY935" s="4">
        <f t="shared" si="59"/>
        <v>9</v>
      </c>
      <c r="AZ935" s="8" t="s">
        <v>5621</v>
      </c>
      <c r="BA935" s="4" t="s">
        <v>5710</v>
      </c>
      <c r="BB935" s="2"/>
      <c r="BC935" s="3"/>
      <c r="BD935" s="4"/>
    </row>
    <row r="936" spans="1:56" ht="16.8" customHeight="1">
      <c r="A936" s="1">
        <v>935</v>
      </c>
      <c r="B936" s="1" t="s">
        <v>3175</v>
      </c>
      <c r="C936" s="1" t="s">
        <v>3389</v>
      </c>
      <c r="D936" s="1" t="s">
        <v>3596</v>
      </c>
      <c r="E936" s="1" t="s">
        <v>3596</v>
      </c>
      <c r="F936" s="1" t="s">
        <v>3597</v>
      </c>
      <c r="G936" s="1" t="s">
        <v>3598</v>
      </c>
      <c r="H936" s="1" t="s">
        <v>5333</v>
      </c>
      <c r="I936" s="18" t="s">
        <v>4783</v>
      </c>
      <c r="J936" s="18" t="s">
        <v>5018</v>
      </c>
      <c r="K936" s="18" t="s">
        <v>4742</v>
      </c>
      <c r="L936" s="18" t="s">
        <v>4734</v>
      </c>
      <c r="M936" s="2">
        <v>5000000</v>
      </c>
      <c r="N936" s="2">
        <v>5000000</v>
      </c>
      <c r="O936" s="2"/>
      <c r="P936" s="2" t="str">
        <f t="shared" si="56"/>
        <v/>
      </c>
      <c r="Q936" s="2"/>
      <c r="R936" s="2"/>
      <c r="S936" s="48"/>
      <c r="T936" s="2">
        <v>0</v>
      </c>
      <c r="U936" s="2">
        <v>0</v>
      </c>
      <c r="V936" s="1" t="s">
        <v>3599</v>
      </c>
      <c r="W936" s="6" t="s">
        <v>3600</v>
      </c>
      <c r="X936" s="1" t="s">
        <v>3547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>
        <v>5000000</v>
      </c>
      <c r="AL936" s="3">
        <v>5000000</v>
      </c>
      <c r="AM936" s="3">
        <v>5000000</v>
      </c>
      <c r="AN936" s="3">
        <v>5000000</v>
      </c>
      <c r="AO936" s="3">
        <v>5000000</v>
      </c>
      <c r="AP936" s="3">
        <v>5000000</v>
      </c>
      <c r="AQ936" s="3">
        <v>5000000</v>
      </c>
      <c r="AR936" s="3">
        <v>5000000</v>
      </c>
      <c r="AS936" s="3">
        <v>5000000</v>
      </c>
      <c r="AT936" s="3">
        <v>5000000</v>
      </c>
      <c r="AU936" s="3">
        <v>5000000</v>
      </c>
      <c r="AV936" s="3">
        <v>5000000</v>
      </c>
      <c r="AW936" s="3">
        <f t="shared" si="57"/>
        <v>0</v>
      </c>
      <c r="AX936" s="3">
        <f t="shared" si="58"/>
        <v>60000000</v>
      </c>
      <c r="AY936" s="4">
        <f t="shared" si="59"/>
        <v>12</v>
      </c>
      <c r="AZ936" s="8" t="s">
        <v>5622</v>
      </c>
      <c r="BA936" s="4" t="s">
        <v>5726</v>
      </c>
      <c r="BB936" s="2"/>
      <c r="BC936" s="3"/>
      <c r="BD936" s="3"/>
    </row>
    <row r="937" spans="1:56" ht="16.8" customHeight="1">
      <c r="A937" s="1">
        <v>936</v>
      </c>
      <c r="B937" s="1" t="s">
        <v>3175</v>
      </c>
      <c r="C937" s="1" t="s">
        <v>3389</v>
      </c>
      <c r="D937" s="1" t="s">
        <v>3601</v>
      </c>
      <c r="E937" s="1" t="s">
        <v>3601</v>
      </c>
      <c r="F937" s="1" t="s">
        <v>3602</v>
      </c>
      <c r="G937" s="1" t="s">
        <v>3603</v>
      </c>
      <c r="H937" s="1" t="s">
        <v>4650</v>
      </c>
      <c r="I937" s="18" t="s">
        <v>5018</v>
      </c>
      <c r="J937" s="18" t="s">
        <v>5018</v>
      </c>
      <c r="K937" s="18" t="s">
        <v>4827</v>
      </c>
      <c r="L937" s="18" t="s">
        <v>4734</v>
      </c>
      <c r="M937" s="2">
        <v>3800000</v>
      </c>
      <c r="N937" s="2">
        <v>5000000</v>
      </c>
      <c r="O937" s="2"/>
      <c r="P937" s="2">
        <f t="shared" si="56"/>
        <v>1200000</v>
      </c>
      <c r="Q937" s="2"/>
      <c r="R937" s="2"/>
      <c r="S937" s="48"/>
      <c r="T937" s="2">
        <v>11400000</v>
      </c>
      <c r="U937" s="2">
        <v>0</v>
      </c>
      <c r="V937" s="1" t="s">
        <v>3603</v>
      </c>
      <c r="W937" s="6" t="s">
        <v>3604</v>
      </c>
      <c r="X937" s="1" t="s">
        <v>3605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>
        <v>3800000</v>
      </c>
      <c r="AI937" s="3">
        <v>3800000</v>
      </c>
      <c r="AJ937" s="3">
        <v>3800000</v>
      </c>
      <c r="AK937" s="3">
        <v>5000000</v>
      </c>
      <c r="AL937" s="3">
        <v>5000000</v>
      </c>
      <c r="AM937" s="3">
        <v>5000000</v>
      </c>
      <c r="AN937" s="3">
        <v>5000000</v>
      </c>
      <c r="AO937" s="3">
        <v>5000000</v>
      </c>
      <c r="AP937" s="3">
        <v>5000000</v>
      </c>
      <c r="AQ937" s="3">
        <v>5000000</v>
      </c>
      <c r="AR937" s="3">
        <v>5000000</v>
      </c>
      <c r="AS937" s="3">
        <v>5000000</v>
      </c>
      <c r="AT937" s="3">
        <v>5000000</v>
      </c>
      <c r="AU937" s="3">
        <v>5000000</v>
      </c>
      <c r="AV937" s="3">
        <v>5000000</v>
      </c>
      <c r="AW937" s="3">
        <f t="shared" si="57"/>
        <v>11400000</v>
      </c>
      <c r="AX937" s="3">
        <f t="shared" si="58"/>
        <v>60000000</v>
      </c>
      <c r="AY937" s="4">
        <f t="shared" si="59"/>
        <v>15</v>
      </c>
      <c r="BA937" s="4" t="s">
        <v>5711</v>
      </c>
      <c r="BB937" s="2">
        <v>30000000</v>
      </c>
      <c r="BC937" s="3"/>
      <c r="BD937" s="3"/>
    </row>
    <row r="938" spans="1:56" ht="16.8" customHeight="1">
      <c r="A938" s="1">
        <v>937</v>
      </c>
      <c r="B938" s="1" t="s">
        <v>3175</v>
      </c>
      <c r="C938" s="1" t="s">
        <v>3389</v>
      </c>
      <c r="D938" s="1" t="s">
        <v>3606</v>
      </c>
      <c r="E938" s="1" t="s">
        <v>3606</v>
      </c>
      <c r="F938" s="1" t="s">
        <v>3607</v>
      </c>
      <c r="G938" s="1" t="s">
        <v>3608</v>
      </c>
      <c r="H938" s="1" t="s">
        <v>5334</v>
      </c>
      <c r="I938" s="18" t="s">
        <v>4783</v>
      </c>
      <c r="J938" s="18" t="s">
        <v>4783</v>
      </c>
      <c r="K938" s="18" t="s">
        <v>4742</v>
      </c>
      <c r="L938" s="18" t="s">
        <v>4734</v>
      </c>
      <c r="M938" s="2">
        <v>3100000</v>
      </c>
      <c r="N938" s="2">
        <v>3100000</v>
      </c>
      <c r="O938" s="2"/>
      <c r="P938" s="2" t="str">
        <f t="shared" si="56"/>
        <v/>
      </c>
      <c r="Q938" s="2">
        <v>4500000</v>
      </c>
      <c r="R938" s="2"/>
      <c r="S938" s="48">
        <v>46029</v>
      </c>
      <c r="T938" s="2">
        <v>9300000</v>
      </c>
      <c r="U938" s="2">
        <v>0</v>
      </c>
      <c r="V938" s="1" t="s">
        <v>3609</v>
      </c>
      <c r="W938" s="6" t="s">
        <v>3610</v>
      </c>
      <c r="X938" s="1" t="s">
        <v>3435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>
        <v>3100000</v>
      </c>
      <c r="AI938" s="3">
        <v>3100000</v>
      </c>
      <c r="AJ938" s="3">
        <v>3100000</v>
      </c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>
        <f t="shared" si="57"/>
        <v>9300000</v>
      </c>
      <c r="AX938" s="3">
        <f t="shared" si="58"/>
        <v>0</v>
      </c>
      <c r="AY938" s="4">
        <f t="shared" si="59"/>
        <v>3</v>
      </c>
      <c r="AZ938" s="8" t="s">
        <v>5702</v>
      </c>
      <c r="BA938" s="4" t="s">
        <v>5726</v>
      </c>
      <c r="BB938" s="2"/>
      <c r="BC938" s="3"/>
      <c r="BD938" s="4"/>
    </row>
    <row r="939" spans="1:56" ht="16.8" customHeight="1">
      <c r="A939" s="1">
        <v>938</v>
      </c>
      <c r="B939" s="1" t="s">
        <v>3175</v>
      </c>
      <c r="C939" s="1" t="s">
        <v>3389</v>
      </c>
      <c r="D939" s="1" t="s">
        <v>3611</v>
      </c>
      <c r="E939" s="1" t="s">
        <v>3611</v>
      </c>
      <c r="F939" s="1" t="s">
        <v>3612</v>
      </c>
      <c r="G939" s="1" t="s">
        <v>3613</v>
      </c>
      <c r="H939" s="1" t="s">
        <v>5335</v>
      </c>
      <c r="I939" s="18" t="s">
        <v>4783</v>
      </c>
      <c r="J939" s="18" t="s">
        <v>5018</v>
      </c>
      <c r="K939" s="18" t="s">
        <v>4742</v>
      </c>
      <c r="L939" s="18" t="s">
        <v>4734</v>
      </c>
      <c r="M939" s="2">
        <v>3500000</v>
      </c>
      <c r="N939" s="2">
        <v>3500000</v>
      </c>
      <c r="O939" s="2"/>
      <c r="P939" s="2" t="str">
        <f t="shared" si="56"/>
        <v/>
      </c>
      <c r="Q939" s="2"/>
      <c r="R939" s="2"/>
      <c r="S939" s="48"/>
      <c r="T939" s="2">
        <v>0</v>
      </c>
      <c r="U939" s="2">
        <v>0</v>
      </c>
      <c r="V939" s="1"/>
      <c r="W939" s="6"/>
      <c r="X939" s="1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>
        <f t="shared" si="57"/>
        <v>0</v>
      </c>
      <c r="AX939" s="3">
        <f t="shared" si="58"/>
        <v>0</v>
      </c>
      <c r="AY939" s="4">
        <f t="shared" si="59"/>
        <v>0</v>
      </c>
      <c r="BA939" s="4" t="s">
        <v>5726</v>
      </c>
      <c r="BB939" s="2"/>
      <c r="BC939" s="3"/>
      <c r="BD939" s="4"/>
    </row>
    <row r="940" spans="1:56" ht="16.8" customHeight="1">
      <c r="A940" s="1">
        <v>939</v>
      </c>
      <c r="B940" s="1" t="s">
        <v>3175</v>
      </c>
      <c r="C940" s="1" t="s">
        <v>3389</v>
      </c>
      <c r="D940" s="1" t="s">
        <v>3614</v>
      </c>
      <c r="E940" s="1" t="s">
        <v>3614</v>
      </c>
      <c r="F940" s="1" t="s">
        <v>3615</v>
      </c>
      <c r="G940" s="1" t="s">
        <v>3616</v>
      </c>
      <c r="H940" s="1" t="s">
        <v>5043</v>
      </c>
      <c r="I940" s="18"/>
      <c r="J940" s="18"/>
      <c r="K940" s="18"/>
      <c r="L940" s="18"/>
      <c r="M940" s="2">
        <v>3400000</v>
      </c>
      <c r="N940" s="2">
        <v>3400000</v>
      </c>
      <c r="O940" s="2"/>
      <c r="P940" s="2" t="str">
        <f t="shared" si="56"/>
        <v/>
      </c>
      <c r="Q940" s="2"/>
      <c r="R940" s="2"/>
      <c r="S940" s="48"/>
      <c r="T940" s="2">
        <v>0</v>
      </c>
      <c r="U940" s="2">
        <v>0</v>
      </c>
      <c r="V940" s="1"/>
      <c r="W940" s="6"/>
      <c r="X940" s="1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>
        <f t="shared" si="57"/>
        <v>0</v>
      </c>
      <c r="AX940" s="3">
        <f t="shared" si="58"/>
        <v>0</v>
      </c>
      <c r="AY940" s="4">
        <f t="shared" si="59"/>
        <v>0</v>
      </c>
      <c r="BA940" s="4" t="s">
        <v>5726</v>
      </c>
      <c r="BB940" s="2"/>
      <c r="BC940" s="3"/>
      <c r="BD940" s="4"/>
    </row>
    <row r="941" spans="1:56" ht="16.8" customHeight="1">
      <c r="A941" s="1">
        <v>940</v>
      </c>
      <c r="B941" s="1" t="s">
        <v>3175</v>
      </c>
      <c r="C941" s="1" t="s">
        <v>3389</v>
      </c>
      <c r="D941" s="1" t="s">
        <v>3617</v>
      </c>
      <c r="E941" s="1" t="s">
        <v>3617</v>
      </c>
      <c r="F941" s="1" t="s">
        <v>3618</v>
      </c>
      <c r="G941" s="1" t="s">
        <v>3619</v>
      </c>
      <c r="H941" s="1" t="s">
        <v>4652</v>
      </c>
      <c r="I941" s="18" t="s">
        <v>4783</v>
      </c>
      <c r="J941" s="18" t="s">
        <v>5018</v>
      </c>
      <c r="K941" s="18" t="s">
        <v>4742</v>
      </c>
      <c r="L941" s="18" t="s">
        <v>4734</v>
      </c>
      <c r="M941" s="2">
        <v>3600000</v>
      </c>
      <c r="N941" s="2">
        <v>3600000</v>
      </c>
      <c r="O941" s="2"/>
      <c r="P941" s="2" t="str">
        <f t="shared" si="56"/>
        <v/>
      </c>
      <c r="Q941" s="2"/>
      <c r="R941" s="2"/>
      <c r="S941" s="48"/>
      <c r="T941" s="2">
        <v>0</v>
      </c>
      <c r="U941" s="2">
        <v>0</v>
      </c>
      <c r="V941" s="1" t="s">
        <v>3619</v>
      </c>
      <c r="W941" s="6" t="s">
        <v>3620</v>
      </c>
      <c r="X941" s="1" t="s">
        <v>3288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>
        <v>3600000</v>
      </c>
      <c r="AL941" s="3">
        <v>3600000</v>
      </c>
      <c r="AM941" s="3">
        <v>3600000</v>
      </c>
      <c r="AN941" s="3">
        <v>3600000</v>
      </c>
      <c r="AO941" s="3">
        <v>3600000</v>
      </c>
      <c r="AP941" s="3">
        <v>3600000</v>
      </c>
      <c r="AQ941" s="3">
        <v>3600000</v>
      </c>
      <c r="AR941" s="3">
        <v>3600000</v>
      </c>
      <c r="AS941" s="3">
        <v>3600000</v>
      </c>
      <c r="AT941" s="3">
        <v>3600000</v>
      </c>
      <c r="AU941" s="3">
        <v>3600000</v>
      </c>
      <c r="AV941" s="3">
        <v>3600000</v>
      </c>
      <c r="AW941" s="3">
        <f t="shared" si="57"/>
        <v>0</v>
      </c>
      <c r="AX941" s="3">
        <f t="shared" si="58"/>
        <v>43200000</v>
      </c>
      <c r="AY941" s="4">
        <f t="shared" si="59"/>
        <v>12</v>
      </c>
      <c r="AZ941" s="8" t="s">
        <v>5683</v>
      </c>
      <c r="BA941" s="4" t="s">
        <v>5726</v>
      </c>
      <c r="BB941" s="2">
        <v>43200000</v>
      </c>
      <c r="BC941" s="3"/>
      <c r="BD941" s="3"/>
    </row>
    <row r="942" spans="1:56" ht="16.8" customHeight="1">
      <c r="A942" s="1">
        <v>941</v>
      </c>
      <c r="B942" s="1" t="s">
        <v>3175</v>
      </c>
      <c r="C942" s="1" t="s">
        <v>3389</v>
      </c>
      <c r="D942" s="1" t="s">
        <v>3621</v>
      </c>
      <c r="E942" s="1" t="s">
        <v>3621</v>
      </c>
      <c r="F942" s="1" t="s">
        <v>3622</v>
      </c>
      <c r="G942" s="1" t="s">
        <v>3421</v>
      </c>
      <c r="H942" s="1" t="s">
        <v>5336</v>
      </c>
      <c r="I942" s="18" t="s">
        <v>4783</v>
      </c>
      <c r="J942" s="18" t="s">
        <v>4783</v>
      </c>
      <c r="K942" s="18" t="s">
        <v>4742</v>
      </c>
      <c r="L942" s="18" t="s">
        <v>4734</v>
      </c>
      <c r="M942" s="2">
        <v>3800000</v>
      </c>
      <c r="N942" s="2">
        <v>3800000</v>
      </c>
      <c r="O942" s="2"/>
      <c r="P942" s="2" t="str">
        <f t="shared" si="56"/>
        <v/>
      </c>
      <c r="Q942" s="2"/>
      <c r="R942" s="2"/>
      <c r="S942" s="48"/>
      <c r="T942" s="2">
        <v>11400000</v>
      </c>
      <c r="U942" s="2">
        <v>0</v>
      </c>
      <c r="V942" s="1" t="s">
        <v>3421</v>
      </c>
      <c r="W942" s="6" t="s">
        <v>3623</v>
      </c>
      <c r="X942" s="1" t="s">
        <v>2921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>
        <v>3800000</v>
      </c>
      <c r="AI942" s="3">
        <v>3800000</v>
      </c>
      <c r="AJ942" s="3">
        <v>3800000</v>
      </c>
      <c r="AK942" s="3">
        <v>3800000</v>
      </c>
      <c r="AL942" s="3">
        <v>3800000</v>
      </c>
      <c r="AM942" s="3">
        <v>3800000</v>
      </c>
      <c r="AN942" s="3">
        <v>3800000</v>
      </c>
      <c r="AO942" s="3">
        <v>3800000</v>
      </c>
      <c r="AP942" s="3">
        <v>3800000</v>
      </c>
      <c r="AQ942" s="3">
        <v>3800000</v>
      </c>
      <c r="AR942" s="3">
        <v>3800000</v>
      </c>
      <c r="AS942" s="3">
        <v>3800000</v>
      </c>
      <c r="AT942" s="3">
        <v>3800000</v>
      </c>
      <c r="AU942" s="3">
        <v>3800000</v>
      </c>
      <c r="AV942" s="3">
        <v>3800000</v>
      </c>
      <c r="AW942" s="3">
        <f t="shared" si="57"/>
        <v>11400000</v>
      </c>
      <c r="AX942" s="3">
        <f t="shared" si="58"/>
        <v>45600000</v>
      </c>
      <c r="AY942" s="4">
        <f t="shared" si="59"/>
        <v>15</v>
      </c>
      <c r="AZ942" s="8">
        <v>0</v>
      </c>
      <c r="BA942" s="4" t="s">
        <v>5726</v>
      </c>
      <c r="BB942" s="2"/>
      <c r="BC942" s="3"/>
      <c r="BD942" s="3"/>
    </row>
    <row r="943" spans="1:56" ht="16.8" customHeight="1">
      <c r="A943" s="1">
        <v>942</v>
      </c>
      <c r="B943" s="1" t="s">
        <v>3175</v>
      </c>
      <c r="C943" s="1" t="s">
        <v>3389</v>
      </c>
      <c r="D943" s="1" t="s">
        <v>3624</v>
      </c>
      <c r="E943" s="1" t="s">
        <v>3624</v>
      </c>
      <c r="F943" s="1" t="s">
        <v>3625</v>
      </c>
      <c r="G943" s="1" t="s">
        <v>3626</v>
      </c>
      <c r="H943" s="1" t="s">
        <v>5337</v>
      </c>
      <c r="I943" s="18" t="s">
        <v>5338</v>
      </c>
      <c r="J943" s="18" t="s">
        <v>5018</v>
      </c>
      <c r="K943" s="18" t="s">
        <v>5339</v>
      </c>
      <c r="L943" s="18" t="s">
        <v>4734</v>
      </c>
      <c r="M943" s="2">
        <v>4000000</v>
      </c>
      <c r="N943" s="2">
        <v>5000000</v>
      </c>
      <c r="O943" s="2">
        <v>5000000</v>
      </c>
      <c r="P943" s="2">
        <f t="shared" si="56"/>
        <v>1000000</v>
      </c>
      <c r="Q943" s="2"/>
      <c r="R943" s="2"/>
      <c r="S943" s="48"/>
      <c r="T943" s="2">
        <v>0</v>
      </c>
      <c r="U943" s="2">
        <v>0</v>
      </c>
      <c r="V943" s="1" t="s">
        <v>3627</v>
      </c>
      <c r="W943" s="6" t="s">
        <v>3628</v>
      </c>
      <c r="X943" s="1" t="s">
        <v>3629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>
        <v>5000000</v>
      </c>
      <c r="AL943" s="3">
        <v>5000000</v>
      </c>
      <c r="AM943" s="3">
        <v>5000000</v>
      </c>
      <c r="AN943" s="3">
        <v>5000000</v>
      </c>
      <c r="AO943" s="3">
        <v>5000000</v>
      </c>
      <c r="AP943" s="3">
        <v>5000000</v>
      </c>
      <c r="AQ943" s="3"/>
      <c r="AR943" s="3"/>
      <c r="AS943" s="3"/>
      <c r="AT943" s="3"/>
      <c r="AU943" s="3"/>
      <c r="AV943" s="3"/>
      <c r="AW943" s="3">
        <f t="shared" si="57"/>
        <v>0</v>
      </c>
      <c r="AX943" s="3">
        <f t="shared" si="58"/>
        <v>30000000</v>
      </c>
      <c r="AY943" s="4">
        <f t="shared" si="59"/>
        <v>6</v>
      </c>
      <c r="AZ943" s="8">
        <v>0</v>
      </c>
      <c r="BA943" s="4" t="s">
        <v>5726</v>
      </c>
      <c r="BB943" s="2"/>
      <c r="BC943" s="3"/>
      <c r="BD943" s="3"/>
    </row>
    <row r="944" spans="1:56" ht="16.8" customHeight="1">
      <c r="A944" s="1">
        <v>943</v>
      </c>
      <c r="B944" s="1" t="s">
        <v>3175</v>
      </c>
      <c r="C944" s="1" t="s">
        <v>3389</v>
      </c>
      <c r="D944" s="1" t="s">
        <v>3630</v>
      </c>
      <c r="E944" s="1" t="s">
        <v>3630</v>
      </c>
      <c r="F944" s="1" t="s">
        <v>3631</v>
      </c>
      <c r="G944" s="1" t="s">
        <v>2225</v>
      </c>
      <c r="H944" s="1" t="s">
        <v>4653</v>
      </c>
      <c r="I944" s="18" t="s">
        <v>4783</v>
      </c>
      <c r="J944" s="18" t="s">
        <v>4783</v>
      </c>
      <c r="K944" s="18" t="s">
        <v>4742</v>
      </c>
      <c r="L944" s="18" t="s">
        <v>4734</v>
      </c>
      <c r="M944" s="2">
        <v>4000000</v>
      </c>
      <c r="N944" s="2">
        <v>4000000</v>
      </c>
      <c r="O944" s="2"/>
      <c r="P944" s="2" t="str">
        <f t="shared" si="56"/>
        <v/>
      </c>
      <c r="Q944" s="2"/>
      <c r="R944" s="2"/>
      <c r="S944" s="48"/>
      <c r="T944" s="2">
        <v>12000000</v>
      </c>
      <c r="U944" s="2">
        <v>0</v>
      </c>
      <c r="V944" s="1" t="s">
        <v>418</v>
      </c>
      <c r="W944" s="6" t="s">
        <v>3632</v>
      </c>
      <c r="X944" s="1" t="s">
        <v>3257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>
        <v>4000000</v>
      </c>
      <c r="AI944" s="3">
        <v>4000000</v>
      </c>
      <c r="AJ944" s="3">
        <v>4000000</v>
      </c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>
        <f t="shared" si="57"/>
        <v>12000000</v>
      </c>
      <c r="AX944" s="3">
        <f t="shared" si="58"/>
        <v>0</v>
      </c>
      <c r="AY944" s="4">
        <f t="shared" si="59"/>
        <v>3</v>
      </c>
      <c r="BA944" s="4" t="s">
        <v>5726</v>
      </c>
      <c r="BB944" s="2"/>
      <c r="BC944" s="3"/>
      <c r="BD944" s="4"/>
    </row>
    <row r="945" spans="1:56" ht="16.8" customHeight="1">
      <c r="A945" s="1">
        <v>944</v>
      </c>
      <c r="B945" s="1" t="s">
        <v>3175</v>
      </c>
      <c r="C945" s="1" t="s">
        <v>3389</v>
      </c>
      <c r="D945" s="1" t="s">
        <v>3633</v>
      </c>
      <c r="E945" s="1" t="s">
        <v>3633</v>
      </c>
      <c r="F945" s="1" t="s">
        <v>3634</v>
      </c>
      <c r="G945" s="1" t="s">
        <v>3635</v>
      </c>
      <c r="H945" s="1" t="s">
        <v>5340</v>
      </c>
      <c r="I945" s="18" t="s">
        <v>4783</v>
      </c>
      <c r="J945" s="18" t="s">
        <v>4783</v>
      </c>
      <c r="K945" s="18" t="s">
        <v>4742</v>
      </c>
      <c r="L945" s="18" t="s">
        <v>4734</v>
      </c>
      <c r="M945" s="2">
        <v>6050000</v>
      </c>
      <c r="N945" s="2">
        <v>6050000</v>
      </c>
      <c r="O945" s="2"/>
      <c r="P945" s="2" t="str">
        <f t="shared" si="56"/>
        <v/>
      </c>
      <c r="Q945" s="2">
        <v>9000000</v>
      </c>
      <c r="R945" s="2"/>
      <c r="S945" s="48">
        <v>46023</v>
      </c>
      <c r="T945" s="2">
        <v>18050000</v>
      </c>
      <c r="U945" s="2">
        <v>100000</v>
      </c>
      <c r="V945" s="1" t="s">
        <v>3636</v>
      </c>
      <c r="W945" s="6" t="s">
        <v>3637</v>
      </c>
      <c r="X945" s="1" t="s">
        <v>3638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>
        <v>6050000</v>
      </c>
      <c r="AI945" s="3">
        <v>6050000</v>
      </c>
      <c r="AJ945" s="3">
        <v>5950000</v>
      </c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>
        <f t="shared" si="57"/>
        <v>18050000</v>
      </c>
      <c r="AX945" s="3">
        <f t="shared" si="58"/>
        <v>0</v>
      </c>
      <c r="AY945" s="4">
        <f t="shared" si="59"/>
        <v>3</v>
      </c>
      <c r="BA945" s="4" t="s">
        <v>5726</v>
      </c>
      <c r="BB945" s="2"/>
      <c r="BC945" s="3"/>
      <c r="BD945" s="4"/>
    </row>
    <row r="946" spans="1:56" ht="16.8" customHeight="1">
      <c r="A946" s="1">
        <v>945</v>
      </c>
      <c r="B946" s="1" t="s">
        <v>3175</v>
      </c>
      <c r="C946" s="1" t="s">
        <v>3389</v>
      </c>
      <c r="D946" s="1" t="s">
        <v>3639</v>
      </c>
      <c r="E946" s="1" t="s">
        <v>3639</v>
      </c>
      <c r="F946" s="1" t="s">
        <v>3640</v>
      </c>
      <c r="G946" s="1" t="s">
        <v>3641</v>
      </c>
      <c r="H946" s="1" t="s">
        <v>5043</v>
      </c>
      <c r="I946" s="18"/>
      <c r="J946" s="18"/>
      <c r="K946" s="18"/>
      <c r="L946" s="18"/>
      <c r="M946" s="2">
        <v>3500000</v>
      </c>
      <c r="N946" s="2">
        <v>3500000</v>
      </c>
      <c r="O946" s="2"/>
      <c r="P946" s="2" t="str">
        <f t="shared" si="56"/>
        <v/>
      </c>
      <c r="Q946" s="2"/>
      <c r="R946" s="2"/>
      <c r="S946" s="48"/>
      <c r="T946" s="2">
        <v>0</v>
      </c>
      <c r="U946" s="2">
        <v>21000000</v>
      </c>
      <c r="V946" s="1"/>
      <c r="W946" s="6"/>
      <c r="X946" s="1"/>
      <c r="Y946" s="3"/>
      <c r="Z946" s="3"/>
      <c r="AA946" s="3"/>
      <c r="AB946" s="3"/>
      <c r="AC946" s="3"/>
      <c r="AD946" s="3"/>
      <c r="AE946" s="3">
        <v>3500000</v>
      </c>
      <c r="AF946" s="3">
        <v>3500000</v>
      </c>
      <c r="AG946" s="3">
        <v>3500000</v>
      </c>
      <c r="AH946" s="3">
        <v>3500000</v>
      </c>
      <c r="AI946" s="3">
        <v>3500000</v>
      </c>
      <c r="AJ946" s="3">
        <v>3500000</v>
      </c>
      <c r="AK946" s="3">
        <v>3500000</v>
      </c>
      <c r="AL946" s="3">
        <v>3500000</v>
      </c>
      <c r="AM946" s="3">
        <v>3500000</v>
      </c>
      <c r="AN946" s="3">
        <v>3500000</v>
      </c>
      <c r="AO946" s="3">
        <v>3500000</v>
      </c>
      <c r="AP946" s="3">
        <v>3500000</v>
      </c>
      <c r="AQ946" s="3">
        <v>3500000</v>
      </c>
      <c r="AR946" s="3">
        <v>3500000</v>
      </c>
      <c r="AS946" s="3">
        <v>3500000</v>
      </c>
      <c r="AT946" s="3">
        <v>3500000</v>
      </c>
      <c r="AU946" s="3">
        <v>3500000</v>
      </c>
      <c r="AV946" s="3">
        <v>3500000</v>
      </c>
      <c r="AW946" s="3">
        <f t="shared" si="57"/>
        <v>21000000</v>
      </c>
      <c r="AX946" s="3">
        <f t="shared" si="58"/>
        <v>42000000</v>
      </c>
      <c r="AY946" s="4">
        <f t="shared" si="59"/>
        <v>18</v>
      </c>
      <c r="BA946" s="4" t="s">
        <v>5736</v>
      </c>
      <c r="BB946" s="2"/>
      <c r="BC946" s="3"/>
      <c r="BD946" s="3"/>
    </row>
    <row r="947" spans="1:56" ht="16.8" customHeight="1">
      <c r="A947" s="1">
        <v>946</v>
      </c>
      <c r="B947" s="1" t="s">
        <v>3175</v>
      </c>
      <c r="C947" s="1" t="s">
        <v>3389</v>
      </c>
      <c r="D947" s="1" t="s">
        <v>3642</v>
      </c>
      <c r="E947" s="1" t="s">
        <v>3642</v>
      </c>
      <c r="F947" s="1" t="s">
        <v>3643</v>
      </c>
      <c r="G947" s="1" t="s">
        <v>3644</v>
      </c>
      <c r="H947" s="1" t="s">
        <v>5043</v>
      </c>
      <c r="I947" s="18"/>
      <c r="J947" s="18"/>
      <c r="K947" s="18"/>
      <c r="L947" s="18"/>
      <c r="M947" s="2">
        <v>3500000</v>
      </c>
      <c r="N947" s="2">
        <v>3500000</v>
      </c>
      <c r="O947" s="2"/>
      <c r="P947" s="2" t="str">
        <f t="shared" si="56"/>
        <v/>
      </c>
      <c r="Q947" s="2"/>
      <c r="R947" s="2"/>
      <c r="S947" s="48"/>
      <c r="T947" s="2">
        <v>0</v>
      </c>
      <c r="U947" s="2">
        <v>21000000</v>
      </c>
      <c r="V947" s="1"/>
      <c r="W947" s="6"/>
      <c r="X947" s="1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>
        <f t="shared" si="57"/>
        <v>0</v>
      </c>
      <c r="AX947" s="3">
        <f t="shared" si="58"/>
        <v>0</v>
      </c>
      <c r="AY947" s="4">
        <f t="shared" si="59"/>
        <v>0</v>
      </c>
      <c r="BA947" s="4" t="s">
        <v>5726</v>
      </c>
      <c r="BB947" s="2"/>
      <c r="BC947" s="3"/>
      <c r="BD947" s="4"/>
    </row>
    <row r="948" spans="1:56" ht="16.8" customHeight="1">
      <c r="A948" s="1">
        <v>947</v>
      </c>
      <c r="B948" s="1" t="s">
        <v>3175</v>
      </c>
      <c r="C948" s="1" t="s">
        <v>3389</v>
      </c>
      <c r="D948" s="1" t="s">
        <v>3645</v>
      </c>
      <c r="E948" s="1" t="s">
        <v>3645</v>
      </c>
      <c r="F948" s="1" t="s">
        <v>3646</v>
      </c>
      <c r="G948" s="1" t="s">
        <v>3647</v>
      </c>
      <c r="H948" s="1" t="s">
        <v>5341</v>
      </c>
      <c r="I948" s="18" t="s">
        <v>4783</v>
      </c>
      <c r="J948" s="18" t="s">
        <v>4783</v>
      </c>
      <c r="K948" s="18" t="s">
        <v>4795</v>
      </c>
      <c r="L948" s="18" t="s">
        <v>4734</v>
      </c>
      <c r="M948" s="2">
        <v>3800000</v>
      </c>
      <c r="N948" s="2">
        <v>3800000</v>
      </c>
      <c r="O948" s="2"/>
      <c r="P948" s="2" t="str">
        <f t="shared" si="56"/>
        <v/>
      </c>
      <c r="Q948" s="2">
        <v>5000000</v>
      </c>
      <c r="R948" s="2"/>
      <c r="S948" s="48">
        <v>46023</v>
      </c>
      <c r="T948" s="2">
        <v>11400000</v>
      </c>
      <c r="U948" s="2">
        <v>0</v>
      </c>
      <c r="V948" s="1" t="s">
        <v>3647</v>
      </c>
      <c r="W948" s="6" t="s">
        <v>3648</v>
      </c>
      <c r="X948" s="1" t="s">
        <v>3649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>
        <v>3800000</v>
      </c>
      <c r="AI948" s="3">
        <v>3800000</v>
      </c>
      <c r="AJ948" s="3">
        <v>3800000</v>
      </c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>
        <f t="shared" si="57"/>
        <v>11400000</v>
      </c>
      <c r="AX948" s="3">
        <f t="shared" si="58"/>
        <v>0</v>
      </c>
      <c r="AY948" s="4">
        <f t="shared" si="59"/>
        <v>3</v>
      </c>
      <c r="BA948" s="4" t="s">
        <v>5726</v>
      </c>
      <c r="BB948" s="2"/>
      <c r="BC948" s="3"/>
      <c r="BD948" s="4"/>
    </row>
    <row r="949" spans="1:56" ht="16.8" customHeight="1">
      <c r="A949" s="1">
        <v>948</v>
      </c>
      <c r="B949" s="1" t="s">
        <v>3175</v>
      </c>
      <c r="C949" s="1" t="s">
        <v>3389</v>
      </c>
      <c r="D949" s="1" t="s">
        <v>3650</v>
      </c>
      <c r="E949" s="1" t="s">
        <v>3650</v>
      </c>
      <c r="F949" s="1" t="s">
        <v>3651</v>
      </c>
      <c r="G949" s="1" t="s">
        <v>3652</v>
      </c>
      <c r="H949" s="1" t="s">
        <v>4654</v>
      </c>
      <c r="I949" s="18" t="s">
        <v>4783</v>
      </c>
      <c r="J949" s="18" t="s">
        <v>4783</v>
      </c>
      <c r="K949" s="18" t="s">
        <v>4787</v>
      </c>
      <c r="L949" s="18" t="s">
        <v>4734</v>
      </c>
      <c r="M949" s="2">
        <v>5000000</v>
      </c>
      <c r="N949" s="2">
        <v>6000000</v>
      </c>
      <c r="O949" s="2">
        <v>6000000</v>
      </c>
      <c r="P949" s="2">
        <f t="shared" si="56"/>
        <v>1000000</v>
      </c>
      <c r="Q949" s="2">
        <v>6500000</v>
      </c>
      <c r="R949" s="2"/>
      <c r="S949" s="48">
        <v>46023</v>
      </c>
      <c r="T949" s="2">
        <v>15000000</v>
      </c>
      <c r="U949" s="2">
        <v>0</v>
      </c>
      <c r="V949" s="1" t="s">
        <v>3652</v>
      </c>
      <c r="W949" s="6" t="s">
        <v>3653</v>
      </c>
      <c r="X949" s="1" t="s">
        <v>333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>
        <v>5000000</v>
      </c>
      <c r="AL949" s="3">
        <v>5000000</v>
      </c>
      <c r="AM949" s="3">
        <v>5000000</v>
      </c>
      <c r="AN949" s="3">
        <v>5000000</v>
      </c>
      <c r="AO949" s="3">
        <v>5000000</v>
      </c>
      <c r="AP949" s="3">
        <v>5000000</v>
      </c>
      <c r="AQ949" s="3"/>
      <c r="AR949" s="3"/>
      <c r="AS949" s="3"/>
      <c r="AT949" s="3"/>
      <c r="AU949" s="3"/>
      <c r="AV949" s="3"/>
      <c r="AW949" s="3">
        <f t="shared" si="57"/>
        <v>0</v>
      </c>
      <c r="AX949" s="3">
        <f t="shared" si="58"/>
        <v>30000000</v>
      </c>
      <c r="AY949" s="4">
        <f t="shared" si="59"/>
        <v>6</v>
      </c>
      <c r="BA949" s="4" t="s">
        <v>5710</v>
      </c>
      <c r="BB949" s="2"/>
      <c r="BC949" s="3"/>
      <c r="BD949" s="3"/>
    </row>
    <row r="950" spans="1:56" ht="16.8" customHeight="1">
      <c r="A950" s="1">
        <v>949</v>
      </c>
      <c r="B950" s="1" t="s">
        <v>3175</v>
      </c>
      <c r="C950" s="1" t="s">
        <v>3654</v>
      </c>
      <c r="D950" s="1" t="s">
        <v>3655</v>
      </c>
      <c r="E950" s="1" t="s">
        <v>3655</v>
      </c>
      <c r="F950" s="1" t="s">
        <v>3656</v>
      </c>
      <c r="G950" s="1" t="s">
        <v>3657</v>
      </c>
      <c r="H950" s="1" t="s">
        <v>5342</v>
      </c>
      <c r="I950" s="18" t="s">
        <v>4783</v>
      </c>
      <c r="J950" s="18" t="s">
        <v>4783</v>
      </c>
      <c r="K950" s="18" t="s">
        <v>4742</v>
      </c>
      <c r="L950" s="18" t="s">
        <v>4734</v>
      </c>
      <c r="M950" s="2">
        <v>3100000</v>
      </c>
      <c r="N950" s="2">
        <v>3100000</v>
      </c>
      <c r="O950" s="2"/>
      <c r="P950" s="2" t="str">
        <f t="shared" si="56"/>
        <v/>
      </c>
      <c r="Q950" s="2"/>
      <c r="R950" s="2"/>
      <c r="S950" s="48"/>
      <c r="T950" s="2">
        <v>9300000</v>
      </c>
      <c r="U950" s="2">
        <v>0</v>
      </c>
      <c r="V950" s="1"/>
      <c r="W950" s="6"/>
      <c r="X950" s="1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>
        <f t="shared" si="57"/>
        <v>0</v>
      </c>
      <c r="AX950" s="3">
        <f t="shared" si="58"/>
        <v>0</v>
      </c>
      <c r="AY950" s="4">
        <f t="shared" si="59"/>
        <v>0</v>
      </c>
      <c r="BA950" s="4" t="s">
        <v>5726</v>
      </c>
      <c r="BB950" s="2"/>
      <c r="BC950" s="3"/>
      <c r="BD950" s="4"/>
    </row>
    <row r="951" spans="1:56" ht="16.8" customHeight="1">
      <c r="A951" s="1">
        <v>950</v>
      </c>
      <c r="B951" s="1" t="s">
        <v>3175</v>
      </c>
      <c r="C951" s="1" t="s">
        <v>3654</v>
      </c>
      <c r="D951" s="1" t="s">
        <v>3658</v>
      </c>
      <c r="E951" s="1" t="s">
        <v>3658</v>
      </c>
      <c r="F951" s="1" t="s">
        <v>3659</v>
      </c>
      <c r="G951" s="1" t="s">
        <v>3660</v>
      </c>
      <c r="H951" s="1" t="s">
        <v>5343</v>
      </c>
      <c r="I951" s="18" t="s">
        <v>4783</v>
      </c>
      <c r="J951" s="18" t="s">
        <v>4783</v>
      </c>
      <c r="K951" s="18" t="s">
        <v>4742</v>
      </c>
      <c r="L951" s="18" t="s">
        <v>4734</v>
      </c>
      <c r="M951" s="2">
        <v>3600000</v>
      </c>
      <c r="N951" s="2">
        <v>3600000</v>
      </c>
      <c r="O951" s="2"/>
      <c r="P951" s="2" t="str">
        <f t="shared" si="56"/>
        <v/>
      </c>
      <c r="Q951" s="2"/>
      <c r="R951" s="2"/>
      <c r="S951" s="48"/>
      <c r="T951" s="2">
        <v>10800000</v>
      </c>
      <c r="U951" s="2">
        <v>0</v>
      </c>
      <c r="V951" s="1" t="s">
        <v>3660</v>
      </c>
      <c r="W951" s="6" t="s">
        <v>3661</v>
      </c>
      <c r="X951" s="1" t="s">
        <v>3278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>
        <v>3600000</v>
      </c>
      <c r="AI951" s="3">
        <v>3600000</v>
      </c>
      <c r="AJ951" s="3">
        <v>3600000</v>
      </c>
      <c r="AK951" s="3">
        <v>3600000</v>
      </c>
      <c r="AL951" s="3">
        <v>3600000</v>
      </c>
      <c r="AM951" s="3">
        <v>3600000</v>
      </c>
      <c r="AN951" s="3">
        <v>3600000</v>
      </c>
      <c r="AO951" s="3">
        <v>3600000</v>
      </c>
      <c r="AP951" s="3">
        <v>3600000</v>
      </c>
      <c r="AQ951" s="3"/>
      <c r="AR951" s="3"/>
      <c r="AS951" s="3"/>
      <c r="AT951" s="3"/>
      <c r="AU951" s="3"/>
      <c r="AV951" s="3"/>
      <c r="AW951" s="3">
        <f t="shared" si="57"/>
        <v>10800000</v>
      </c>
      <c r="AX951" s="3">
        <f t="shared" si="58"/>
        <v>21600000</v>
      </c>
      <c r="AY951" s="4">
        <f t="shared" si="59"/>
        <v>9</v>
      </c>
      <c r="AZ951" s="8">
        <v>0</v>
      </c>
      <c r="BA951" s="4" t="s">
        <v>5726</v>
      </c>
      <c r="BB951" s="2"/>
      <c r="BC951" s="3"/>
      <c r="BD951" s="3"/>
    </row>
    <row r="952" spans="1:56" ht="16.8" customHeight="1">
      <c r="A952" s="1">
        <v>951</v>
      </c>
      <c r="B952" s="1" t="s">
        <v>3175</v>
      </c>
      <c r="C952" s="1" t="s">
        <v>3654</v>
      </c>
      <c r="D952" s="1" t="s">
        <v>3662</v>
      </c>
      <c r="E952" s="1" t="s">
        <v>3662</v>
      </c>
      <c r="F952" s="1" t="s">
        <v>3663</v>
      </c>
      <c r="G952" s="1" t="s">
        <v>3664</v>
      </c>
      <c r="H952" s="1" t="s">
        <v>4655</v>
      </c>
      <c r="I952" s="18" t="s">
        <v>4783</v>
      </c>
      <c r="J952" s="18" t="s">
        <v>5018</v>
      </c>
      <c r="K952" s="18" t="s">
        <v>4742</v>
      </c>
      <c r="L952" s="18" t="s">
        <v>4734</v>
      </c>
      <c r="M952" s="2">
        <v>3600000</v>
      </c>
      <c r="N952" s="2">
        <v>3600000</v>
      </c>
      <c r="O952" s="2"/>
      <c r="P952" s="2" t="str">
        <f t="shared" si="56"/>
        <v/>
      </c>
      <c r="Q952" s="2"/>
      <c r="R952" s="2"/>
      <c r="S952" s="48"/>
      <c r="T952" s="2">
        <v>0</v>
      </c>
      <c r="U952" s="2">
        <v>0</v>
      </c>
      <c r="V952" s="1" t="s">
        <v>3664</v>
      </c>
      <c r="W952" s="6" t="s">
        <v>3665</v>
      </c>
      <c r="X952" s="1" t="s">
        <v>3288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>
        <v>3600000</v>
      </c>
      <c r="AL952" s="3">
        <v>3600000</v>
      </c>
      <c r="AM952" s="3">
        <v>3600000</v>
      </c>
      <c r="AN952" s="3">
        <v>3600000</v>
      </c>
      <c r="AO952" s="3">
        <v>3600000</v>
      </c>
      <c r="AP952" s="3">
        <v>3600000</v>
      </c>
      <c r="AQ952" s="3">
        <v>3600000</v>
      </c>
      <c r="AR952" s="3">
        <v>3600000</v>
      </c>
      <c r="AS952" s="3">
        <v>3600000</v>
      </c>
      <c r="AT952" s="3">
        <v>3600000</v>
      </c>
      <c r="AU952" s="3">
        <v>3600000</v>
      </c>
      <c r="AV952" s="3">
        <v>3600000</v>
      </c>
      <c r="AW952" s="3">
        <f t="shared" si="57"/>
        <v>0</v>
      </c>
      <c r="AX952" s="3">
        <f t="shared" si="58"/>
        <v>43200000</v>
      </c>
      <c r="AY952" s="4">
        <f t="shared" si="59"/>
        <v>12</v>
      </c>
      <c r="BA952" s="4" t="s">
        <v>5726</v>
      </c>
      <c r="BB952" s="2">
        <v>43200000</v>
      </c>
      <c r="BC952" s="3"/>
      <c r="BD952" s="3"/>
    </row>
    <row r="953" spans="1:56" ht="16.8" customHeight="1">
      <c r="A953" s="1">
        <v>952</v>
      </c>
      <c r="B953" s="1" t="s">
        <v>3175</v>
      </c>
      <c r="C953" s="1" t="s">
        <v>3654</v>
      </c>
      <c r="D953" s="1" t="s">
        <v>3666</v>
      </c>
      <c r="E953" s="1" t="s">
        <v>3666</v>
      </c>
      <c r="F953" s="1" t="s">
        <v>3667</v>
      </c>
      <c r="G953" s="1" t="s">
        <v>3668</v>
      </c>
      <c r="H953" s="1" t="s">
        <v>4656</v>
      </c>
      <c r="I953" s="18" t="s">
        <v>4783</v>
      </c>
      <c r="J953" s="18" t="s">
        <v>4783</v>
      </c>
      <c r="K953" s="18" t="s">
        <v>4742</v>
      </c>
      <c r="L953" s="18" t="s">
        <v>4734</v>
      </c>
      <c r="M953" s="2">
        <v>3100000</v>
      </c>
      <c r="N953" s="2">
        <v>3100000</v>
      </c>
      <c r="O953" s="2"/>
      <c r="P953" s="2" t="str">
        <f t="shared" si="56"/>
        <v/>
      </c>
      <c r="Q953" s="2"/>
      <c r="R953" s="2"/>
      <c r="S953" s="48"/>
      <c r="T953" s="2">
        <v>9300000</v>
      </c>
      <c r="U953" s="2">
        <v>0</v>
      </c>
      <c r="V953" s="1" t="s">
        <v>3668</v>
      </c>
      <c r="W953" s="6" t="s">
        <v>3669</v>
      </c>
      <c r="X953" s="1" t="s">
        <v>3670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>
        <v>3100000</v>
      </c>
      <c r="AI953" s="3">
        <v>3100000</v>
      </c>
      <c r="AJ953" s="3">
        <v>3100000</v>
      </c>
      <c r="AK953" s="3">
        <v>3100000</v>
      </c>
      <c r="AL953" s="3">
        <v>3100000</v>
      </c>
      <c r="AM953" s="3">
        <v>3100000</v>
      </c>
      <c r="AN953" s="3">
        <v>3100000</v>
      </c>
      <c r="AO953" s="3">
        <v>3100000</v>
      </c>
      <c r="AP953" s="3">
        <v>3100000</v>
      </c>
      <c r="AQ953" s="3"/>
      <c r="AR953" s="3"/>
      <c r="AS953" s="3"/>
      <c r="AT953" s="3"/>
      <c r="AU953" s="3"/>
      <c r="AV953" s="3"/>
      <c r="AW953" s="3">
        <f t="shared" si="57"/>
        <v>9300000</v>
      </c>
      <c r="AX953" s="3">
        <f t="shared" si="58"/>
        <v>18600000</v>
      </c>
      <c r="AY953" s="4">
        <f t="shared" si="59"/>
        <v>9</v>
      </c>
      <c r="AZ953" s="8" t="s">
        <v>5703</v>
      </c>
      <c r="BA953" s="4" t="s">
        <v>5726</v>
      </c>
      <c r="BB953" s="2"/>
      <c r="BC953" s="3"/>
      <c r="BD953" s="3"/>
    </row>
    <row r="954" spans="1:56" ht="16.8" customHeight="1">
      <c r="A954" s="1">
        <v>953</v>
      </c>
      <c r="B954" s="1" t="s">
        <v>3175</v>
      </c>
      <c r="C954" s="1" t="s">
        <v>3654</v>
      </c>
      <c r="D954" s="1" t="s">
        <v>3671</v>
      </c>
      <c r="E954" s="1" t="s">
        <v>3671</v>
      </c>
      <c r="F954" s="1" t="s">
        <v>3672</v>
      </c>
      <c r="G954" s="1" t="s">
        <v>3673</v>
      </c>
      <c r="H954" s="1" t="s">
        <v>5344</v>
      </c>
      <c r="I954" s="18" t="s">
        <v>4783</v>
      </c>
      <c r="J954" s="18" t="s">
        <v>4783</v>
      </c>
      <c r="K954" s="18" t="s">
        <v>4742</v>
      </c>
      <c r="L954" s="18" t="s">
        <v>4734</v>
      </c>
      <c r="M954" s="2">
        <v>3100000</v>
      </c>
      <c r="N954" s="2">
        <v>3100000</v>
      </c>
      <c r="O954" s="2"/>
      <c r="P954" s="2" t="str">
        <f t="shared" si="56"/>
        <v/>
      </c>
      <c r="Q954" s="2"/>
      <c r="R954" s="2"/>
      <c r="S954" s="48"/>
      <c r="T954" s="2">
        <v>9300000</v>
      </c>
      <c r="U954" s="2">
        <v>0</v>
      </c>
      <c r="V954" s="1"/>
      <c r="W954" s="6"/>
      <c r="X954" s="1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>
        <f t="shared" si="57"/>
        <v>0</v>
      </c>
      <c r="AX954" s="3">
        <f t="shared" si="58"/>
        <v>0</v>
      </c>
      <c r="AY954" s="4">
        <f t="shared" si="59"/>
        <v>0</v>
      </c>
      <c r="BA954" s="4" t="s">
        <v>5726</v>
      </c>
      <c r="BB954" s="2"/>
      <c r="BC954" s="3"/>
      <c r="BD954" s="4"/>
    </row>
    <row r="955" spans="1:56" ht="16.8" customHeight="1">
      <c r="A955" s="1">
        <v>954</v>
      </c>
      <c r="B955" s="1" t="s">
        <v>3175</v>
      </c>
      <c r="C955" s="1" t="s">
        <v>3654</v>
      </c>
      <c r="D955" s="1" t="s">
        <v>3674</v>
      </c>
      <c r="E955" s="1" t="s">
        <v>3674</v>
      </c>
      <c r="F955" s="1" t="s">
        <v>3675</v>
      </c>
      <c r="G955" s="1" t="s">
        <v>3676</v>
      </c>
      <c r="H955" s="1" t="s">
        <v>5345</v>
      </c>
      <c r="I955" s="18" t="s">
        <v>4783</v>
      </c>
      <c r="J955" s="18" t="s">
        <v>5132</v>
      </c>
      <c r="K955" s="18" t="s">
        <v>4753</v>
      </c>
      <c r="L955" s="18" t="s">
        <v>4734</v>
      </c>
      <c r="M955" s="2">
        <v>4000000</v>
      </c>
      <c r="N955" s="2">
        <v>4000000</v>
      </c>
      <c r="O955" s="2"/>
      <c r="P955" s="2" t="str">
        <f t="shared" si="56"/>
        <v/>
      </c>
      <c r="Q955" s="2"/>
      <c r="R955" s="2"/>
      <c r="S955" s="48"/>
      <c r="T955" s="2">
        <v>22222222</v>
      </c>
      <c r="U955" s="2">
        <v>0</v>
      </c>
      <c r="V955" s="1" t="s">
        <v>3677</v>
      </c>
      <c r="W955" s="6" t="s">
        <v>3678</v>
      </c>
      <c r="X955" s="1" t="s">
        <v>3679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>
        <v>3703703.6666666665</v>
      </c>
      <c r="AL955" s="3">
        <v>3703703.6666666665</v>
      </c>
      <c r="AM955" s="3">
        <v>3703703.6666666665</v>
      </c>
      <c r="AN955" s="3">
        <v>3703703.6666666665</v>
      </c>
      <c r="AO955" s="3">
        <v>3703703.6666666665</v>
      </c>
      <c r="AP955" s="3">
        <v>3703703.6666666665</v>
      </c>
      <c r="AQ955" s="3"/>
      <c r="AR955" s="3"/>
      <c r="AS955" s="3"/>
      <c r="AT955" s="3"/>
      <c r="AU955" s="3"/>
      <c r="AV955" s="3"/>
      <c r="AW955" s="3">
        <f t="shared" si="57"/>
        <v>0</v>
      </c>
      <c r="AX955" s="3">
        <f t="shared" si="58"/>
        <v>22222222</v>
      </c>
      <c r="AY955" s="4">
        <f t="shared" si="59"/>
        <v>6</v>
      </c>
      <c r="AZ955" s="8" t="s">
        <v>5704</v>
      </c>
      <c r="BA955" s="4" t="s">
        <v>5710</v>
      </c>
      <c r="BB955" s="2"/>
      <c r="BC955" s="3"/>
      <c r="BD955" s="3"/>
    </row>
    <row r="956" spans="1:56" ht="16.8" customHeight="1">
      <c r="A956" s="1">
        <v>955</v>
      </c>
      <c r="B956" s="1" t="s">
        <v>3175</v>
      </c>
      <c r="C956" s="1" t="s">
        <v>3654</v>
      </c>
      <c r="D956" s="1" t="s">
        <v>3680</v>
      </c>
      <c r="E956" s="1" t="s">
        <v>3680</v>
      </c>
      <c r="F956" s="1" t="s">
        <v>3681</v>
      </c>
      <c r="G956" s="1" t="s">
        <v>3682</v>
      </c>
      <c r="H956" s="1" t="s">
        <v>4657</v>
      </c>
      <c r="I956" s="18" t="s">
        <v>4783</v>
      </c>
      <c r="J956" s="18" t="s">
        <v>4783</v>
      </c>
      <c r="K956" s="18" t="s">
        <v>4742</v>
      </c>
      <c r="L956" s="18" t="s">
        <v>4734</v>
      </c>
      <c r="M956" s="2">
        <v>3500000</v>
      </c>
      <c r="N956" s="2">
        <v>3500000</v>
      </c>
      <c r="O956" s="2"/>
      <c r="P956" s="2" t="str">
        <f t="shared" si="56"/>
        <v/>
      </c>
      <c r="Q956" s="2"/>
      <c r="R956" s="2"/>
      <c r="S956" s="48"/>
      <c r="T956" s="2">
        <v>10500000</v>
      </c>
      <c r="U956" s="2">
        <v>0</v>
      </c>
      <c r="V956" s="1" t="s">
        <v>3683</v>
      </c>
      <c r="W956" s="6" t="s">
        <v>3684</v>
      </c>
      <c r="X956" s="1" t="s">
        <v>3685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>
        <v>3500000</v>
      </c>
      <c r="AI956" s="3">
        <v>3500000</v>
      </c>
      <c r="AJ956" s="3">
        <v>3500000</v>
      </c>
      <c r="AK956" s="3">
        <v>3850000</v>
      </c>
      <c r="AL956" s="3">
        <v>3850000</v>
      </c>
      <c r="AM956" s="3">
        <v>3850000</v>
      </c>
      <c r="AN956" s="3">
        <v>3850000</v>
      </c>
      <c r="AO956" s="3">
        <v>3850000</v>
      </c>
      <c r="AP956" s="3">
        <v>3850000</v>
      </c>
      <c r="AQ956" s="3"/>
      <c r="AR956" s="3"/>
      <c r="AS956" s="3"/>
      <c r="AT956" s="3"/>
      <c r="AU956" s="3"/>
      <c r="AV956" s="3"/>
      <c r="AW956" s="3">
        <f t="shared" si="57"/>
        <v>10500000</v>
      </c>
      <c r="AX956" s="3">
        <f t="shared" si="58"/>
        <v>23100000</v>
      </c>
      <c r="AY956" s="4">
        <f t="shared" si="59"/>
        <v>9</v>
      </c>
      <c r="BA956" s="4" t="s">
        <v>5710</v>
      </c>
      <c r="BB956" s="2"/>
      <c r="BC956" s="3"/>
      <c r="BD956" s="3"/>
    </row>
    <row r="957" spans="1:56" ht="16.8" customHeight="1">
      <c r="A957" s="1">
        <v>956</v>
      </c>
      <c r="B957" s="1" t="s">
        <v>3175</v>
      </c>
      <c r="C957" s="1" t="s">
        <v>3654</v>
      </c>
      <c r="D957" s="1" t="s">
        <v>3686</v>
      </c>
      <c r="E957" s="1" t="s">
        <v>3686</v>
      </c>
      <c r="F957" s="1" t="s">
        <v>3687</v>
      </c>
      <c r="G957" s="1" t="s">
        <v>3688</v>
      </c>
      <c r="H957" s="1" t="s">
        <v>5346</v>
      </c>
      <c r="I957" s="18" t="s">
        <v>4783</v>
      </c>
      <c r="J957" s="18" t="s">
        <v>5132</v>
      </c>
      <c r="K957" s="18" t="s">
        <v>4742</v>
      </c>
      <c r="L957" s="18" t="s">
        <v>4734</v>
      </c>
      <c r="M957" s="2">
        <v>3100000</v>
      </c>
      <c r="N957" s="2">
        <v>3100000</v>
      </c>
      <c r="O957" s="2"/>
      <c r="P957" s="2" t="str">
        <f t="shared" si="56"/>
        <v/>
      </c>
      <c r="Q957" s="2"/>
      <c r="R957" s="2"/>
      <c r="S957" s="48"/>
      <c r="T957" s="2">
        <v>19200000</v>
      </c>
      <c r="U957" s="2">
        <v>0</v>
      </c>
      <c r="V957" s="1" t="s">
        <v>3688</v>
      </c>
      <c r="W957" s="6" t="s">
        <v>3689</v>
      </c>
      <c r="X957" s="1" t="s">
        <v>3690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>
        <f t="shared" si="57"/>
        <v>0</v>
      </c>
      <c r="AX957" s="3">
        <f t="shared" si="58"/>
        <v>0</v>
      </c>
      <c r="AY957" s="4">
        <f t="shared" si="59"/>
        <v>0</v>
      </c>
      <c r="BA957" s="4" t="s">
        <v>5726</v>
      </c>
      <c r="BB957" s="2"/>
      <c r="BC957" s="3"/>
      <c r="BD957" s="4"/>
    </row>
    <row r="958" spans="1:56" ht="16.8" customHeight="1">
      <c r="A958" s="1">
        <v>957</v>
      </c>
      <c r="B958" s="1" t="s">
        <v>3175</v>
      </c>
      <c r="C958" s="1" t="s">
        <v>3654</v>
      </c>
      <c r="D958" s="1" t="s">
        <v>3691</v>
      </c>
      <c r="E958" s="1" t="s">
        <v>3691</v>
      </c>
      <c r="F958" s="1" t="s">
        <v>3692</v>
      </c>
      <c r="G958" s="1" t="s">
        <v>3693</v>
      </c>
      <c r="H958" s="1" t="s">
        <v>5347</v>
      </c>
      <c r="I958" s="18" t="s">
        <v>4783</v>
      </c>
      <c r="J958" s="18" t="s">
        <v>5132</v>
      </c>
      <c r="K958" s="18" t="s">
        <v>4742</v>
      </c>
      <c r="L958" s="18" t="s">
        <v>4734</v>
      </c>
      <c r="M958" s="2">
        <v>3100000</v>
      </c>
      <c r="N958" s="2">
        <v>3100000</v>
      </c>
      <c r="O958" s="2"/>
      <c r="P958" s="2" t="str">
        <f t="shared" si="56"/>
        <v/>
      </c>
      <c r="Q958" s="2"/>
      <c r="R958" s="2"/>
      <c r="S958" s="48"/>
      <c r="T958" s="2">
        <v>9300000</v>
      </c>
      <c r="U958" s="2">
        <v>0</v>
      </c>
      <c r="V958" s="1" t="s">
        <v>3694</v>
      </c>
      <c r="W958" s="6" t="s">
        <v>3695</v>
      </c>
      <c r="X958" s="1" t="s">
        <v>3257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>
        <v>3100000</v>
      </c>
      <c r="AI958" s="3">
        <v>3100000</v>
      </c>
      <c r="AJ958" s="3">
        <v>3100000</v>
      </c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>
        <f t="shared" si="57"/>
        <v>9300000</v>
      </c>
      <c r="AX958" s="3">
        <f t="shared" si="58"/>
        <v>0</v>
      </c>
      <c r="AY958" s="4">
        <f t="shared" si="59"/>
        <v>3</v>
      </c>
      <c r="BA958" s="4" t="s">
        <v>5726</v>
      </c>
      <c r="BB958" s="2"/>
      <c r="BC958" s="3"/>
      <c r="BD958" s="4"/>
    </row>
    <row r="959" spans="1:56" ht="16.8" customHeight="1">
      <c r="A959" s="1">
        <v>958</v>
      </c>
      <c r="B959" s="1" t="s">
        <v>3175</v>
      </c>
      <c r="C959" s="1" t="s">
        <v>3654</v>
      </c>
      <c r="D959" s="1" t="s">
        <v>3696</v>
      </c>
      <c r="E959" s="1" t="s">
        <v>3696</v>
      </c>
      <c r="F959" s="1" t="s">
        <v>3697</v>
      </c>
      <c r="G959" s="1" t="s">
        <v>3698</v>
      </c>
      <c r="H959" s="1" t="s">
        <v>5348</v>
      </c>
      <c r="I959" s="18" t="s">
        <v>4783</v>
      </c>
      <c r="J959" s="18" t="s">
        <v>5132</v>
      </c>
      <c r="K959" s="18" t="s">
        <v>4742</v>
      </c>
      <c r="L959" s="18" t="s">
        <v>4734</v>
      </c>
      <c r="M959" s="2">
        <v>3000000</v>
      </c>
      <c r="N959" s="2">
        <v>3000000</v>
      </c>
      <c r="O959" s="2"/>
      <c r="P959" s="2" t="str">
        <f t="shared" si="56"/>
        <v/>
      </c>
      <c r="Q959" s="2"/>
      <c r="R959" s="2"/>
      <c r="S959" s="48"/>
      <c r="T959" s="2">
        <v>9000000</v>
      </c>
      <c r="U959" s="2">
        <v>0</v>
      </c>
      <c r="V959" s="1"/>
      <c r="W959" s="6"/>
      <c r="X959" s="1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>
        <f t="shared" si="57"/>
        <v>0</v>
      </c>
      <c r="AX959" s="3">
        <f t="shared" si="58"/>
        <v>0</v>
      </c>
      <c r="AY959" s="4">
        <f t="shared" si="59"/>
        <v>0</v>
      </c>
      <c r="BA959" s="4" t="s">
        <v>5726</v>
      </c>
      <c r="BB959" s="2"/>
      <c r="BC959" s="3"/>
      <c r="BD959" s="4"/>
    </row>
    <row r="960" spans="1:56" ht="16.8" customHeight="1">
      <c r="A960" s="1">
        <v>959</v>
      </c>
      <c r="B960" s="1" t="s">
        <v>3175</v>
      </c>
      <c r="C960" s="1" t="s">
        <v>3654</v>
      </c>
      <c r="D960" s="1" t="s">
        <v>3699</v>
      </c>
      <c r="E960" s="1" t="s">
        <v>3699</v>
      </c>
      <c r="F960" s="1" t="s">
        <v>3700</v>
      </c>
      <c r="G960" s="1" t="s">
        <v>3701</v>
      </c>
      <c r="H960" s="1" t="s">
        <v>5349</v>
      </c>
      <c r="I960" s="18" t="s">
        <v>4783</v>
      </c>
      <c r="J960" s="18" t="s">
        <v>4783</v>
      </c>
      <c r="K960" s="18" t="s">
        <v>4742</v>
      </c>
      <c r="L960" s="18" t="s">
        <v>4734</v>
      </c>
      <c r="M960" s="2">
        <v>3000000</v>
      </c>
      <c r="N960" s="2">
        <v>3000000</v>
      </c>
      <c r="O960" s="2"/>
      <c r="P960" s="2" t="str">
        <f t="shared" si="56"/>
        <v/>
      </c>
      <c r="Q960" s="2"/>
      <c r="R960" s="2"/>
      <c r="S960" s="48"/>
      <c r="T960" s="2">
        <v>9000000</v>
      </c>
      <c r="U960" s="2">
        <v>0</v>
      </c>
      <c r="V960" s="1"/>
      <c r="W960" s="6"/>
      <c r="X960" s="1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>
        <f t="shared" si="57"/>
        <v>0</v>
      </c>
      <c r="AX960" s="3">
        <f t="shared" si="58"/>
        <v>0</v>
      </c>
      <c r="AY960" s="4">
        <f t="shared" si="59"/>
        <v>0</v>
      </c>
      <c r="BA960" s="4" t="s">
        <v>5726</v>
      </c>
      <c r="BB960" s="2"/>
      <c r="BC960" s="3"/>
      <c r="BD960" s="4"/>
    </row>
    <row r="961" spans="1:56" ht="16.8" customHeight="1">
      <c r="A961" s="1">
        <v>960</v>
      </c>
      <c r="B961" s="1" t="s">
        <v>3175</v>
      </c>
      <c r="C961" s="1" t="s">
        <v>3654</v>
      </c>
      <c r="D961" s="1" t="s">
        <v>3702</v>
      </c>
      <c r="E961" s="1" t="s">
        <v>3702</v>
      </c>
      <c r="F961" s="1" t="s">
        <v>3703</v>
      </c>
      <c r="G961" s="1" t="s">
        <v>3704</v>
      </c>
      <c r="H961" s="1" t="s">
        <v>4658</v>
      </c>
      <c r="I961" s="18" t="s">
        <v>4783</v>
      </c>
      <c r="J961" s="18" t="s">
        <v>4783</v>
      </c>
      <c r="K961" s="18" t="s">
        <v>4742</v>
      </c>
      <c r="L961" s="18" t="s">
        <v>4734</v>
      </c>
      <c r="M961" s="2">
        <v>3000000</v>
      </c>
      <c r="N961" s="2">
        <v>3000000</v>
      </c>
      <c r="O961" s="2"/>
      <c r="P961" s="2" t="str">
        <f t="shared" si="56"/>
        <v/>
      </c>
      <c r="Q961" s="2"/>
      <c r="R961" s="2"/>
      <c r="S961" s="48"/>
      <c r="T961" s="2">
        <v>9000000</v>
      </c>
      <c r="U961" s="2">
        <v>0</v>
      </c>
      <c r="V961" s="1" t="s">
        <v>3705</v>
      </c>
      <c r="W961" s="6" t="s">
        <v>3706</v>
      </c>
      <c r="X961" s="1" t="s">
        <v>3435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>
        <v>3000000</v>
      </c>
      <c r="AI961" s="3">
        <v>3000000</v>
      </c>
      <c r="AJ961" s="3">
        <v>3000000</v>
      </c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>
        <f t="shared" si="57"/>
        <v>9000000</v>
      </c>
      <c r="AX961" s="3">
        <f t="shared" si="58"/>
        <v>0</v>
      </c>
      <c r="AY961" s="4">
        <f t="shared" si="59"/>
        <v>3</v>
      </c>
      <c r="BA961" s="4" t="s">
        <v>5726</v>
      </c>
      <c r="BB961" s="2"/>
      <c r="BC961" s="3"/>
      <c r="BD961" s="4"/>
    </row>
    <row r="962" spans="1:56" ht="16.8" customHeight="1">
      <c r="A962" s="1">
        <v>961</v>
      </c>
      <c r="B962" s="1" t="s">
        <v>3175</v>
      </c>
      <c r="C962" s="1" t="s">
        <v>3654</v>
      </c>
      <c r="D962" s="1" t="s">
        <v>3707</v>
      </c>
      <c r="E962" s="1" t="s">
        <v>3707</v>
      </c>
      <c r="F962" s="1" t="s">
        <v>3708</v>
      </c>
      <c r="G962" s="1" t="s">
        <v>3709</v>
      </c>
      <c r="H962" s="1" t="s">
        <v>4659</v>
      </c>
      <c r="I962" s="18" t="s">
        <v>4783</v>
      </c>
      <c r="J962" s="18" t="s">
        <v>4783</v>
      </c>
      <c r="K962" s="18" t="s">
        <v>4742</v>
      </c>
      <c r="L962" s="18" t="s">
        <v>4734</v>
      </c>
      <c r="M962" s="2">
        <v>3000000</v>
      </c>
      <c r="N962" s="2">
        <v>3000000</v>
      </c>
      <c r="O962" s="2"/>
      <c r="P962" s="2" t="str">
        <f t="shared" ref="P962:P1025" si="60">IF(OR(M962="",N962="",M962=N962),"",N962-M962)</f>
        <v/>
      </c>
      <c r="Q962" s="2"/>
      <c r="R962" s="2"/>
      <c r="S962" s="48"/>
      <c r="T962" s="2">
        <v>18000000</v>
      </c>
      <c r="U962" s="2">
        <v>0</v>
      </c>
      <c r="V962" s="1" t="s">
        <v>3710</v>
      </c>
      <c r="W962" s="6" t="s">
        <v>3711</v>
      </c>
      <c r="X962" s="1" t="s">
        <v>3435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>
        <v>3000000</v>
      </c>
      <c r="AI962" s="3">
        <v>3000000</v>
      </c>
      <c r="AJ962" s="3">
        <v>3000000</v>
      </c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>
        <f t="shared" ref="AW962:AW1025" si="61">SUM(Y962:AJ962)</f>
        <v>9000000</v>
      </c>
      <c r="AX962" s="3">
        <f t="shared" ref="AX962:AX1025" si="62">SUM(AK962:AV962)</f>
        <v>0</v>
      </c>
      <c r="AY962" s="4">
        <f t="shared" ref="AY962:AY1025" si="63">COUNT(Y962:AV962)</f>
        <v>3</v>
      </c>
      <c r="BA962" s="4" t="s">
        <v>5726</v>
      </c>
      <c r="BB962" s="2"/>
      <c r="BC962" s="3"/>
      <c r="BD962" s="4"/>
    </row>
    <row r="963" spans="1:56" ht="16.8" customHeight="1">
      <c r="A963" s="1">
        <v>962</v>
      </c>
      <c r="B963" s="1" t="s">
        <v>3175</v>
      </c>
      <c r="C963" s="1" t="s">
        <v>3654</v>
      </c>
      <c r="D963" s="1" t="s">
        <v>3712</v>
      </c>
      <c r="E963" s="1" t="s">
        <v>3712</v>
      </c>
      <c r="F963" s="1" t="s">
        <v>3713</v>
      </c>
      <c r="G963" s="1" t="s">
        <v>3714</v>
      </c>
      <c r="H963" s="1" t="s">
        <v>5043</v>
      </c>
      <c r="I963" s="18"/>
      <c r="J963" s="18"/>
      <c r="K963" s="18"/>
      <c r="L963" s="18"/>
      <c r="M963" s="2">
        <v>3100000</v>
      </c>
      <c r="N963" s="2">
        <v>3100000</v>
      </c>
      <c r="O963" s="2"/>
      <c r="P963" s="2" t="str">
        <f t="shared" si="60"/>
        <v/>
      </c>
      <c r="Q963" s="2"/>
      <c r="R963" s="2"/>
      <c r="S963" s="48"/>
      <c r="T963" s="2">
        <v>0</v>
      </c>
      <c r="U963" s="2">
        <v>0</v>
      </c>
      <c r="V963" s="1"/>
      <c r="W963" s="6"/>
      <c r="X963" s="1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>
        <v>3100000</v>
      </c>
      <c r="AL963" s="3">
        <v>3100000</v>
      </c>
      <c r="AM963" s="3">
        <v>3100000</v>
      </c>
      <c r="AN963" s="3">
        <v>3100000</v>
      </c>
      <c r="AO963" s="3">
        <v>3100000</v>
      </c>
      <c r="AP963" s="3">
        <v>3100000</v>
      </c>
      <c r="AQ963" s="3">
        <v>3100000</v>
      </c>
      <c r="AR963" s="3">
        <v>3100000</v>
      </c>
      <c r="AS963" s="3">
        <v>3100000</v>
      </c>
      <c r="AT963" s="3">
        <v>3100000</v>
      </c>
      <c r="AU963" s="3">
        <v>3100000</v>
      </c>
      <c r="AV963" s="3">
        <v>3100000</v>
      </c>
      <c r="AW963" s="3">
        <f t="shared" si="61"/>
        <v>0</v>
      </c>
      <c r="AX963" s="3">
        <f t="shared" si="62"/>
        <v>37200000</v>
      </c>
      <c r="AY963" s="4">
        <f t="shared" si="63"/>
        <v>12</v>
      </c>
      <c r="BA963" s="4" t="s">
        <v>5726</v>
      </c>
      <c r="BB963" s="2">
        <v>37200000</v>
      </c>
      <c r="BC963" s="3"/>
      <c r="BD963" s="3"/>
    </row>
    <row r="964" spans="1:56" ht="16.8" customHeight="1">
      <c r="A964" s="1">
        <v>963</v>
      </c>
      <c r="B964" s="1" t="s">
        <v>3175</v>
      </c>
      <c r="C964" s="1" t="s">
        <v>3654</v>
      </c>
      <c r="D964" s="1" t="s">
        <v>3715</v>
      </c>
      <c r="E964" s="1" t="s">
        <v>3715</v>
      </c>
      <c r="F964" s="1" t="s">
        <v>3716</v>
      </c>
      <c r="G964" s="1" t="s">
        <v>3717</v>
      </c>
      <c r="H964" s="1" t="s">
        <v>5350</v>
      </c>
      <c r="I964" s="18" t="s">
        <v>4783</v>
      </c>
      <c r="J964" s="18" t="s">
        <v>5132</v>
      </c>
      <c r="K964" s="18" t="s">
        <v>4777</v>
      </c>
      <c r="L964" s="18" t="s">
        <v>4734</v>
      </c>
      <c r="M964" s="2">
        <v>3100000</v>
      </c>
      <c r="N964" s="2">
        <v>3100000</v>
      </c>
      <c r="O964" s="2"/>
      <c r="P964" s="2" t="str">
        <f t="shared" si="60"/>
        <v/>
      </c>
      <c r="Q964" s="2"/>
      <c r="R964" s="2"/>
      <c r="S964" s="48"/>
      <c r="T964" s="2">
        <v>18600000</v>
      </c>
      <c r="U964" s="2">
        <v>0</v>
      </c>
      <c r="V964" s="1" t="s">
        <v>3717</v>
      </c>
      <c r="W964" s="6" t="s">
        <v>3718</v>
      </c>
      <c r="X964" s="1" t="s">
        <v>3719</v>
      </c>
      <c r="Y964" s="3"/>
      <c r="Z964" s="3"/>
      <c r="AA964" s="3"/>
      <c r="AB964" s="3"/>
      <c r="AC964" s="3"/>
      <c r="AD964" s="3"/>
      <c r="AE964" s="3">
        <v>3100000</v>
      </c>
      <c r="AF964" s="3">
        <v>3100000</v>
      </c>
      <c r="AG964" s="3">
        <v>3100000</v>
      </c>
      <c r="AH964" s="3">
        <v>3100000</v>
      </c>
      <c r="AI964" s="3">
        <v>3100000</v>
      </c>
      <c r="AJ964" s="3">
        <v>3100000</v>
      </c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>
        <f t="shared" si="61"/>
        <v>18600000</v>
      </c>
      <c r="AX964" s="3">
        <f t="shared" si="62"/>
        <v>0</v>
      </c>
      <c r="AY964" s="4">
        <f t="shared" si="63"/>
        <v>6</v>
      </c>
      <c r="BA964" s="4" t="s">
        <v>5726</v>
      </c>
      <c r="BB964" s="2"/>
      <c r="BC964" s="3"/>
      <c r="BD964" s="4"/>
    </row>
    <row r="965" spans="1:56" ht="16.8" customHeight="1">
      <c r="A965" s="1">
        <v>964</v>
      </c>
      <c r="B965" s="1" t="s">
        <v>3175</v>
      </c>
      <c r="C965" s="1" t="s">
        <v>3654</v>
      </c>
      <c r="D965" s="1" t="s">
        <v>3720</v>
      </c>
      <c r="E965" s="1" t="s">
        <v>3720</v>
      </c>
      <c r="F965" s="1" t="s">
        <v>3721</v>
      </c>
      <c r="G965" s="1" t="s">
        <v>3722</v>
      </c>
      <c r="H965" s="1" t="s">
        <v>4660</v>
      </c>
      <c r="I965" s="18" t="s">
        <v>4783</v>
      </c>
      <c r="J965" s="18" t="s">
        <v>5132</v>
      </c>
      <c r="K965" s="18" t="s">
        <v>4752</v>
      </c>
      <c r="L965" s="18" t="s">
        <v>4734</v>
      </c>
      <c r="M965" s="2">
        <v>3100000</v>
      </c>
      <c r="N965" s="2">
        <v>3100000</v>
      </c>
      <c r="O965" s="2"/>
      <c r="P965" s="2" t="str">
        <f t="shared" si="60"/>
        <v/>
      </c>
      <c r="Q965" s="2"/>
      <c r="R965" s="2"/>
      <c r="S965" s="48"/>
      <c r="T965" s="2">
        <v>18600000</v>
      </c>
      <c r="U965" s="2">
        <v>0</v>
      </c>
      <c r="V965" s="1" t="s">
        <v>3722</v>
      </c>
      <c r="W965" s="6" t="s">
        <v>3723</v>
      </c>
      <c r="X965" s="1" t="s">
        <v>3257</v>
      </c>
      <c r="Y965" s="3"/>
      <c r="Z965" s="3"/>
      <c r="AA965" s="3"/>
      <c r="AB965" s="3"/>
      <c r="AC965" s="3"/>
      <c r="AD965" s="3"/>
      <c r="AE965" s="3">
        <v>3100000</v>
      </c>
      <c r="AF965" s="3">
        <v>3100000</v>
      </c>
      <c r="AG965" s="3">
        <v>3100000</v>
      </c>
      <c r="AH965" s="3">
        <v>3100000</v>
      </c>
      <c r="AI965" s="3">
        <v>3100000</v>
      </c>
      <c r="AJ965" s="3">
        <v>3100000</v>
      </c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>
        <f t="shared" si="61"/>
        <v>18600000</v>
      </c>
      <c r="AX965" s="3">
        <f t="shared" si="62"/>
        <v>0</v>
      </c>
      <c r="AY965" s="4">
        <f t="shared" si="63"/>
        <v>6</v>
      </c>
      <c r="AZ965" s="8" t="s">
        <v>5683</v>
      </c>
      <c r="BA965" s="4" t="s">
        <v>5726</v>
      </c>
      <c r="BB965" s="2"/>
      <c r="BC965" s="3"/>
      <c r="BD965" s="4"/>
    </row>
    <row r="966" spans="1:56" ht="16.8" customHeight="1">
      <c r="A966" s="1">
        <v>965</v>
      </c>
      <c r="B966" s="1" t="s">
        <v>3175</v>
      </c>
      <c r="C966" s="1" t="s">
        <v>3654</v>
      </c>
      <c r="D966" s="1" t="s">
        <v>3724</v>
      </c>
      <c r="E966" s="1" t="s">
        <v>3724</v>
      </c>
      <c r="F966" s="1" t="s">
        <v>3725</v>
      </c>
      <c r="G966" s="1" t="s">
        <v>3726</v>
      </c>
      <c r="H966" s="1" t="s">
        <v>5351</v>
      </c>
      <c r="I966" s="18" t="s">
        <v>4783</v>
      </c>
      <c r="J966" s="18" t="s">
        <v>5132</v>
      </c>
      <c r="K966" s="18" t="s">
        <v>5003</v>
      </c>
      <c r="L966" s="18" t="s">
        <v>4734</v>
      </c>
      <c r="M966" s="2">
        <v>3100000</v>
      </c>
      <c r="N966" s="2">
        <v>4000000</v>
      </c>
      <c r="O966" s="2"/>
      <c r="P966" s="2">
        <f t="shared" si="60"/>
        <v>900000</v>
      </c>
      <c r="Q966" s="2"/>
      <c r="R966" s="2"/>
      <c r="S966" s="48"/>
      <c r="T966" s="2">
        <v>18600000</v>
      </c>
      <c r="U966" s="2">
        <v>0</v>
      </c>
      <c r="V966" s="1" t="s">
        <v>3405</v>
      </c>
      <c r="W966" s="6" t="s">
        <v>3727</v>
      </c>
      <c r="X966" s="1" t="s">
        <v>333</v>
      </c>
      <c r="Y966" s="3"/>
      <c r="Z966" s="3"/>
      <c r="AA966" s="3"/>
      <c r="AB966" s="3"/>
      <c r="AC966" s="3"/>
      <c r="AD966" s="3"/>
      <c r="AE966" s="3">
        <v>3100000</v>
      </c>
      <c r="AF966" s="3">
        <v>3100000</v>
      </c>
      <c r="AG966" s="3">
        <v>3100000</v>
      </c>
      <c r="AH966" s="3">
        <v>3100000</v>
      </c>
      <c r="AI966" s="3">
        <v>3100000</v>
      </c>
      <c r="AJ966" s="3">
        <v>3100000</v>
      </c>
      <c r="AK966" s="3">
        <v>4000000</v>
      </c>
      <c r="AL966" s="3">
        <v>4000000</v>
      </c>
      <c r="AM966" s="3">
        <v>4000000</v>
      </c>
      <c r="AN966" s="3">
        <v>4000000</v>
      </c>
      <c r="AO966" s="3">
        <v>4000000</v>
      </c>
      <c r="AP966" s="3">
        <v>4000000</v>
      </c>
      <c r="AQ966" s="3">
        <v>4000000</v>
      </c>
      <c r="AR966" s="3">
        <v>4000000</v>
      </c>
      <c r="AS966" s="3">
        <v>4000000</v>
      </c>
      <c r="AT966" s="3">
        <v>4000000</v>
      </c>
      <c r="AU966" s="3">
        <v>4000000</v>
      </c>
      <c r="AV966" s="3">
        <v>4000000</v>
      </c>
      <c r="AW966" s="3">
        <f>SUM(Y966:AK966)</f>
        <v>22600000</v>
      </c>
      <c r="AX966" s="3">
        <f t="shared" si="62"/>
        <v>48000000</v>
      </c>
      <c r="AY966" s="4">
        <f t="shared" si="63"/>
        <v>18</v>
      </c>
      <c r="AZ966" s="8" t="s">
        <v>5623</v>
      </c>
      <c r="BA966" s="4" t="s">
        <v>5726</v>
      </c>
      <c r="BB966" s="2"/>
      <c r="BC966" s="3"/>
      <c r="BD966" s="3"/>
    </row>
    <row r="967" spans="1:56" ht="16.8" customHeight="1">
      <c r="A967" s="1">
        <v>966</v>
      </c>
      <c r="B967" s="1" t="s">
        <v>3175</v>
      </c>
      <c r="C967" s="1" t="s">
        <v>3654</v>
      </c>
      <c r="D967" s="1" t="s">
        <v>3728</v>
      </c>
      <c r="E967" s="1" t="s">
        <v>3728</v>
      </c>
      <c r="F967" s="1" t="s">
        <v>3729</v>
      </c>
      <c r="G967" s="1" t="s">
        <v>3730</v>
      </c>
      <c r="H967" s="1" t="s">
        <v>4661</v>
      </c>
      <c r="I967" s="18" t="s">
        <v>4783</v>
      </c>
      <c r="J967" s="18" t="s">
        <v>4783</v>
      </c>
      <c r="K967" s="18" t="s">
        <v>4742</v>
      </c>
      <c r="L967" s="18" t="s">
        <v>4734</v>
      </c>
      <c r="M967" s="2">
        <v>3000000</v>
      </c>
      <c r="N967" s="2">
        <v>3000000</v>
      </c>
      <c r="O967" s="2"/>
      <c r="P967" s="2" t="str">
        <f t="shared" si="60"/>
        <v/>
      </c>
      <c r="Q967" s="2"/>
      <c r="R967" s="2"/>
      <c r="S967" s="48"/>
      <c r="T967" s="2">
        <v>9000000</v>
      </c>
      <c r="U967" s="2">
        <v>0</v>
      </c>
      <c r="V967" s="1" t="s">
        <v>3731</v>
      </c>
      <c r="W967" s="6" t="s">
        <v>3732</v>
      </c>
      <c r="X967" s="1" t="s">
        <v>3257</v>
      </c>
      <c r="Y967" s="3"/>
      <c r="Z967" s="3"/>
      <c r="AA967" s="3"/>
      <c r="AB967" s="3"/>
      <c r="AC967" s="3"/>
      <c r="AD967" s="3"/>
      <c r="AE967" s="3"/>
      <c r="AF967" s="3"/>
      <c r="AG967" s="3"/>
      <c r="AH967" s="3">
        <v>3000000</v>
      </c>
      <c r="AI967" s="3">
        <v>3000000</v>
      </c>
      <c r="AJ967" s="3">
        <v>3000000</v>
      </c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>
        <f t="shared" si="61"/>
        <v>9000000</v>
      </c>
      <c r="AX967" s="3">
        <f t="shared" si="62"/>
        <v>0</v>
      </c>
      <c r="AY967" s="4">
        <f t="shared" si="63"/>
        <v>3</v>
      </c>
      <c r="AZ967" s="8" t="s">
        <v>5705</v>
      </c>
      <c r="BA967" s="4" t="s">
        <v>5726</v>
      </c>
      <c r="BB967" s="2"/>
      <c r="BC967" s="3"/>
      <c r="BD967" s="4"/>
    </row>
    <row r="968" spans="1:56" ht="16.8" customHeight="1">
      <c r="A968" s="1">
        <v>967</v>
      </c>
      <c r="B968" s="1" t="s">
        <v>3175</v>
      </c>
      <c r="C968" s="1" t="s">
        <v>3654</v>
      </c>
      <c r="D968" s="1" t="s">
        <v>3733</v>
      </c>
      <c r="E968" s="1" t="s">
        <v>3733</v>
      </c>
      <c r="F968" s="1" t="s">
        <v>3734</v>
      </c>
      <c r="G968" s="1" t="s">
        <v>3735</v>
      </c>
      <c r="H968" s="1" t="s">
        <v>5352</v>
      </c>
      <c r="I968" s="18" t="s">
        <v>4783</v>
      </c>
      <c r="J968" s="18" t="s">
        <v>4783</v>
      </c>
      <c r="K968" s="18" t="s">
        <v>4742</v>
      </c>
      <c r="L968" s="18" t="s">
        <v>4734</v>
      </c>
      <c r="M968" s="2">
        <v>3000000</v>
      </c>
      <c r="N968" s="2">
        <v>3000000</v>
      </c>
      <c r="O968" s="2"/>
      <c r="P968" s="2" t="str">
        <f t="shared" si="60"/>
        <v/>
      </c>
      <c r="Q968" s="2"/>
      <c r="R968" s="2"/>
      <c r="S968" s="48"/>
      <c r="T968" s="2">
        <v>9000000</v>
      </c>
      <c r="U968" s="2">
        <v>0</v>
      </c>
      <c r="V968" s="1"/>
      <c r="W968" s="6"/>
      <c r="X968" s="1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>
        <f t="shared" si="61"/>
        <v>0</v>
      </c>
      <c r="AX968" s="3">
        <f t="shared" si="62"/>
        <v>0</v>
      </c>
      <c r="AY968" s="4">
        <f t="shared" si="63"/>
        <v>0</v>
      </c>
      <c r="BA968" s="4" t="s">
        <v>5726</v>
      </c>
      <c r="BB968" s="2"/>
      <c r="BC968" s="3"/>
      <c r="BD968" s="4"/>
    </row>
    <row r="969" spans="1:56" ht="16.8" customHeight="1">
      <c r="A969" s="1">
        <v>968</v>
      </c>
      <c r="B969" s="1" t="s">
        <v>3175</v>
      </c>
      <c r="C969" s="1" t="s">
        <v>3654</v>
      </c>
      <c r="D969" s="1" t="s">
        <v>3736</v>
      </c>
      <c r="E969" s="1" t="s">
        <v>3736</v>
      </c>
      <c r="F969" s="1" t="s">
        <v>3737</v>
      </c>
      <c r="G969" s="1" t="s">
        <v>3738</v>
      </c>
      <c r="H969" s="1" t="s">
        <v>4662</v>
      </c>
      <c r="I969" s="18" t="s">
        <v>4783</v>
      </c>
      <c r="J969" s="18" t="s">
        <v>5132</v>
      </c>
      <c r="K969" s="18" t="s">
        <v>4752</v>
      </c>
      <c r="L969" s="18" t="s">
        <v>4734</v>
      </c>
      <c r="M969" s="2">
        <v>3000000</v>
      </c>
      <c r="N969" s="2">
        <v>3000000</v>
      </c>
      <c r="O969" s="2"/>
      <c r="P969" s="2" t="str">
        <f t="shared" si="60"/>
        <v/>
      </c>
      <c r="Q969" s="2"/>
      <c r="R969" s="2"/>
      <c r="S969" s="48"/>
      <c r="T969" s="2">
        <v>18000000</v>
      </c>
      <c r="U969" s="2">
        <v>0</v>
      </c>
      <c r="V969" s="1" t="s">
        <v>3739</v>
      </c>
      <c r="W969" s="6" t="s">
        <v>3740</v>
      </c>
      <c r="X969" s="1" t="s">
        <v>3315</v>
      </c>
      <c r="Y969" s="3"/>
      <c r="Z969" s="3"/>
      <c r="AA969" s="3"/>
      <c r="AB969" s="3"/>
      <c r="AC969" s="3"/>
      <c r="AD969" s="3"/>
      <c r="AE969" s="3">
        <v>3000000</v>
      </c>
      <c r="AF969" s="3">
        <v>3000000</v>
      </c>
      <c r="AG969" s="3">
        <v>3000000</v>
      </c>
      <c r="AH969" s="3">
        <v>3000000</v>
      </c>
      <c r="AI969" s="3">
        <v>3000000</v>
      </c>
      <c r="AJ969" s="3">
        <v>3000000</v>
      </c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>
        <f t="shared" si="61"/>
        <v>18000000</v>
      </c>
      <c r="AX969" s="3">
        <f t="shared" si="62"/>
        <v>0</v>
      </c>
      <c r="AY969" s="4">
        <f t="shared" si="63"/>
        <v>6</v>
      </c>
      <c r="BA969" s="4" t="s">
        <v>5726</v>
      </c>
      <c r="BB969" s="2"/>
      <c r="BC969" s="3"/>
      <c r="BD969" s="4"/>
    </row>
    <row r="970" spans="1:56" ht="16.8" customHeight="1">
      <c r="A970" s="1">
        <v>969</v>
      </c>
      <c r="B970" s="1" t="s">
        <v>3175</v>
      </c>
      <c r="C970" s="1" t="s">
        <v>3654</v>
      </c>
      <c r="D970" s="1" t="s">
        <v>3741</v>
      </c>
      <c r="E970" s="1" t="s">
        <v>3741</v>
      </c>
      <c r="F970" s="1" t="s">
        <v>3742</v>
      </c>
      <c r="G970" s="1" t="s">
        <v>3743</v>
      </c>
      <c r="H970" s="1" t="s">
        <v>5353</v>
      </c>
      <c r="I970" s="18" t="s">
        <v>4783</v>
      </c>
      <c r="J970" s="18" t="s">
        <v>4783</v>
      </c>
      <c r="K970" s="18" t="s">
        <v>4742</v>
      </c>
      <c r="L970" s="18" t="s">
        <v>4734</v>
      </c>
      <c r="M970" s="2">
        <v>3000000</v>
      </c>
      <c r="N970" s="2">
        <v>3000000</v>
      </c>
      <c r="O970" s="2"/>
      <c r="P970" s="2" t="str">
        <f t="shared" si="60"/>
        <v/>
      </c>
      <c r="Q970" s="2"/>
      <c r="R970" s="2"/>
      <c r="S970" s="48"/>
      <c r="T970" s="2">
        <v>9000000</v>
      </c>
      <c r="U970" s="2">
        <v>0</v>
      </c>
      <c r="V970" s="1"/>
      <c r="W970" s="6"/>
      <c r="X970" s="1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>
        <v>3000000</v>
      </c>
      <c r="AL970" s="3">
        <v>3000000</v>
      </c>
      <c r="AM970" s="3">
        <v>3000000</v>
      </c>
      <c r="AN970" s="3">
        <v>3000000</v>
      </c>
      <c r="AO970" s="3">
        <v>3000000</v>
      </c>
      <c r="AP970" s="3">
        <v>3000000</v>
      </c>
      <c r="AQ970" s="3">
        <v>3000000</v>
      </c>
      <c r="AR970" s="3">
        <v>3000000</v>
      </c>
      <c r="AS970" s="3">
        <v>3000000</v>
      </c>
      <c r="AT970" s="3">
        <v>3000000</v>
      </c>
      <c r="AU970" s="3">
        <v>3000000</v>
      </c>
      <c r="AV970" s="3">
        <v>3000000</v>
      </c>
      <c r="AW970" s="3">
        <f t="shared" si="61"/>
        <v>0</v>
      </c>
      <c r="AX970" s="3">
        <f t="shared" si="62"/>
        <v>36000000</v>
      </c>
      <c r="AY970" s="4">
        <f t="shared" si="63"/>
        <v>12</v>
      </c>
      <c r="BA970" s="4" t="s">
        <v>5709</v>
      </c>
      <c r="BB970" s="2"/>
      <c r="BC970" s="3"/>
      <c r="BD970" s="3"/>
    </row>
    <row r="971" spans="1:56" ht="16.8" customHeight="1">
      <c r="A971" s="1">
        <v>970</v>
      </c>
      <c r="B971" s="1" t="s">
        <v>3175</v>
      </c>
      <c r="C971" s="1" t="s">
        <v>3654</v>
      </c>
      <c r="D971" s="1" t="s">
        <v>3744</v>
      </c>
      <c r="E971" s="1" t="s">
        <v>3744</v>
      </c>
      <c r="F971" s="1" t="s">
        <v>3745</v>
      </c>
      <c r="G971" s="1" t="s">
        <v>3746</v>
      </c>
      <c r="H971" s="1" t="s">
        <v>4663</v>
      </c>
      <c r="I971" s="18" t="s">
        <v>4783</v>
      </c>
      <c r="J971" s="18" t="s">
        <v>4783</v>
      </c>
      <c r="K971" s="18" t="s">
        <v>4752</v>
      </c>
      <c r="L971" s="18" t="s">
        <v>4734</v>
      </c>
      <c r="M971" s="2">
        <v>3000000</v>
      </c>
      <c r="N971" s="2">
        <v>3300000</v>
      </c>
      <c r="O971" s="2">
        <v>3300000</v>
      </c>
      <c r="P971" s="2">
        <f t="shared" si="60"/>
        <v>300000</v>
      </c>
      <c r="Q971" s="2"/>
      <c r="R971" s="2"/>
      <c r="S971" s="48"/>
      <c r="T971" s="2">
        <v>9000000</v>
      </c>
      <c r="U971" s="2">
        <v>0</v>
      </c>
      <c r="V971" s="1" t="s">
        <v>3747</v>
      </c>
      <c r="W971" s="6" t="s">
        <v>3748</v>
      </c>
      <c r="X971" s="1" t="s">
        <v>3394</v>
      </c>
      <c r="Y971" s="3"/>
      <c r="Z971" s="3"/>
      <c r="AA971" s="3"/>
      <c r="AB971" s="3"/>
      <c r="AC971" s="3"/>
      <c r="AD971" s="3"/>
      <c r="AE971" s="3"/>
      <c r="AF971" s="3"/>
      <c r="AG971" s="3"/>
      <c r="AH971" s="3">
        <v>3000000</v>
      </c>
      <c r="AI971" s="3">
        <v>3000000</v>
      </c>
      <c r="AJ971" s="3">
        <v>3000000</v>
      </c>
      <c r="AK971" s="3">
        <v>3000000</v>
      </c>
      <c r="AL971" s="3">
        <v>3000000</v>
      </c>
      <c r="AM971" s="3">
        <v>3000000</v>
      </c>
      <c r="AN971" s="3">
        <v>3000000</v>
      </c>
      <c r="AO971" s="3">
        <v>3000000</v>
      </c>
      <c r="AP971" s="3">
        <v>3000000</v>
      </c>
      <c r="AQ971" s="3"/>
      <c r="AR971" s="3"/>
      <c r="AS971" s="3"/>
      <c r="AT971" s="3"/>
      <c r="AU971" s="3"/>
      <c r="AV971" s="3"/>
      <c r="AW971" s="3">
        <f t="shared" si="61"/>
        <v>9000000</v>
      </c>
      <c r="AX971" s="3">
        <f t="shared" si="62"/>
        <v>18000000</v>
      </c>
      <c r="AY971" s="4">
        <f t="shared" si="63"/>
        <v>9</v>
      </c>
      <c r="AZ971" s="8" t="s">
        <v>5624</v>
      </c>
      <c r="BA971" s="4" t="s">
        <v>5726</v>
      </c>
      <c r="BB971" s="2"/>
      <c r="BC971" s="3"/>
      <c r="BD971" s="3"/>
    </row>
    <row r="972" spans="1:56" ht="16.8" customHeight="1">
      <c r="A972" s="1">
        <v>971</v>
      </c>
      <c r="B972" s="1" t="s">
        <v>3175</v>
      </c>
      <c r="C972" s="1" t="s">
        <v>3654</v>
      </c>
      <c r="D972" s="1" t="s">
        <v>3749</v>
      </c>
      <c r="E972" s="1" t="s">
        <v>3749</v>
      </c>
      <c r="F972" s="1" t="s">
        <v>3750</v>
      </c>
      <c r="G972" s="1" t="s">
        <v>3751</v>
      </c>
      <c r="H972" s="1" t="s">
        <v>5354</v>
      </c>
      <c r="I972" s="18" t="s">
        <v>4783</v>
      </c>
      <c r="J972" s="18" t="s">
        <v>5018</v>
      </c>
      <c r="K972" s="18" t="s">
        <v>4752</v>
      </c>
      <c r="L972" s="18" t="s">
        <v>4734</v>
      </c>
      <c r="M972" s="2">
        <v>3600000</v>
      </c>
      <c r="N972" s="2">
        <v>3600000</v>
      </c>
      <c r="O972" s="2"/>
      <c r="P972" s="2" t="str">
        <f t="shared" si="60"/>
        <v/>
      </c>
      <c r="Q972" s="2"/>
      <c r="R972" s="2"/>
      <c r="S972" s="48"/>
      <c r="T972" s="2">
        <v>0</v>
      </c>
      <c r="U972" s="2">
        <v>0</v>
      </c>
      <c r="V972" s="1"/>
      <c r="W972" s="6"/>
      <c r="X972" s="1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>
        <v>3600000</v>
      </c>
      <c r="AL972" s="3">
        <v>3600000</v>
      </c>
      <c r="AM972" s="3">
        <v>3600000</v>
      </c>
      <c r="AN972" s="3">
        <v>3600000</v>
      </c>
      <c r="AO972" s="3">
        <v>3600000</v>
      </c>
      <c r="AP972" s="3">
        <v>3600000</v>
      </c>
      <c r="AQ972" s="3">
        <v>3600000</v>
      </c>
      <c r="AR972" s="3">
        <v>3600000</v>
      </c>
      <c r="AS972" s="3">
        <v>3600000</v>
      </c>
      <c r="AT972" s="3">
        <v>3600000</v>
      </c>
      <c r="AU972" s="3">
        <v>3600000</v>
      </c>
      <c r="AV972" s="3">
        <v>3600000</v>
      </c>
      <c r="AW972" s="3">
        <f t="shared" si="61"/>
        <v>0</v>
      </c>
      <c r="AX972" s="3">
        <f t="shared" si="62"/>
        <v>43200000</v>
      </c>
      <c r="AY972" s="4">
        <f t="shared" si="63"/>
        <v>12</v>
      </c>
      <c r="AZ972" s="8" t="s">
        <v>5625</v>
      </c>
      <c r="BA972" s="4" t="s">
        <v>5726</v>
      </c>
      <c r="BB972" s="2">
        <v>43200000</v>
      </c>
      <c r="BC972" s="3"/>
      <c r="BD972" s="3"/>
    </row>
    <row r="973" spans="1:56" ht="16.8" customHeight="1">
      <c r="A973" s="1">
        <v>972</v>
      </c>
      <c r="B973" s="1" t="s">
        <v>3175</v>
      </c>
      <c r="C973" s="1" t="s">
        <v>3654</v>
      </c>
      <c r="D973" s="1" t="s">
        <v>3752</v>
      </c>
      <c r="E973" s="1" t="s">
        <v>3752</v>
      </c>
      <c r="F973" s="1" t="s">
        <v>3753</v>
      </c>
      <c r="G973" s="1" t="s">
        <v>3754</v>
      </c>
      <c r="H973" s="1" t="s">
        <v>4664</v>
      </c>
      <c r="I973" s="18" t="s">
        <v>4783</v>
      </c>
      <c r="J973" s="18" t="s">
        <v>4783</v>
      </c>
      <c r="K973" s="18" t="s">
        <v>4742</v>
      </c>
      <c r="L973" s="18" t="s">
        <v>4734</v>
      </c>
      <c r="M973" s="2">
        <v>3000000</v>
      </c>
      <c r="N973" s="2">
        <v>3000000</v>
      </c>
      <c r="O973" s="2"/>
      <c r="P973" s="2" t="str">
        <f t="shared" si="60"/>
        <v/>
      </c>
      <c r="Q973" s="2"/>
      <c r="R973" s="2"/>
      <c r="S973" s="48"/>
      <c r="T973" s="2">
        <v>9000000</v>
      </c>
      <c r="U973" s="2">
        <v>0</v>
      </c>
      <c r="V973" s="1" t="s">
        <v>3755</v>
      </c>
      <c r="W973" s="6" t="s">
        <v>3756</v>
      </c>
      <c r="X973" s="1" t="s">
        <v>3435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>
        <v>3000000</v>
      </c>
      <c r="AI973" s="3">
        <v>3000000</v>
      </c>
      <c r="AJ973" s="3">
        <v>3000000</v>
      </c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>
        <f t="shared" si="61"/>
        <v>9000000</v>
      </c>
      <c r="AX973" s="3">
        <f t="shared" si="62"/>
        <v>0</v>
      </c>
      <c r="AY973" s="4">
        <f t="shared" si="63"/>
        <v>3</v>
      </c>
      <c r="BA973" s="4" t="s">
        <v>5726</v>
      </c>
      <c r="BB973" s="2"/>
      <c r="BC973" s="3"/>
      <c r="BD973" s="4"/>
    </row>
    <row r="974" spans="1:56" ht="16.8" customHeight="1">
      <c r="A974" s="1">
        <v>973</v>
      </c>
      <c r="B974" s="1" t="s">
        <v>3175</v>
      </c>
      <c r="C974" s="1" t="s">
        <v>3654</v>
      </c>
      <c r="D974" s="1" t="s">
        <v>3757</v>
      </c>
      <c r="E974" s="1" t="s">
        <v>3757</v>
      </c>
      <c r="F974" s="1" t="s">
        <v>3758</v>
      </c>
      <c r="G974" s="1" t="s">
        <v>3759</v>
      </c>
      <c r="H974" s="1" t="s">
        <v>5355</v>
      </c>
      <c r="I974" s="18" t="s">
        <v>4783</v>
      </c>
      <c r="J974" s="18" t="s">
        <v>5018</v>
      </c>
      <c r="K974" s="18" t="s">
        <v>4733</v>
      </c>
      <c r="L974" s="18" t="s">
        <v>4734</v>
      </c>
      <c r="M974" s="2">
        <v>3100000</v>
      </c>
      <c r="N974" s="2">
        <v>3100000</v>
      </c>
      <c r="O974" s="2"/>
      <c r="P974" s="2" t="str">
        <f t="shared" si="60"/>
        <v/>
      </c>
      <c r="Q974" s="2"/>
      <c r="R974" s="2"/>
      <c r="S974" s="48"/>
      <c r="T974" s="2">
        <v>37200000</v>
      </c>
      <c r="U974" s="2">
        <v>0</v>
      </c>
      <c r="V974" s="1"/>
      <c r="W974" s="6"/>
      <c r="X974" s="1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>
        <f t="shared" si="61"/>
        <v>0</v>
      </c>
      <c r="AX974" s="3">
        <f t="shared" si="62"/>
        <v>0</v>
      </c>
      <c r="AY974" s="4">
        <f t="shared" si="63"/>
        <v>0</v>
      </c>
      <c r="AZ974" s="8">
        <v>0</v>
      </c>
      <c r="BA974" s="4" t="s">
        <v>5726</v>
      </c>
      <c r="BB974" s="2"/>
      <c r="BC974" s="3"/>
      <c r="BD974" s="4"/>
    </row>
    <row r="975" spans="1:56" ht="16.8" customHeight="1">
      <c r="A975" s="1">
        <v>974</v>
      </c>
      <c r="B975" s="1" t="s">
        <v>3175</v>
      </c>
      <c r="C975" s="1" t="s">
        <v>3654</v>
      </c>
      <c r="D975" s="1" t="s">
        <v>3760</v>
      </c>
      <c r="E975" s="1" t="s">
        <v>3760</v>
      </c>
      <c r="F975" s="1" t="s">
        <v>3761</v>
      </c>
      <c r="G975" s="1" t="s">
        <v>3762</v>
      </c>
      <c r="H975" s="1" t="s">
        <v>4665</v>
      </c>
      <c r="I975" s="18" t="s">
        <v>4783</v>
      </c>
      <c r="J975" s="18" t="s">
        <v>4783</v>
      </c>
      <c r="K975" s="18" t="s">
        <v>4742</v>
      </c>
      <c r="L975" s="18" t="s">
        <v>4734</v>
      </c>
      <c r="M975" s="2">
        <v>3000000</v>
      </c>
      <c r="N975" s="2">
        <v>3000000</v>
      </c>
      <c r="O975" s="2"/>
      <c r="P975" s="2" t="str">
        <f t="shared" si="60"/>
        <v/>
      </c>
      <c r="Q975" s="2"/>
      <c r="R975" s="2"/>
      <c r="S975" s="48"/>
      <c r="T975" s="2">
        <v>9000000</v>
      </c>
      <c r="U975" s="2">
        <v>0</v>
      </c>
      <c r="V975" s="1" t="s">
        <v>3763</v>
      </c>
      <c r="W975" s="6" t="s">
        <v>3764</v>
      </c>
      <c r="X975" s="1" t="s">
        <v>3435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>
        <v>3000000</v>
      </c>
      <c r="AI975" s="3">
        <v>3000000</v>
      </c>
      <c r="AJ975" s="3">
        <v>3000000</v>
      </c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>
        <f t="shared" si="61"/>
        <v>9000000</v>
      </c>
      <c r="AX975" s="3">
        <f t="shared" si="62"/>
        <v>0</v>
      </c>
      <c r="AY975" s="4">
        <f t="shared" si="63"/>
        <v>3</v>
      </c>
      <c r="AZ975" s="8" t="s">
        <v>5626</v>
      </c>
      <c r="BA975" s="4" t="s">
        <v>5726</v>
      </c>
      <c r="BB975" s="2"/>
      <c r="BC975" s="3"/>
      <c r="BD975" s="4"/>
    </row>
    <row r="976" spans="1:56" s="33" customFormat="1" ht="16.8" customHeight="1">
      <c r="A976" s="29">
        <v>975</v>
      </c>
      <c r="B976" s="29" t="s">
        <v>3175</v>
      </c>
      <c r="C976" s="29" t="s">
        <v>3654</v>
      </c>
      <c r="D976" s="29" t="s">
        <v>3765</v>
      </c>
      <c r="E976" s="29" t="s">
        <v>3765</v>
      </c>
      <c r="F976" s="1" t="s">
        <v>3766</v>
      </c>
      <c r="G976" s="1" t="s">
        <v>3767</v>
      </c>
      <c r="H976" s="1" t="s">
        <v>4666</v>
      </c>
      <c r="I976" s="18" t="s">
        <v>4783</v>
      </c>
      <c r="J976" s="18" t="s">
        <v>5132</v>
      </c>
      <c r="K976" s="18" t="s">
        <v>4752</v>
      </c>
      <c r="L976" s="18" t="s">
        <v>4734</v>
      </c>
      <c r="M976" s="30">
        <v>3100000</v>
      </c>
      <c r="N976" s="30">
        <v>3500000</v>
      </c>
      <c r="O976" s="30">
        <v>3500000</v>
      </c>
      <c r="P976" s="2">
        <f t="shared" si="60"/>
        <v>400000</v>
      </c>
      <c r="Q976" s="2"/>
      <c r="R976" s="2"/>
      <c r="S976" s="48"/>
      <c r="T976" s="2">
        <v>19200000</v>
      </c>
      <c r="U976" s="2">
        <v>0</v>
      </c>
      <c r="V976" s="1" t="s">
        <v>3767</v>
      </c>
      <c r="W976" s="6" t="s">
        <v>3768</v>
      </c>
      <c r="X976" s="1" t="s">
        <v>3257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>
        <f t="shared" si="61"/>
        <v>0</v>
      </c>
      <c r="AX976" s="31">
        <f t="shared" si="62"/>
        <v>0</v>
      </c>
      <c r="AY976" s="32">
        <f t="shared" si="63"/>
        <v>0</v>
      </c>
      <c r="AZ976" s="33" t="s">
        <v>5553</v>
      </c>
      <c r="BA976" s="4" t="s">
        <v>5726</v>
      </c>
      <c r="BB976" s="30"/>
      <c r="BC976" s="3"/>
      <c r="BD976" s="32"/>
    </row>
    <row r="977" spans="1:56" ht="16.8" customHeight="1">
      <c r="A977" s="1">
        <v>976</v>
      </c>
      <c r="B977" s="1" t="s">
        <v>3175</v>
      </c>
      <c r="C977" s="1" t="s">
        <v>3654</v>
      </c>
      <c r="D977" s="1" t="s">
        <v>3769</v>
      </c>
      <c r="E977" s="1" t="s">
        <v>3769</v>
      </c>
      <c r="F977" s="1" t="s">
        <v>3770</v>
      </c>
      <c r="G977" s="1" t="s">
        <v>3771</v>
      </c>
      <c r="H977" s="1"/>
      <c r="I977" s="18"/>
      <c r="J977" s="18"/>
      <c r="K977" s="18"/>
      <c r="L977" s="18"/>
      <c r="M977" s="2">
        <v>3100000</v>
      </c>
      <c r="N977" s="2">
        <v>3100000</v>
      </c>
      <c r="O977" s="2"/>
      <c r="P977" s="2" t="str">
        <f t="shared" si="60"/>
        <v/>
      </c>
      <c r="Q977" s="2"/>
      <c r="R977" s="2"/>
      <c r="S977" s="48"/>
      <c r="T977" s="2">
        <v>0</v>
      </c>
      <c r="U977" s="2">
        <v>18600000</v>
      </c>
      <c r="V977" s="1"/>
      <c r="W977" s="6"/>
      <c r="X977" s="1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>
        <f t="shared" si="61"/>
        <v>0</v>
      </c>
      <c r="AX977" s="3">
        <f t="shared" si="62"/>
        <v>0</v>
      </c>
      <c r="AY977" s="4">
        <f t="shared" si="63"/>
        <v>0</v>
      </c>
      <c r="BA977" s="4" t="s">
        <v>5726</v>
      </c>
      <c r="BB977" s="2"/>
      <c r="BC977" s="3"/>
      <c r="BD977" s="4"/>
    </row>
    <row r="978" spans="1:56" ht="16.8" customHeight="1">
      <c r="A978" s="1">
        <v>977</v>
      </c>
      <c r="B978" s="1" t="s">
        <v>3175</v>
      </c>
      <c r="C978" s="1" t="s">
        <v>3654</v>
      </c>
      <c r="D978" s="1" t="s">
        <v>3772</v>
      </c>
      <c r="E978" s="1" t="s">
        <v>3772</v>
      </c>
      <c r="F978" s="1" t="s">
        <v>3773</v>
      </c>
      <c r="G978" s="1" t="s">
        <v>3774</v>
      </c>
      <c r="H978" s="1" t="s">
        <v>4667</v>
      </c>
      <c r="I978" s="18" t="s">
        <v>4783</v>
      </c>
      <c r="J978" s="18" t="s">
        <v>5132</v>
      </c>
      <c r="K978" s="18" t="s">
        <v>4752</v>
      </c>
      <c r="L978" s="18" t="s">
        <v>4734</v>
      </c>
      <c r="M978" s="2">
        <v>3000000</v>
      </c>
      <c r="N978" s="2">
        <v>3000000</v>
      </c>
      <c r="O978" s="2"/>
      <c r="P978" s="2" t="str">
        <f t="shared" si="60"/>
        <v/>
      </c>
      <c r="Q978" s="2">
        <v>4500000</v>
      </c>
      <c r="R978" s="2"/>
      <c r="S978" s="48">
        <v>46023</v>
      </c>
      <c r="T978" s="2">
        <v>18000000</v>
      </c>
      <c r="U978" s="2">
        <v>0</v>
      </c>
      <c r="V978" s="1" t="s">
        <v>3775</v>
      </c>
      <c r="W978" s="6" t="s">
        <v>3776</v>
      </c>
      <c r="X978" s="1" t="s">
        <v>3257</v>
      </c>
      <c r="Y978" s="3"/>
      <c r="Z978" s="3"/>
      <c r="AA978" s="3"/>
      <c r="AB978" s="3"/>
      <c r="AC978" s="3"/>
      <c r="AD978" s="3"/>
      <c r="AE978" s="3">
        <v>3000000</v>
      </c>
      <c r="AF978" s="3">
        <v>3000000</v>
      </c>
      <c r="AG978" s="3">
        <v>3000000</v>
      </c>
      <c r="AH978" s="3">
        <v>3000000</v>
      </c>
      <c r="AI978" s="3">
        <v>3000000</v>
      </c>
      <c r="AJ978" s="3">
        <v>3000000</v>
      </c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>
        <f t="shared" si="61"/>
        <v>18000000</v>
      </c>
      <c r="AX978" s="3">
        <f t="shared" si="62"/>
        <v>0</v>
      </c>
      <c r="AY978" s="4">
        <f t="shared" si="63"/>
        <v>6</v>
      </c>
      <c r="AZ978" s="8" t="s">
        <v>5553</v>
      </c>
      <c r="BA978" s="4" t="s">
        <v>5726</v>
      </c>
      <c r="BB978" s="2"/>
      <c r="BC978" s="3"/>
      <c r="BD978" s="4"/>
    </row>
    <row r="979" spans="1:56" ht="16.8" customHeight="1">
      <c r="A979" s="1">
        <v>978</v>
      </c>
      <c r="B979" s="1" t="s">
        <v>3175</v>
      </c>
      <c r="C979" s="1" t="s">
        <v>3654</v>
      </c>
      <c r="D979" s="1" t="s">
        <v>3777</v>
      </c>
      <c r="E979" s="1" t="s">
        <v>3777</v>
      </c>
      <c r="F979" s="1" t="s">
        <v>3778</v>
      </c>
      <c r="G979" s="1" t="s">
        <v>3779</v>
      </c>
      <c r="H979" s="1" t="s">
        <v>4668</v>
      </c>
      <c r="I979" s="18" t="s">
        <v>4783</v>
      </c>
      <c r="J979" s="18" t="s">
        <v>5132</v>
      </c>
      <c r="K979" s="18" t="s">
        <v>4795</v>
      </c>
      <c r="L979" s="18" t="s">
        <v>4734</v>
      </c>
      <c r="M979" s="2">
        <v>3000000</v>
      </c>
      <c r="N979" s="2">
        <v>3000000</v>
      </c>
      <c r="O979" s="2"/>
      <c r="P979" s="2" t="str">
        <f t="shared" si="60"/>
        <v/>
      </c>
      <c r="Q979" s="2">
        <v>5000000</v>
      </c>
      <c r="R979" s="2"/>
      <c r="S979" s="48">
        <v>46023</v>
      </c>
      <c r="T979" s="2">
        <v>18000000</v>
      </c>
      <c r="U979" s="2">
        <v>0</v>
      </c>
      <c r="V979" s="1" t="s">
        <v>3779</v>
      </c>
      <c r="W979" s="6" t="s">
        <v>3780</v>
      </c>
      <c r="X979" s="1" t="s">
        <v>3257</v>
      </c>
      <c r="Y979" s="3"/>
      <c r="Z979" s="3"/>
      <c r="AA979" s="3"/>
      <c r="AB979" s="3"/>
      <c r="AC979" s="3"/>
      <c r="AD979" s="3"/>
      <c r="AE979" s="3">
        <v>3000000</v>
      </c>
      <c r="AF979" s="3">
        <v>3000000</v>
      </c>
      <c r="AG979" s="3">
        <v>3000000</v>
      </c>
      <c r="AH979" s="3">
        <v>3000000</v>
      </c>
      <c r="AI979" s="3">
        <v>3000000</v>
      </c>
      <c r="AJ979" s="3">
        <v>3000000</v>
      </c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>
        <f t="shared" si="61"/>
        <v>18000000</v>
      </c>
      <c r="AX979" s="3">
        <f t="shared" si="62"/>
        <v>0</v>
      </c>
      <c r="AY979" s="4">
        <f t="shared" si="63"/>
        <v>6</v>
      </c>
      <c r="AZ979" s="8" t="s">
        <v>5553</v>
      </c>
      <c r="BA979" s="4" t="s">
        <v>5726</v>
      </c>
      <c r="BB979" s="2"/>
      <c r="BC979" s="3"/>
      <c r="BD979" s="4"/>
    </row>
    <row r="980" spans="1:56" ht="16.8" customHeight="1">
      <c r="A980" s="1">
        <v>979</v>
      </c>
      <c r="B980" s="1" t="s">
        <v>3175</v>
      </c>
      <c r="C980" s="1" t="s">
        <v>3654</v>
      </c>
      <c r="D980" s="1" t="s">
        <v>3781</v>
      </c>
      <c r="E980" s="1" t="s">
        <v>3781</v>
      </c>
      <c r="F980" s="1" t="s">
        <v>3782</v>
      </c>
      <c r="G980" s="1" t="s">
        <v>3783</v>
      </c>
      <c r="H980" s="1" t="s">
        <v>4669</v>
      </c>
      <c r="I980" s="18" t="s">
        <v>4783</v>
      </c>
      <c r="J980" s="18" t="s">
        <v>4783</v>
      </c>
      <c r="K980" s="18" t="s">
        <v>4742</v>
      </c>
      <c r="L980" s="18" t="s">
        <v>4734</v>
      </c>
      <c r="M980" s="2">
        <v>3000000</v>
      </c>
      <c r="N980" s="2">
        <v>3000000</v>
      </c>
      <c r="O980" s="2"/>
      <c r="P980" s="2" t="str">
        <f t="shared" si="60"/>
        <v/>
      </c>
      <c r="Q980" s="2"/>
      <c r="R980" s="2"/>
      <c r="S980" s="48"/>
      <c r="T980" s="2">
        <v>9000000</v>
      </c>
      <c r="U980" s="2">
        <v>0</v>
      </c>
      <c r="V980" s="1" t="s">
        <v>3783</v>
      </c>
      <c r="W980" s="6" t="s">
        <v>3784</v>
      </c>
      <c r="X980" s="1" t="s">
        <v>3257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>
        <v>3000000</v>
      </c>
      <c r="AI980" s="3">
        <v>3000000</v>
      </c>
      <c r="AJ980" s="3">
        <v>3000000</v>
      </c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>
        <f t="shared" si="61"/>
        <v>9000000</v>
      </c>
      <c r="AX980" s="3">
        <f t="shared" si="62"/>
        <v>0</v>
      </c>
      <c r="AY980" s="4">
        <f t="shared" si="63"/>
        <v>3</v>
      </c>
      <c r="AZ980" s="8" t="s">
        <v>5553</v>
      </c>
      <c r="BA980" s="4" t="s">
        <v>5726</v>
      </c>
      <c r="BB980" s="2"/>
      <c r="BC980" s="3"/>
      <c r="BD980" s="4"/>
    </row>
    <row r="981" spans="1:56" ht="16.8" customHeight="1">
      <c r="A981" s="1">
        <v>980</v>
      </c>
      <c r="B981" s="1" t="s">
        <v>3175</v>
      </c>
      <c r="C981" s="1" t="s">
        <v>3654</v>
      </c>
      <c r="D981" s="1" t="s">
        <v>3785</v>
      </c>
      <c r="E981" s="1" t="s">
        <v>3785</v>
      </c>
      <c r="F981" s="1" t="s">
        <v>3786</v>
      </c>
      <c r="G981" s="1" t="s">
        <v>479</v>
      </c>
      <c r="H981" s="1" t="s">
        <v>4670</v>
      </c>
      <c r="I981" s="18" t="s">
        <v>4783</v>
      </c>
      <c r="J981" s="18" t="s">
        <v>5132</v>
      </c>
      <c r="K981" s="18" t="s">
        <v>4752</v>
      </c>
      <c r="L981" s="18" t="s">
        <v>4734</v>
      </c>
      <c r="M981" s="2">
        <v>3000000</v>
      </c>
      <c r="N981" s="2">
        <v>3000000</v>
      </c>
      <c r="O981" s="2"/>
      <c r="P981" s="2" t="str">
        <f t="shared" si="60"/>
        <v/>
      </c>
      <c r="Q981" s="2"/>
      <c r="R981" s="2"/>
      <c r="S981" s="48"/>
      <c r="T981" s="2">
        <v>18000000</v>
      </c>
      <c r="U981" s="2">
        <v>0</v>
      </c>
      <c r="V981" s="1" t="s">
        <v>3787</v>
      </c>
      <c r="W981" s="6" t="s">
        <v>3788</v>
      </c>
      <c r="X981" s="1" t="s">
        <v>3257</v>
      </c>
      <c r="Y981" s="3"/>
      <c r="Z981" s="3"/>
      <c r="AA981" s="3"/>
      <c r="AB981" s="3"/>
      <c r="AC981" s="3"/>
      <c r="AD981" s="3"/>
      <c r="AE981" s="3">
        <v>3000000</v>
      </c>
      <c r="AF981" s="3">
        <v>3000000</v>
      </c>
      <c r="AG981" s="3">
        <v>3000000</v>
      </c>
      <c r="AH981" s="3">
        <v>3000000</v>
      </c>
      <c r="AI981" s="3">
        <v>3000000</v>
      </c>
      <c r="AJ981" s="3">
        <v>3000000</v>
      </c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>
        <f t="shared" si="61"/>
        <v>18000000</v>
      </c>
      <c r="AX981" s="3">
        <f t="shared" si="62"/>
        <v>0</v>
      </c>
      <c r="AY981" s="4">
        <f t="shared" si="63"/>
        <v>6</v>
      </c>
      <c r="AZ981" s="8" t="s">
        <v>5627</v>
      </c>
      <c r="BA981" s="4" t="s">
        <v>5726</v>
      </c>
      <c r="BB981" s="2"/>
      <c r="BC981" s="3"/>
      <c r="BD981" s="4"/>
    </row>
    <row r="982" spans="1:56" ht="16.8" customHeight="1">
      <c r="A982" s="1">
        <v>981</v>
      </c>
      <c r="B982" s="1" t="s">
        <v>3175</v>
      </c>
      <c r="C982" s="1" t="s">
        <v>3654</v>
      </c>
      <c r="D982" s="1" t="s">
        <v>3789</v>
      </c>
      <c r="E982" s="1" t="s">
        <v>3789</v>
      </c>
      <c r="F982" s="1" t="s">
        <v>3790</v>
      </c>
      <c r="G982" s="1" t="s">
        <v>3791</v>
      </c>
      <c r="H982" s="1" t="s">
        <v>5043</v>
      </c>
      <c r="I982" s="18"/>
      <c r="J982" s="18"/>
      <c r="K982" s="18"/>
      <c r="L982" s="18"/>
      <c r="M982" s="2">
        <v>3500000</v>
      </c>
      <c r="N982" s="2">
        <v>3500000</v>
      </c>
      <c r="O982" s="2"/>
      <c r="P982" s="2" t="str">
        <f t="shared" si="60"/>
        <v/>
      </c>
      <c r="Q982" s="2"/>
      <c r="R982" s="2"/>
      <c r="S982" s="48"/>
      <c r="T982" s="2">
        <v>46200000</v>
      </c>
      <c r="U982" s="2">
        <v>0</v>
      </c>
      <c r="V982" s="1" t="s">
        <v>3792</v>
      </c>
      <c r="W982" s="6" t="s">
        <v>3793</v>
      </c>
      <c r="X982" s="1" t="s">
        <v>3288</v>
      </c>
      <c r="Y982" s="3">
        <v>3500000</v>
      </c>
      <c r="Z982" s="3">
        <v>3500000</v>
      </c>
      <c r="AA982" s="3">
        <v>3500000</v>
      </c>
      <c r="AB982" s="3">
        <v>3500000</v>
      </c>
      <c r="AC982" s="3">
        <v>3500000</v>
      </c>
      <c r="AD982" s="3">
        <v>3500000</v>
      </c>
      <c r="AE982" s="3">
        <v>3500000</v>
      </c>
      <c r="AF982" s="3">
        <v>3500000</v>
      </c>
      <c r="AG982" s="3">
        <v>3500000</v>
      </c>
      <c r="AH982" s="3">
        <v>3500000</v>
      </c>
      <c r="AI982" s="3">
        <v>3500000</v>
      </c>
      <c r="AJ982" s="3">
        <v>3500000</v>
      </c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>
        <f t="shared" si="61"/>
        <v>42000000</v>
      </c>
      <c r="AX982" s="3">
        <f t="shared" si="62"/>
        <v>0</v>
      </c>
      <c r="AY982" s="4">
        <f t="shared" si="63"/>
        <v>12</v>
      </c>
      <c r="BA982" s="4" t="s">
        <v>5726</v>
      </c>
      <c r="BB982" s="2"/>
      <c r="BC982" s="3"/>
      <c r="BD982" s="4"/>
    </row>
    <row r="983" spans="1:56" ht="16.8" customHeight="1">
      <c r="A983" s="1">
        <v>982</v>
      </c>
      <c r="B983" s="1" t="s">
        <v>3175</v>
      </c>
      <c r="C983" s="1" t="s">
        <v>3654</v>
      </c>
      <c r="D983" s="1" t="s">
        <v>3794</v>
      </c>
      <c r="E983" s="1" t="s">
        <v>3794</v>
      </c>
      <c r="F983" s="1" t="s">
        <v>3795</v>
      </c>
      <c r="G983" s="1" t="s">
        <v>3796</v>
      </c>
      <c r="H983" s="1" t="s">
        <v>5356</v>
      </c>
      <c r="I983" s="18" t="s">
        <v>4783</v>
      </c>
      <c r="J983" s="18" t="s">
        <v>4783</v>
      </c>
      <c r="K983" s="18" t="s">
        <v>4742</v>
      </c>
      <c r="L983" s="18" t="s">
        <v>4734</v>
      </c>
      <c r="M983" s="2">
        <v>3000000</v>
      </c>
      <c r="N983" s="2">
        <v>3000000</v>
      </c>
      <c r="O983" s="2"/>
      <c r="P983" s="2" t="str">
        <f t="shared" si="60"/>
        <v/>
      </c>
      <c r="Q983" s="2"/>
      <c r="R983" s="2"/>
      <c r="S983" s="48"/>
      <c r="T983" s="2">
        <v>9000000</v>
      </c>
      <c r="U983" s="2">
        <v>0</v>
      </c>
      <c r="V983" s="1"/>
      <c r="W983" s="6"/>
      <c r="X983" s="1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>
        <f t="shared" si="61"/>
        <v>0</v>
      </c>
      <c r="AX983" s="3">
        <f t="shared" si="62"/>
        <v>0</v>
      </c>
      <c r="AY983" s="4">
        <f t="shared" si="63"/>
        <v>0</v>
      </c>
      <c r="AZ983" s="8" t="s">
        <v>5553</v>
      </c>
      <c r="BA983" s="4" t="s">
        <v>5726</v>
      </c>
      <c r="BB983" s="2"/>
      <c r="BC983" s="3"/>
      <c r="BD983" s="4"/>
    </row>
    <row r="984" spans="1:56" ht="16.8" customHeight="1">
      <c r="A984" s="1">
        <v>983</v>
      </c>
      <c r="B984" s="1" t="s">
        <v>3175</v>
      </c>
      <c r="C984" s="1" t="s">
        <v>3654</v>
      </c>
      <c r="D984" s="1" t="s">
        <v>3797</v>
      </c>
      <c r="E984" s="1" t="s">
        <v>3797</v>
      </c>
      <c r="F984" s="1" t="s">
        <v>3798</v>
      </c>
      <c r="G984" s="1" t="s">
        <v>3799</v>
      </c>
      <c r="H984" s="1" t="s">
        <v>5357</v>
      </c>
      <c r="I984" s="18" t="s">
        <v>5018</v>
      </c>
      <c r="J984" s="18" t="s">
        <v>5018</v>
      </c>
      <c r="K984" s="18" t="s">
        <v>5003</v>
      </c>
      <c r="L984" s="18" t="s">
        <v>4734</v>
      </c>
      <c r="M984" s="2">
        <v>3000000</v>
      </c>
      <c r="N984" s="2">
        <v>3500000</v>
      </c>
      <c r="O984" s="2">
        <v>3500000</v>
      </c>
      <c r="P984" s="2">
        <f t="shared" si="60"/>
        <v>500000</v>
      </c>
      <c r="Q984" s="2"/>
      <c r="R984" s="2"/>
      <c r="S984" s="48"/>
      <c r="T984" s="2">
        <v>0</v>
      </c>
      <c r="U984" s="2">
        <v>0</v>
      </c>
      <c r="V984" s="1" t="s">
        <v>3800</v>
      </c>
      <c r="W984" s="6" t="s">
        <v>3801</v>
      </c>
      <c r="X984" s="1" t="s">
        <v>3802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>
        <v>3500000</v>
      </c>
      <c r="AL984" s="3">
        <v>3500000</v>
      </c>
      <c r="AM984" s="3">
        <v>3500000</v>
      </c>
      <c r="AN984" s="3">
        <v>3500000</v>
      </c>
      <c r="AO984" s="3">
        <v>3500000</v>
      </c>
      <c r="AP984" s="3">
        <v>3500000</v>
      </c>
      <c r="AQ984" s="3"/>
      <c r="AR984" s="3"/>
      <c r="AS984" s="3"/>
      <c r="AT984" s="3"/>
      <c r="AU984" s="3"/>
      <c r="AV984" s="3"/>
      <c r="AW984" s="3">
        <f t="shared" si="61"/>
        <v>0</v>
      </c>
      <c r="AX984" s="3">
        <f t="shared" si="62"/>
        <v>21000000</v>
      </c>
      <c r="AY984" s="4">
        <f t="shared" si="63"/>
        <v>6</v>
      </c>
      <c r="AZ984" s="8">
        <v>0</v>
      </c>
      <c r="BA984" s="4" t="s">
        <v>5726</v>
      </c>
      <c r="BB984" s="2"/>
      <c r="BC984" s="3"/>
      <c r="BD984" s="3"/>
    </row>
    <row r="985" spans="1:56" ht="16.8" customHeight="1">
      <c r="A985" s="1">
        <v>984</v>
      </c>
      <c r="B985" s="1" t="s">
        <v>3175</v>
      </c>
      <c r="C985" s="1" t="s">
        <v>3654</v>
      </c>
      <c r="D985" s="1" t="s">
        <v>3803</v>
      </c>
      <c r="E985" s="1" t="s">
        <v>3803</v>
      </c>
      <c r="F985" s="1" t="s">
        <v>3804</v>
      </c>
      <c r="G985" s="1" t="s">
        <v>3805</v>
      </c>
      <c r="H985" s="1" t="s">
        <v>4671</v>
      </c>
      <c r="I985" s="18" t="s">
        <v>4783</v>
      </c>
      <c r="J985" s="18" t="s">
        <v>4783</v>
      </c>
      <c r="K985" s="18" t="s">
        <v>4752</v>
      </c>
      <c r="L985" s="18" t="s">
        <v>4734</v>
      </c>
      <c r="M985" s="2">
        <v>3000000</v>
      </c>
      <c r="N985" s="2">
        <v>3000000</v>
      </c>
      <c r="O985" s="2"/>
      <c r="P985" s="2" t="str">
        <f t="shared" si="60"/>
        <v/>
      </c>
      <c r="Q985" s="2"/>
      <c r="R985" s="2"/>
      <c r="S985" s="48"/>
      <c r="T985" s="2">
        <v>9000000</v>
      </c>
      <c r="U985" s="2">
        <v>0</v>
      </c>
      <c r="V985" s="1" t="s">
        <v>3805</v>
      </c>
      <c r="W985" s="6" t="s">
        <v>3806</v>
      </c>
      <c r="X985" s="1" t="s">
        <v>3257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>
        <v>3000000</v>
      </c>
      <c r="AI985" s="3">
        <v>3000000</v>
      </c>
      <c r="AJ985" s="3">
        <v>3000000</v>
      </c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>
        <f t="shared" si="61"/>
        <v>9000000</v>
      </c>
      <c r="AX985" s="3">
        <f t="shared" si="62"/>
        <v>0</v>
      </c>
      <c r="AY985" s="4">
        <f t="shared" si="63"/>
        <v>3</v>
      </c>
      <c r="AZ985" s="8" t="s">
        <v>5553</v>
      </c>
      <c r="BA985" s="4" t="s">
        <v>5726</v>
      </c>
      <c r="BB985" s="2"/>
      <c r="BC985" s="3"/>
      <c r="BD985" s="4"/>
    </row>
    <row r="986" spans="1:56" ht="16.8" customHeight="1">
      <c r="A986" s="1">
        <v>985</v>
      </c>
      <c r="B986" s="1" t="s">
        <v>3175</v>
      </c>
      <c r="C986" s="1" t="s">
        <v>3654</v>
      </c>
      <c r="D986" s="1" t="s">
        <v>3807</v>
      </c>
      <c r="E986" s="1" t="s">
        <v>3807</v>
      </c>
      <c r="F986" s="1" t="s">
        <v>3808</v>
      </c>
      <c r="G986" s="1" t="s">
        <v>3809</v>
      </c>
      <c r="H986" s="1" t="s">
        <v>5358</v>
      </c>
      <c r="I986" s="18" t="s">
        <v>4783</v>
      </c>
      <c r="J986" s="18" t="s">
        <v>5132</v>
      </c>
      <c r="K986" s="18" t="s">
        <v>4748</v>
      </c>
      <c r="L986" s="18" t="s">
        <v>4734</v>
      </c>
      <c r="M986" s="2">
        <v>3000000</v>
      </c>
      <c r="N986" s="2">
        <v>3000000</v>
      </c>
      <c r="O986" s="2"/>
      <c r="P986" s="2" t="str">
        <f t="shared" si="60"/>
        <v/>
      </c>
      <c r="Q986" s="2"/>
      <c r="R986" s="2"/>
      <c r="S986" s="48"/>
      <c r="T986" s="2">
        <v>18000000</v>
      </c>
      <c r="U986" s="2">
        <v>0</v>
      </c>
      <c r="V986" s="1"/>
      <c r="W986" s="6"/>
      <c r="X986" s="1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>
        <f t="shared" si="61"/>
        <v>0</v>
      </c>
      <c r="AX986" s="3">
        <f t="shared" si="62"/>
        <v>0</v>
      </c>
      <c r="AY986" s="4">
        <f t="shared" si="63"/>
        <v>0</v>
      </c>
      <c r="AZ986" s="8" t="s">
        <v>5503</v>
      </c>
      <c r="BA986" s="4" t="s">
        <v>5726</v>
      </c>
      <c r="BB986" s="2"/>
      <c r="BC986" s="3"/>
      <c r="BD986" s="4"/>
    </row>
    <row r="987" spans="1:56" ht="16.8" customHeight="1">
      <c r="A987" s="1">
        <v>986</v>
      </c>
      <c r="B987" s="1" t="s">
        <v>3175</v>
      </c>
      <c r="C987" s="1" t="s">
        <v>3654</v>
      </c>
      <c r="D987" s="1" t="s">
        <v>3810</v>
      </c>
      <c r="E987" s="1" t="s">
        <v>3810</v>
      </c>
      <c r="F987" s="1" t="s">
        <v>3811</v>
      </c>
      <c r="G987" s="1" t="s">
        <v>3812</v>
      </c>
      <c r="H987" s="1" t="s">
        <v>5359</v>
      </c>
      <c r="I987" s="18" t="s">
        <v>4783</v>
      </c>
      <c r="J987" s="18" t="s">
        <v>5074</v>
      </c>
      <c r="K987" s="18" t="s">
        <v>5360</v>
      </c>
      <c r="L987" s="18" t="s">
        <v>4734</v>
      </c>
      <c r="M987" s="2">
        <v>500000</v>
      </c>
      <c r="N987" s="2">
        <v>500000</v>
      </c>
      <c r="O987" s="2"/>
      <c r="P987" s="2" t="str">
        <f t="shared" si="60"/>
        <v/>
      </c>
      <c r="Q987" s="2"/>
      <c r="R987" s="2"/>
      <c r="S987" s="48"/>
      <c r="T987" s="2">
        <v>6000000</v>
      </c>
      <c r="U987" s="2">
        <v>0</v>
      </c>
      <c r="V987" s="1" t="s">
        <v>3812</v>
      </c>
      <c r="W987" s="6" t="s">
        <v>3813</v>
      </c>
      <c r="X987" s="1" t="s">
        <v>3288</v>
      </c>
      <c r="Y987" s="3">
        <v>500000</v>
      </c>
      <c r="Z987" s="3">
        <v>500000</v>
      </c>
      <c r="AA987" s="3">
        <v>500000</v>
      </c>
      <c r="AB987" s="3">
        <v>500000</v>
      </c>
      <c r="AC987" s="3">
        <v>500000</v>
      </c>
      <c r="AD987" s="3">
        <v>500000</v>
      </c>
      <c r="AE987" s="3">
        <v>500000</v>
      </c>
      <c r="AF987" s="3">
        <v>500000</v>
      </c>
      <c r="AG987" s="3">
        <v>500000</v>
      </c>
      <c r="AH987" s="3">
        <v>500000</v>
      </c>
      <c r="AI987" s="3">
        <v>500000</v>
      </c>
      <c r="AJ987" s="3">
        <v>500000</v>
      </c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>
        <f t="shared" si="61"/>
        <v>6000000</v>
      </c>
      <c r="AX987" s="3">
        <f t="shared" si="62"/>
        <v>0</v>
      </c>
      <c r="AY987" s="4">
        <f t="shared" si="63"/>
        <v>12</v>
      </c>
      <c r="AZ987" s="8" t="s">
        <v>5628</v>
      </c>
      <c r="BA987" s="4" t="s">
        <v>5726</v>
      </c>
      <c r="BB987" s="2"/>
      <c r="BC987" s="3"/>
      <c r="BD987" s="4"/>
    </row>
    <row r="988" spans="1:56" ht="16.8" customHeight="1">
      <c r="A988" s="1">
        <v>987</v>
      </c>
      <c r="B988" s="1" t="s">
        <v>3175</v>
      </c>
      <c r="C988" s="1" t="s">
        <v>3654</v>
      </c>
      <c r="D988" s="1" t="s">
        <v>3814</v>
      </c>
      <c r="E988" s="1" t="s">
        <v>3814</v>
      </c>
      <c r="F988" s="1" t="s">
        <v>3815</v>
      </c>
      <c r="G988" s="1" t="s">
        <v>3816</v>
      </c>
      <c r="H988" s="1" t="s">
        <v>5361</v>
      </c>
      <c r="I988" s="18" t="s">
        <v>4783</v>
      </c>
      <c r="J988" s="18" t="s">
        <v>5074</v>
      </c>
      <c r="K988" s="18" t="s">
        <v>4742</v>
      </c>
      <c r="L988" s="18" t="s">
        <v>4734</v>
      </c>
      <c r="M988" s="2">
        <v>300000</v>
      </c>
      <c r="N988" s="2">
        <v>300000</v>
      </c>
      <c r="O988" s="2"/>
      <c r="P988" s="2" t="str">
        <f t="shared" si="60"/>
        <v/>
      </c>
      <c r="Q988" s="2"/>
      <c r="R988" s="2"/>
      <c r="S988" s="48"/>
      <c r="T988" s="2">
        <v>3600000</v>
      </c>
      <c r="U988" s="2">
        <v>0</v>
      </c>
      <c r="V988" s="1"/>
      <c r="W988" s="6"/>
      <c r="X988" s="1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>
        <f t="shared" si="61"/>
        <v>0</v>
      </c>
      <c r="AX988" s="3">
        <f t="shared" si="62"/>
        <v>0</v>
      </c>
      <c r="AY988" s="4">
        <f t="shared" si="63"/>
        <v>0</v>
      </c>
      <c r="AZ988" s="8" t="s">
        <v>5553</v>
      </c>
      <c r="BA988" s="4" t="s">
        <v>5726</v>
      </c>
      <c r="BB988" s="2"/>
      <c r="BC988" s="3"/>
      <c r="BD988" s="4"/>
    </row>
    <row r="989" spans="1:56" ht="16.8" customHeight="1">
      <c r="A989" s="1">
        <v>988</v>
      </c>
      <c r="B989" s="1" t="s">
        <v>3175</v>
      </c>
      <c r="C989" s="1" t="s">
        <v>3654</v>
      </c>
      <c r="D989" s="1" t="s">
        <v>3817</v>
      </c>
      <c r="E989" s="1" t="s">
        <v>3817</v>
      </c>
      <c r="F989" s="1" t="s">
        <v>3818</v>
      </c>
      <c r="G989" s="1" t="s">
        <v>3819</v>
      </c>
      <c r="H989" s="1" t="s">
        <v>4672</v>
      </c>
      <c r="I989" s="18" t="s">
        <v>4783</v>
      </c>
      <c r="J989" s="18" t="s">
        <v>5132</v>
      </c>
      <c r="K989" s="18" t="s">
        <v>4752</v>
      </c>
      <c r="L989" s="18" t="s">
        <v>4734</v>
      </c>
      <c r="M989" s="2">
        <v>1500000</v>
      </c>
      <c r="N989" s="2">
        <v>1500000</v>
      </c>
      <c r="O989" s="2"/>
      <c r="P989" s="2" t="str">
        <f t="shared" si="60"/>
        <v/>
      </c>
      <c r="Q989" s="2"/>
      <c r="R989" s="2"/>
      <c r="S989" s="48"/>
      <c r="T989" s="2">
        <v>9000000</v>
      </c>
      <c r="U989" s="2">
        <v>0</v>
      </c>
      <c r="V989" s="1" t="s">
        <v>3820</v>
      </c>
      <c r="W989" s="6" t="s">
        <v>3821</v>
      </c>
      <c r="X989" s="1" t="s">
        <v>3435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>
        <v>1500000</v>
      </c>
      <c r="AI989" s="3">
        <v>1500000</v>
      </c>
      <c r="AJ989" s="3">
        <v>1500000</v>
      </c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>
        <f t="shared" si="61"/>
        <v>4500000</v>
      </c>
      <c r="AX989" s="3">
        <f t="shared" si="62"/>
        <v>0</v>
      </c>
      <c r="AY989" s="4">
        <f t="shared" si="63"/>
        <v>3</v>
      </c>
      <c r="AZ989" s="8" t="s">
        <v>5629</v>
      </c>
      <c r="BA989" s="4" t="s">
        <v>5726</v>
      </c>
      <c r="BB989" s="2"/>
      <c r="BC989" s="3"/>
      <c r="BD989" s="4"/>
    </row>
    <row r="990" spans="1:56" ht="16.8" customHeight="1">
      <c r="A990" s="1">
        <v>989</v>
      </c>
      <c r="B990" s="1" t="s">
        <v>3175</v>
      </c>
      <c r="C990" s="1" t="s">
        <v>3654</v>
      </c>
      <c r="D990" s="1" t="s">
        <v>3822</v>
      </c>
      <c r="E990" s="1" t="s">
        <v>3822</v>
      </c>
      <c r="F990" s="1" t="s">
        <v>3823</v>
      </c>
      <c r="G990" s="1" t="s">
        <v>3824</v>
      </c>
      <c r="H990" s="1" t="s">
        <v>4673</v>
      </c>
      <c r="I990" s="18" t="s">
        <v>4783</v>
      </c>
      <c r="J990" s="18" t="s">
        <v>5074</v>
      </c>
      <c r="K990" s="18" t="s">
        <v>4755</v>
      </c>
      <c r="L990" s="18" t="s">
        <v>4734</v>
      </c>
      <c r="M990" s="2">
        <v>250000</v>
      </c>
      <c r="N990" s="2">
        <v>250000</v>
      </c>
      <c r="O990" s="2"/>
      <c r="P990" s="2" t="str">
        <f t="shared" si="60"/>
        <v/>
      </c>
      <c r="Q990" s="2"/>
      <c r="R990" s="2"/>
      <c r="S990" s="48"/>
      <c r="T990" s="2">
        <v>3000000</v>
      </c>
      <c r="U990" s="2">
        <v>0</v>
      </c>
      <c r="V990" s="1" t="s">
        <v>3824</v>
      </c>
      <c r="W990" s="6" t="s">
        <v>3825</v>
      </c>
      <c r="X990" s="1" t="s">
        <v>3435</v>
      </c>
      <c r="Y990" s="3">
        <v>250000</v>
      </c>
      <c r="Z990" s="3">
        <v>250000</v>
      </c>
      <c r="AA990" s="3">
        <v>250000</v>
      </c>
      <c r="AB990" s="3">
        <v>250000</v>
      </c>
      <c r="AC990" s="3">
        <v>250000</v>
      </c>
      <c r="AD990" s="3">
        <v>250000</v>
      </c>
      <c r="AE990" s="3">
        <v>250000</v>
      </c>
      <c r="AF990" s="3">
        <v>250000</v>
      </c>
      <c r="AG990" s="3">
        <v>250000</v>
      </c>
      <c r="AH990" s="3">
        <v>250000</v>
      </c>
      <c r="AI990" s="3">
        <v>250000</v>
      </c>
      <c r="AJ990" s="3">
        <v>250000</v>
      </c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>
        <f t="shared" si="61"/>
        <v>3000000</v>
      </c>
      <c r="AX990" s="3">
        <f t="shared" si="62"/>
        <v>0</v>
      </c>
      <c r="AY990" s="4">
        <f t="shared" si="63"/>
        <v>12</v>
      </c>
      <c r="AZ990" s="8" t="s">
        <v>5553</v>
      </c>
      <c r="BA990" s="4" t="s">
        <v>5726</v>
      </c>
      <c r="BB990" s="2"/>
      <c r="BC990" s="3"/>
      <c r="BD990" s="4"/>
    </row>
    <row r="991" spans="1:56" ht="16.8" customHeight="1">
      <c r="A991" s="1">
        <v>990</v>
      </c>
      <c r="B991" s="1" t="s">
        <v>3175</v>
      </c>
      <c r="C991" s="1" t="s">
        <v>3654</v>
      </c>
      <c r="D991" s="1" t="s">
        <v>3826</v>
      </c>
      <c r="E991" s="1" t="s">
        <v>3826</v>
      </c>
      <c r="F991" s="1" t="s">
        <v>3827</v>
      </c>
      <c r="G991" s="1" t="s">
        <v>3828</v>
      </c>
      <c r="H991" s="1" t="s">
        <v>5362</v>
      </c>
      <c r="I991" s="18" t="s">
        <v>4783</v>
      </c>
      <c r="J991" s="18" t="s">
        <v>5132</v>
      </c>
      <c r="K991" s="18" t="s">
        <v>4752</v>
      </c>
      <c r="L991" s="18" t="s">
        <v>4734</v>
      </c>
      <c r="M991" s="2">
        <v>416667</v>
      </c>
      <c r="N991" s="2">
        <v>416667</v>
      </c>
      <c r="O991" s="2"/>
      <c r="P991" s="2" t="str">
        <f t="shared" si="60"/>
        <v/>
      </c>
      <c r="Q991" s="2"/>
      <c r="R991" s="2"/>
      <c r="S991" s="48"/>
      <c r="T991" s="2">
        <v>2500000</v>
      </c>
      <c r="U991" s="2">
        <v>0</v>
      </c>
      <c r="V991" s="1" t="s">
        <v>3828</v>
      </c>
      <c r="W991" s="6" t="s">
        <v>3829</v>
      </c>
      <c r="X991" s="1" t="s">
        <v>3830</v>
      </c>
      <c r="Y991" s="3"/>
      <c r="Z991" s="3"/>
      <c r="AA991" s="3"/>
      <c r="AB991" s="3"/>
      <c r="AC991" s="3"/>
      <c r="AD991" s="3"/>
      <c r="AE991" s="3">
        <v>416667</v>
      </c>
      <c r="AF991" s="3">
        <v>416667</v>
      </c>
      <c r="AG991" s="3">
        <v>416667</v>
      </c>
      <c r="AH991" s="3">
        <v>416667</v>
      </c>
      <c r="AI991" s="3">
        <v>416667</v>
      </c>
      <c r="AJ991" s="3">
        <v>416665</v>
      </c>
      <c r="AK991" s="46">
        <v>416667</v>
      </c>
      <c r="AL991" s="46">
        <v>416667</v>
      </c>
      <c r="AM991" s="46">
        <v>416667</v>
      </c>
      <c r="AN991" s="46">
        <v>416667</v>
      </c>
      <c r="AO991" s="46">
        <v>416667</v>
      </c>
      <c r="AP991" s="46">
        <v>416667</v>
      </c>
      <c r="AQ991" s="46">
        <v>416667</v>
      </c>
      <c r="AR991" s="46">
        <v>416667</v>
      </c>
      <c r="AS991" s="46">
        <v>416667</v>
      </c>
      <c r="AT991" s="46">
        <v>416667</v>
      </c>
      <c r="AU991" s="46">
        <v>416667</v>
      </c>
      <c r="AV991" s="46">
        <v>416667</v>
      </c>
      <c r="AW991" s="3">
        <f t="shared" si="61"/>
        <v>2500000</v>
      </c>
      <c r="AX991" s="3">
        <f t="shared" si="62"/>
        <v>5000004</v>
      </c>
      <c r="AY991" s="4">
        <f t="shared" si="63"/>
        <v>18</v>
      </c>
      <c r="AZ991" s="8" t="s">
        <v>5630</v>
      </c>
      <c r="BA991" s="4" t="s">
        <v>5709</v>
      </c>
      <c r="BB991" s="2"/>
      <c r="BC991" s="3"/>
      <c r="BD991" s="3"/>
    </row>
    <row r="992" spans="1:56" s="33" customFormat="1" ht="16.8" customHeight="1">
      <c r="A992" s="29">
        <v>991</v>
      </c>
      <c r="B992" s="29" t="s">
        <v>3175</v>
      </c>
      <c r="C992" s="29" t="s">
        <v>3654</v>
      </c>
      <c r="D992" s="29" t="s">
        <v>3831</v>
      </c>
      <c r="E992" s="29" t="s">
        <v>3831</v>
      </c>
      <c r="F992" s="1" t="s">
        <v>3832</v>
      </c>
      <c r="G992" s="1" t="s">
        <v>3833</v>
      </c>
      <c r="H992" s="1" t="s">
        <v>4674</v>
      </c>
      <c r="I992" s="18" t="s">
        <v>4783</v>
      </c>
      <c r="J992" s="18" t="s">
        <v>5132</v>
      </c>
      <c r="K992" s="18" t="s">
        <v>4742</v>
      </c>
      <c r="L992" s="18" t="s">
        <v>4734</v>
      </c>
      <c r="M992" s="30">
        <v>1000000</v>
      </c>
      <c r="N992" s="30">
        <v>1500000</v>
      </c>
      <c r="O992" s="30">
        <v>1500000</v>
      </c>
      <c r="P992" s="2">
        <f t="shared" si="60"/>
        <v>500000</v>
      </c>
      <c r="Q992" s="2"/>
      <c r="R992" s="2"/>
      <c r="S992" s="48"/>
      <c r="T992" s="2">
        <v>6000000</v>
      </c>
      <c r="U992" s="2">
        <v>0</v>
      </c>
      <c r="V992" s="1" t="s">
        <v>3833</v>
      </c>
      <c r="W992" s="6" t="s">
        <v>3834</v>
      </c>
      <c r="X992" s="1" t="s">
        <v>3288</v>
      </c>
      <c r="Y992" s="3"/>
      <c r="Z992" s="3"/>
      <c r="AA992" s="3"/>
      <c r="AB992" s="3"/>
      <c r="AC992" s="3"/>
      <c r="AD992" s="3"/>
      <c r="AE992" s="3">
        <v>1000000</v>
      </c>
      <c r="AF992" s="3">
        <v>1000000</v>
      </c>
      <c r="AG992" s="3">
        <v>1000000</v>
      </c>
      <c r="AH992" s="3">
        <v>1000000</v>
      </c>
      <c r="AI992" s="3">
        <v>1000000</v>
      </c>
      <c r="AJ992" s="3">
        <v>1000000</v>
      </c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>
        <f t="shared" si="61"/>
        <v>6000000</v>
      </c>
      <c r="AX992" s="31">
        <f t="shared" si="62"/>
        <v>0</v>
      </c>
      <c r="AY992" s="32">
        <f t="shared" si="63"/>
        <v>6</v>
      </c>
      <c r="AZ992" s="33" t="s">
        <v>5631</v>
      </c>
      <c r="BA992" s="4" t="s">
        <v>5726</v>
      </c>
      <c r="BB992" s="30"/>
      <c r="BC992" s="3"/>
      <c r="BD992" s="32"/>
    </row>
    <row r="993" spans="1:57" ht="16.8" customHeight="1">
      <c r="A993" s="1">
        <v>992</v>
      </c>
      <c r="B993" s="1" t="s">
        <v>3175</v>
      </c>
      <c r="C993" s="1" t="s">
        <v>3654</v>
      </c>
      <c r="D993" s="1" t="s">
        <v>3835</v>
      </c>
      <c r="E993" s="1" t="s">
        <v>3835</v>
      </c>
      <c r="F993" s="1" t="s">
        <v>3836</v>
      </c>
      <c r="G993" s="1" t="s">
        <v>3837</v>
      </c>
      <c r="H993" s="1" t="s">
        <v>4675</v>
      </c>
      <c r="I993" s="18" t="s">
        <v>4783</v>
      </c>
      <c r="J993" s="18" t="s">
        <v>5363</v>
      </c>
      <c r="K993" s="18" t="s">
        <v>4742</v>
      </c>
      <c r="L993" s="18" t="s">
        <v>4734</v>
      </c>
      <c r="M993" s="2">
        <v>1000000</v>
      </c>
      <c r="N993" s="2">
        <v>1000000</v>
      </c>
      <c r="O993" s="2"/>
      <c r="P993" s="2" t="str">
        <f t="shared" si="60"/>
        <v/>
      </c>
      <c r="Q993" s="2"/>
      <c r="R993" s="2"/>
      <c r="S993" s="48"/>
      <c r="T993" s="2">
        <v>13000000</v>
      </c>
      <c r="U993" s="2">
        <v>0</v>
      </c>
      <c r="V993" s="1" t="s">
        <v>3838</v>
      </c>
      <c r="W993" s="6" t="s">
        <v>3839</v>
      </c>
      <c r="X993" s="1" t="s">
        <v>3257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>
        <f t="shared" si="61"/>
        <v>0</v>
      </c>
      <c r="AX993" s="3">
        <f t="shared" si="62"/>
        <v>0</v>
      </c>
      <c r="AY993" s="4">
        <f t="shared" si="63"/>
        <v>0</v>
      </c>
      <c r="AZ993" s="8">
        <v>0</v>
      </c>
      <c r="BA993" s="4" t="s">
        <v>5726</v>
      </c>
      <c r="BB993" s="2"/>
      <c r="BC993" s="3"/>
      <c r="BD993" s="4"/>
    </row>
    <row r="994" spans="1:57" ht="16.8" customHeight="1">
      <c r="A994" s="1">
        <v>993</v>
      </c>
      <c r="B994" s="1" t="s">
        <v>3175</v>
      </c>
      <c r="C994" s="1" t="s">
        <v>3654</v>
      </c>
      <c r="D994" s="1" t="s">
        <v>3840</v>
      </c>
      <c r="E994" s="1" t="s">
        <v>3840</v>
      </c>
      <c r="F994" s="1" t="s">
        <v>3841</v>
      </c>
      <c r="G994" s="1" t="s">
        <v>3842</v>
      </c>
      <c r="H994" s="1" t="s">
        <v>5043</v>
      </c>
      <c r="I994" s="18"/>
      <c r="J994" s="18"/>
      <c r="K994" s="18"/>
      <c r="L994" s="18"/>
      <c r="M994" s="2">
        <v>1000000</v>
      </c>
      <c r="N994" s="2">
        <v>1000000</v>
      </c>
      <c r="O994" s="2"/>
      <c r="P994" s="2" t="str">
        <f t="shared" si="60"/>
        <v/>
      </c>
      <c r="Q994" s="2"/>
      <c r="R994" s="2"/>
      <c r="S994" s="48"/>
      <c r="T994" s="2">
        <v>0</v>
      </c>
      <c r="U994" s="2">
        <v>12000000</v>
      </c>
      <c r="V994" s="1"/>
      <c r="W994" s="6"/>
      <c r="X994" s="1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>
        <f t="shared" si="61"/>
        <v>0</v>
      </c>
      <c r="AX994" s="3">
        <f t="shared" si="62"/>
        <v>0</v>
      </c>
      <c r="AY994" s="4">
        <f t="shared" si="63"/>
        <v>0</v>
      </c>
      <c r="BA994" s="4" t="s">
        <v>5726</v>
      </c>
      <c r="BB994" s="2"/>
      <c r="BC994" s="3"/>
      <c r="BD994" s="4"/>
    </row>
    <row r="995" spans="1:57" ht="16.8" customHeight="1">
      <c r="A995" s="1">
        <v>994</v>
      </c>
      <c r="B995" s="1" t="s">
        <v>3175</v>
      </c>
      <c r="C995" s="1" t="s">
        <v>3654</v>
      </c>
      <c r="D995" s="1" t="s">
        <v>3843</v>
      </c>
      <c r="E995" s="1" t="s">
        <v>3843</v>
      </c>
      <c r="F995" s="1" t="s">
        <v>3844</v>
      </c>
      <c r="G995" s="1" t="s">
        <v>3845</v>
      </c>
      <c r="H995" s="1" t="s">
        <v>4676</v>
      </c>
      <c r="I995" s="18" t="s">
        <v>4783</v>
      </c>
      <c r="J995" s="18" t="s">
        <v>5132</v>
      </c>
      <c r="K995" s="18" t="s">
        <v>4742</v>
      </c>
      <c r="L995" s="18" t="s">
        <v>4734</v>
      </c>
      <c r="M995" s="2">
        <v>3000000</v>
      </c>
      <c r="N995" s="2">
        <v>3000000</v>
      </c>
      <c r="O995" s="2"/>
      <c r="P995" s="2" t="str">
        <f t="shared" si="60"/>
        <v/>
      </c>
      <c r="Q995" s="2"/>
      <c r="R995" s="2"/>
      <c r="S995" s="48"/>
      <c r="T995" s="2">
        <v>18000000</v>
      </c>
      <c r="U995" s="2">
        <v>0</v>
      </c>
      <c r="V995" s="1" t="s">
        <v>3846</v>
      </c>
      <c r="W995" s="6" t="s">
        <v>3847</v>
      </c>
      <c r="X995" s="1" t="s">
        <v>3257</v>
      </c>
      <c r="Y995" s="3"/>
      <c r="Z995" s="3"/>
      <c r="AA995" s="3"/>
      <c r="AB995" s="3"/>
      <c r="AC995" s="3"/>
      <c r="AD995" s="3"/>
      <c r="AE995" s="3">
        <v>3000000</v>
      </c>
      <c r="AF995" s="3">
        <v>3000000</v>
      </c>
      <c r="AG995" s="3">
        <v>3000000</v>
      </c>
      <c r="AH995" s="3">
        <v>3000000</v>
      </c>
      <c r="AI995" s="3">
        <v>3000000</v>
      </c>
      <c r="AJ995" s="3">
        <v>3000000</v>
      </c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>
        <f t="shared" si="61"/>
        <v>18000000</v>
      </c>
      <c r="AX995" s="3">
        <f t="shared" si="62"/>
        <v>0</v>
      </c>
      <c r="AY995" s="4">
        <f t="shared" si="63"/>
        <v>6</v>
      </c>
      <c r="AZ995" s="8">
        <v>0</v>
      </c>
      <c r="BA995" s="4" t="s">
        <v>5726</v>
      </c>
      <c r="BB995" s="2"/>
      <c r="BC995" s="3"/>
      <c r="BD995" s="4"/>
    </row>
    <row r="996" spans="1:57" ht="16.8" customHeight="1">
      <c r="A996" s="1">
        <v>995</v>
      </c>
      <c r="B996" s="1" t="s">
        <v>3175</v>
      </c>
      <c r="C996" s="1" t="s">
        <v>3654</v>
      </c>
      <c r="D996" s="1" t="s">
        <v>3848</v>
      </c>
      <c r="E996" s="1" t="s">
        <v>3848</v>
      </c>
      <c r="F996" s="1" t="s">
        <v>3849</v>
      </c>
      <c r="G996" s="1" t="s">
        <v>3850</v>
      </c>
      <c r="H996" s="1" t="s">
        <v>4677</v>
      </c>
      <c r="I996" s="18" t="s">
        <v>4783</v>
      </c>
      <c r="J996" s="18" t="s">
        <v>5018</v>
      </c>
      <c r="K996" s="18" t="s">
        <v>4742</v>
      </c>
      <c r="L996" s="18" t="s">
        <v>4734</v>
      </c>
      <c r="M996" s="2">
        <v>3100000</v>
      </c>
      <c r="N996" s="2">
        <v>3100000</v>
      </c>
      <c r="O996" s="2"/>
      <c r="P996" s="2" t="str">
        <f t="shared" si="60"/>
        <v/>
      </c>
      <c r="Q996" s="2"/>
      <c r="R996" s="2"/>
      <c r="S996" s="48"/>
      <c r="T996" s="2">
        <v>0</v>
      </c>
      <c r="U996" s="2">
        <v>0</v>
      </c>
      <c r="V996" s="1" t="s">
        <v>3850</v>
      </c>
      <c r="W996" s="6" t="s">
        <v>3851</v>
      </c>
      <c r="X996" s="1" t="s">
        <v>333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>
        <v>3100000</v>
      </c>
      <c r="AL996" s="3">
        <v>3100000</v>
      </c>
      <c r="AM996" s="3">
        <v>3100000</v>
      </c>
      <c r="AN996" s="3">
        <v>3100000</v>
      </c>
      <c r="AO996" s="3">
        <v>3100000</v>
      </c>
      <c r="AP996" s="3">
        <v>3100000</v>
      </c>
      <c r="AQ996" s="3"/>
      <c r="AR996" s="3"/>
      <c r="AS996" s="3"/>
      <c r="AT996" s="3"/>
      <c r="AU996" s="3"/>
      <c r="AV996" s="3"/>
      <c r="AW996" s="3">
        <f t="shared" si="61"/>
        <v>0</v>
      </c>
      <c r="AX996" s="3">
        <f t="shared" si="62"/>
        <v>18600000</v>
      </c>
      <c r="AY996" s="4">
        <f t="shared" si="63"/>
        <v>6</v>
      </c>
      <c r="AZ996" s="8">
        <v>0</v>
      </c>
      <c r="BA996" s="4" t="s">
        <v>5710</v>
      </c>
      <c r="BB996" s="2"/>
      <c r="BC996" s="3"/>
      <c r="BD996" s="4"/>
    </row>
    <row r="997" spans="1:57" s="33" customFormat="1" ht="16.8" customHeight="1">
      <c r="A997" s="29">
        <v>996</v>
      </c>
      <c r="B997" s="29" t="s">
        <v>3175</v>
      </c>
      <c r="C997" s="29" t="s">
        <v>3654</v>
      </c>
      <c r="D997" s="29" t="s">
        <v>3852</v>
      </c>
      <c r="E997" s="29" t="s">
        <v>3852</v>
      </c>
      <c r="F997" s="1" t="s">
        <v>3853</v>
      </c>
      <c r="G997" s="1" t="s">
        <v>3854</v>
      </c>
      <c r="H997" s="1" t="s">
        <v>4678</v>
      </c>
      <c r="I997" s="18" t="s">
        <v>4783</v>
      </c>
      <c r="J997" s="18" t="s">
        <v>5132</v>
      </c>
      <c r="K997" s="18" t="s">
        <v>4770</v>
      </c>
      <c r="L997" s="18" t="s">
        <v>4734</v>
      </c>
      <c r="M997" s="30">
        <v>3100000</v>
      </c>
      <c r="N997" s="30">
        <v>3410000</v>
      </c>
      <c r="O997" s="30">
        <v>3410000</v>
      </c>
      <c r="P997" s="2">
        <f t="shared" si="60"/>
        <v>310000</v>
      </c>
      <c r="Q997" s="2"/>
      <c r="R997" s="2"/>
      <c r="S997" s="48"/>
      <c r="T997" s="2">
        <v>18600000</v>
      </c>
      <c r="U997" s="2">
        <v>0</v>
      </c>
      <c r="V997" s="1" t="s">
        <v>3854</v>
      </c>
      <c r="W997" s="6" t="s">
        <v>3855</v>
      </c>
      <c r="X997" s="1" t="s">
        <v>3856</v>
      </c>
      <c r="Y997" s="3"/>
      <c r="Z997" s="3"/>
      <c r="AA997" s="3"/>
      <c r="AB997" s="3"/>
      <c r="AC997" s="3"/>
      <c r="AD997" s="3"/>
      <c r="AE997" s="3">
        <v>3100000</v>
      </c>
      <c r="AF997" s="3">
        <v>3100000</v>
      </c>
      <c r="AG997" s="3">
        <v>3100000</v>
      </c>
      <c r="AH997" s="3">
        <v>3100000</v>
      </c>
      <c r="AI997" s="3">
        <v>3100000</v>
      </c>
      <c r="AJ997" s="3">
        <v>3100000</v>
      </c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>
        <f t="shared" si="61"/>
        <v>18600000</v>
      </c>
      <c r="AX997" s="31">
        <f t="shared" si="62"/>
        <v>0</v>
      </c>
      <c r="AY997" s="32">
        <f t="shared" si="63"/>
        <v>6</v>
      </c>
      <c r="AZ997" s="33">
        <v>0</v>
      </c>
      <c r="BA997" s="4" t="s">
        <v>5726</v>
      </c>
      <c r="BB997" s="30"/>
      <c r="BC997" s="3"/>
      <c r="BD997" s="32"/>
    </row>
    <row r="998" spans="1:57" ht="16.8" customHeight="1">
      <c r="A998" s="1">
        <v>997</v>
      </c>
      <c r="B998" s="1" t="s">
        <v>3175</v>
      </c>
      <c r="C998" s="1" t="s">
        <v>3654</v>
      </c>
      <c r="D998" s="1" t="s">
        <v>3857</v>
      </c>
      <c r="E998" s="1" t="s">
        <v>3857</v>
      </c>
      <c r="F998" s="1" t="s">
        <v>3858</v>
      </c>
      <c r="G998" s="1" t="s">
        <v>3859</v>
      </c>
      <c r="H998" s="1" t="s">
        <v>4679</v>
      </c>
      <c r="I998" s="18" t="s">
        <v>4783</v>
      </c>
      <c r="J998" s="18" t="s">
        <v>5132</v>
      </c>
      <c r="K998" s="18" t="s">
        <v>4752</v>
      </c>
      <c r="L998" s="18" t="s">
        <v>4734</v>
      </c>
      <c r="M998" s="2">
        <v>3380000</v>
      </c>
      <c r="N998" s="2">
        <v>3380000</v>
      </c>
      <c r="O998" s="2"/>
      <c r="P998" s="2" t="str">
        <f t="shared" si="60"/>
        <v/>
      </c>
      <c r="Q998" s="2"/>
      <c r="R998" s="2"/>
      <c r="S998" s="48"/>
      <c r="T998" s="2">
        <v>20280000</v>
      </c>
      <c r="U998" s="2">
        <v>0</v>
      </c>
      <c r="V998" s="1" t="s">
        <v>3860</v>
      </c>
      <c r="W998" s="6" t="s">
        <v>3861</v>
      </c>
      <c r="X998" s="1" t="s">
        <v>333</v>
      </c>
      <c r="Y998" s="3"/>
      <c r="Z998" s="3"/>
      <c r="AA998" s="3"/>
      <c r="AB998" s="3"/>
      <c r="AC998" s="3"/>
      <c r="AD998" s="3"/>
      <c r="AE998" s="3">
        <v>3380000</v>
      </c>
      <c r="AF998" s="3">
        <v>3380000</v>
      </c>
      <c r="AG998" s="3">
        <v>3380000</v>
      </c>
      <c r="AH998" s="3">
        <v>3380000</v>
      </c>
      <c r="AI998" s="3">
        <v>3380000</v>
      </c>
      <c r="AJ998" s="3">
        <v>3380000</v>
      </c>
      <c r="AK998" s="3">
        <v>3380000</v>
      </c>
      <c r="AL998" s="3">
        <v>3380000</v>
      </c>
      <c r="AM998" s="3">
        <v>3380000</v>
      </c>
      <c r="AN998" s="3">
        <v>3380000</v>
      </c>
      <c r="AO998" s="3">
        <v>3380000</v>
      </c>
      <c r="AP998" s="3">
        <v>3380000</v>
      </c>
      <c r="AQ998" s="3"/>
      <c r="AR998" s="3"/>
      <c r="AS998" s="3"/>
      <c r="AT998" s="3"/>
      <c r="AU998" s="3"/>
      <c r="AV998" s="3"/>
      <c r="AW998" s="3">
        <f t="shared" si="61"/>
        <v>20280000</v>
      </c>
      <c r="AX998" s="3">
        <f t="shared" si="62"/>
        <v>20280000</v>
      </c>
      <c r="AY998" s="4">
        <f t="shared" si="63"/>
        <v>12</v>
      </c>
      <c r="AZ998" s="8">
        <v>0</v>
      </c>
      <c r="BA998" s="4" t="s">
        <v>5726</v>
      </c>
      <c r="BB998" s="2"/>
      <c r="BC998" s="3"/>
      <c r="BD998" s="3"/>
    </row>
    <row r="999" spans="1:57" s="33" customFormat="1" ht="16.8" customHeight="1">
      <c r="A999" s="29">
        <v>998</v>
      </c>
      <c r="B999" s="29" t="s">
        <v>3175</v>
      </c>
      <c r="C999" s="29" t="s">
        <v>3654</v>
      </c>
      <c r="D999" s="29" t="s">
        <v>3862</v>
      </c>
      <c r="E999" s="29" t="s">
        <v>3862</v>
      </c>
      <c r="F999" s="1" t="s">
        <v>3863</v>
      </c>
      <c r="G999" s="1" t="s">
        <v>3864</v>
      </c>
      <c r="H999" s="1" t="s">
        <v>4680</v>
      </c>
      <c r="I999" s="18" t="s">
        <v>4783</v>
      </c>
      <c r="J999" s="18" t="s">
        <v>5132</v>
      </c>
      <c r="K999" s="18" t="s">
        <v>4752</v>
      </c>
      <c r="L999" s="18" t="s">
        <v>4734</v>
      </c>
      <c r="M999" s="30">
        <v>3600000</v>
      </c>
      <c r="N999" s="30">
        <v>3960000</v>
      </c>
      <c r="O999" s="30">
        <v>3960000</v>
      </c>
      <c r="P999" s="2">
        <f t="shared" si="60"/>
        <v>360000</v>
      </c>
      <c r="Q999" s="2"/>
      <c r="R999" s="2"/>
      <c r="S999" s="48"/>
      <c r="T999" s="2">
        <v>21600000</v>
      </c>
      <c r="U999" s="2">
        <v>0</v>
      </c>
      <c r="V999" s="1" t="s">
        <v>3864</v>
      </c>
      <c r="W999" s="6" t="s">
        <v>3865</v>
      </c>
      <c r="X999" s="1" t="s">
        <v>3257</v>
      </c>
      <c r="Y999" s="3"/>
      <c r="Z999" s="3"/>
      <c r="AA999" s="3"/>
      <c r="AB999" s="3"/>
      <c r="AC999" s="3"/>
      <c r="AD999" s="3"/>
      <c r="AE999" s="3">
        <v>3600000</v>
      </c>
      <c r="AF999" s="3">
        <v>3600000</v>
      </c>
      <c r="AG999" s="3">
        <v>3600000</v>
      </c>
      <c r="AH999" s="3">
        <v>3600000</v>
      </c>
      <c r="AI999" s="3">
        <v>3600000</v>
      </c>
      <c r="AJ999" s="3">
        <v>3600000</v>
      </c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>
        <f t="shared" si="61"/>
        <v>21600000</v>
      </c>
      <c r="AX999" s="31">
        <f t="shared" si="62"/>
        <v>0</v>
      </c>
      <c r="AY999" s="32">
        <f t="shared" si="63"/>
        <v>6</v>
      </c>
      <c r="AZ999" s="33">
        <v>0</v>
      </c>
      <c r="BA999" s="4" t="s">
        <v>5726</v>
      </c>
      <c r="BB999" s="30"/>
      <c r="BC999" s="3"/>
      <c r="BD999" s="32"/>
    </row>
    <row r="1000" spans="1:57" ht="16.8" customHeight="1">
      <c r="A1000" s="1">
        <v>999</v>
      </c>
      <c r="B1000" s="1" t="s">
        <v>3175</v>
      </c>
      <c r="C1000" s="1" t="s">
        <v>3654</v>
      </c>
      <c r="D1000" s="1" t="s">
        <v>3866</v>
      </c>
      <c r="E1000" s="1" t="s">
        <v>3866</v>
      </c>
      <c r="F1000" s="1" t="s">
        <v>3867</v>
      </c>
      <c r="G1000" s="1" t="s">
        <v>3868</v>
      </c>
      <c r="H1000" s="1" t="s">
        <v>5043</v>
      </c>
      <c r="I1000" s="18"/>
      <c r="J1000" s="18"/>
      <c r="K1000" s="18"/>
      <c r="L1000" s="18"/>
      <c r="M1000" s="2">
        <v>3100000</v>
      </c>
      <c r="N1000" s="2">
        <v>3100000</v>
      </c>
      <c r="O1000" s="2"/>
      <c r="P1000" s="2" t="str">
        <f t="shared" si="60"/>
        <v/>
      </c>
      <c r="Q1000" s="2"/>
      <c r="R1000" s="2"/>
      <c r="S1000" s="48"/>
      <c r="T1000" s="2">
        <v>0</v>
      </c>
      <c r="U1000" s="2">
        <v>0</v>
      </c>
      <c r="V1000" s="1"/>
      <c r="W1000" s="6"/>
      <c r="X1000" s="1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>
        <f t="shared" si="61"/>
        <v>0</v>
      </c>
      <c r="AX1000" s="3">
        <f t="shared" si="62"/>
        <v>0</v>
      </c>
      <c r="AY1000" s="4">
        <f t="shared" si="63"/>
        <v>0</v>
      </c>
      <c r="BA1000" s="4" t="s">
        <v>5726</v>
      </c>
      <c r="BB1000" s="2"/>
      <c r="BC1000" s="3"/>
      <c r="BD1000" s="4"/>
    </row>
    <row r="1001" spans="1:57" ht="16.8" customHeight="1">
      <c r="A1001" s="1">
        <v>1000</v>
      </c>
      <c r="B1001" s="1" t="s">
        <v>3175</v>
      </c>
      <c r="C1001" s="1" t="s">
        <v>3654</v>
      </c>
      <c r="D1001" s="1" t="s">
        <v>3869</v>
      </c>
      <c r="E1001" s="1" t="s">
        <v>3869</v>
      </c>
      <c r="F1001" s="1" t="s">
        <v>3870</v>
      </c>
      <c r="G1001" s="1" t="s">
        <v>3871</v>
      </c>
      <c r="H1001" s="1" t="s">
        <v>4681</v>
      </c>
      <c r="I1001" s="18" t="s">
        <v>4783</v>
      </c>
      <c r="J1001" s="18" t="s">
        <v>5132</v>
      </c>
      <c r="K1001" s="18" t="s">
        <v>4741</v>
      </c>
      <c r="L1001" s="18" t="s">
        <v>4734</v>
      </c>
      <c r="M1001" s="2">
        <v>3380000</v>
      </c>
      <c r="N1001" s="2">
        <v>3380000</v>
      </c>
      <c r="O1001" s="2"/>
      <c r="P1001" s="2" t="str">
        <f t="shared" si="60"/>
        <v/>
      </c>
      <c r="Q1001" s="2"/>
      <c r="R1001" s="2"/>
      <c r="S1001" s="48"/>
      <c r="T1001" s="2">
        <v>20280000</v>
      </c>
      <c r="U1001" s="2">
        <v>0</v>
      </c>
      <c r="V1001" s="1" t="s">
        <v>3871</v>
      </c>
      <c r="W1001" s="6" t="s">
        <v>3872</v>
      </c>
      <c r="X1001" s="1" t="s">
        <v>3257</v>
      </c>
      <c r="Y1001" s="3"/>
      <c r="Z1001" s="3"/>
      <c r="AA1001" s="3"/>
      <c r="AB1001" s="3"/>
      <c r="AC1001" s="3"/>
      <c r="AD1001" s="3"/>
      <c r="AE1001" s="3">
        <v>3380000</v>
      </c>
      <c r="AF1001" s="3">
        <v>3380000</v>
      </c>
      <c r="AG1001" s="3">
        <v>3380000</v>
      </c>
      <c r="AH1001" s="3">
        <v>3380000</v>
      </c>
      <c r="AI1001" s="3">
        <v>3380000</v>
      </c>
      <c r="AJ1001" s="3">
        <v>3380000</v>
      </c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>
        <f t="shared" si="61"/>
        <v>20280000</v>
      </c>
      <c r="AX1001" s="3">
        <f t="shared" si="62"/>
        <v>0</v>
      </c>
      <c r="AY1001" s="4">
        <f t="shared" si="63"/>
        <v>6</v>
      </c>
      <c r="AZ1001" s="8">
        <v>0</v>
      </c>
      <c r="BA1001" s="4" t="s">
        <v>5726</v>
      </c>
      <c r="BB1001" s="2"/>
      <c r="BC1001" s="3"/>
      <c r="BD1001" s="4"/>
    </row>
    <row r="1002" spans="1:57" s="26" customFormat="1" ht="16.8" customHeight="1">
      <c r="A1002" s="20">
        <v>1001</v>
      </c>
      <c r="B1002" s="20" t="s">
        <v>3175</v>
      </c>
      <c r="C1002" s="20" t="s">
        <v>3654</v>
      </c>
      <c r="D1002" s="20" t="s">
        <v>3873</v>
      </c>
      <c r="E1002" s="20" t="s">
        <v>3873</v>
      </c>
      <c r="F1002" s="20" t="s">
        <v>3874</v>
      </c>
      <c r="G1002" s="20" t="s">
        <v>3875</v>
      </c>
      <c r="H1002" s="20" t="s">
        <v>4682</v>
      </c>
      <c r="I1002" s="21" t="s">
        <v>4783</v>
      </c>
      <c r="J1002" s="21" t="s">
        <v>5132</v>
      </c>
      <c r="K1002" s="21" t="s">
        <v>4752</v>
      </c>
      <c r="L1002" s="21" t="s">
        <v>4734</v>
      </c>
      <c r="M1002" s="22">
        <v>3100000</v>
      </c>
      <c r="N1002" s="22">
        <v>3100000</v>
      </c>
      <c r="O1002" s="22">
        <v>3410000</v>
      </c>
      <c r="P1002" s="22" t="str">
        <f t="shared" si="60"/>
        <v/>
      </c>
      <c r="Q1002" s="2"/>
      <c r="R1002" s="2"/>
      <c r="S1002" s="48"/>
      <c r="T1002" s="22">
        <v>18600000</v>
      </c>
      <c r="U1002" s="22">
        <v>0</v>
      </c>
      <c r="V1002" s="20" t="s">
        <v>3875</v>
      </c>
      <c r="W1002" s="23" t="s">
        <v>3876</v>
      </c>
      <c r="X1002" s="20" t="s">
        <v>333</v>
      </c>
      <c r="Y1002" s="24"/>
      <c r="Z1002" s="24"/>
      <c r="AA1002" s="24"/>
      <c r="AB1002" s="24"/>
      <c r="AC1002" s="24"/>
      <c r="AD1002" s="24"/>
      <c r="AE1002" s="24">
        <v>3100000</v>
      </c>
      <c r="AF1002" s="24">
        <v>3100000</v>
      </c>
      <c r="AG1002" s="24">
        <v>3100000</v>
      </c>
      <c r="AH1002" s="24">
        <v>3100000</v>
      </c>
      <c r="AI1002" s="24">
        <v>3100000</v>
      </c>
      <c r="AJ1002" s="24">
        <v>3100000</v>
      </c>
      <c r="AK1002" s="24">
        <v>3100000</v>
      </c>
      <c r="AL1002" s="24">
        <v>3100000</v>
      </c>
      <c r="AM1002" s="24">
        <v>3100000</v>
      </c>
      <c r="AN1002" s="24">
        <v>3100000</v>
      </c>
      <c r="AO1002" s="24">
        <v>3100000</v>
      </c>
      <c r="AP1002" s="24">
        <v>3100000</v>
      </c>
      <c r="AQ1002" s="24">
        <v>3100000</v>
      </c>
      <c r="AR1002" s="24">
        <v>3100000</v>
      </c>
      <c r="AS1002" s="24">
        <v>3100000</v>
      </c>
      <c r="AT1002" s="24">
        <v>3100000</v>
      </c>
      <c r="AU1002" s="24">
        <v>3100000</v>
      </c>
      <c r="AV1002" s="24">
        <v>3100000</v>
      </c>
      <c r="AW1002" s="24">
        <f t="shared" si="61"/>
        <v>18600000</v>
      </c>
      <c r="AX1002" s="24">
        <f t="shared" si="62"/>
        <v>37200000</v>
      </c>
      <c r="AY1002" s="25">
        <f t="shared" si="63"/>
        <v>18</v>
      </c>
      <c r="AZ1002" s="26">
        <v>0</v>
      </c>
      <c r="BA1002" s="4" t="s">
        <v>5709</v>
      </c>
      <c r="BB1002" s="22"/>
      <c r="BC1002" s="3"/>
      <c r="BD1002" s="24"/>
    </row>
    <row r="1003" spans="1:57" ht="16.8" customHeight="1">
      <c r="A1003" s="1">
        <v>1002</v>
      </c>
      <c r="B1003" s="1" t="s">
        <v>3175</v>
      </c>
      <c r="C1003" s="1" t="s">
        <v>3654</v>
      </c>
      <c r="D1003" s="1" t="s">
        <v>3877</v>
      </c>
      <c r="E1003" s="1" t="s">
        <v>3877</v>
      </c>
      <c r="F1003" s="1" t="s">
        <v>3878</v>
      </c>
      <c r="G1003" s="1" t="s">
        <v>3879</v>
      </c>
      <c r="H1003" s="1" t="s">
        <v>4683</v>
      </c>
      <c r="I1003" s="18" t="s">
        <v>5018</v>
      </c>
      <c r="J1003" s="18" t="s">
        <v>5018</v>
      </c>
      <c r="K1003" s="18" t="s">
        <v>5003</v>
      </c>
      <c r="L1003" s="18" t="s">
        <v>4734</v>
      </c>
      <c r="M1003" s="2">
        <v>3600000</v>
      </c>
      <c r="N1003" s="2">
        <v>3960000</v>
      </c>
      <c r="O1003" s="2">
        <v>3960000</v>
      </c>
      <c r="P1003" s="2">
        <f t="shared" si="60"/>
        <v>360000</v>
      </c>
      <c r="Q1003" s="2"/>
      <c r="R1003" s="2"/>
      <c r="S1003" s="48"/>
      <c r="T1003" s="2">
        <v>21600000</v>
      </c>
      <c r="U1003" s="2">
        <v>0</v>
      </c>
      <c r="V1003" s="1" t="s">
        <v>3879</v>
      </c>
      <c r="W1003" s="6" t="s">
        <v>3880</v>
      </c>
      <c r="X1003" s="1" t="s">
        <v>333</v>
      </c>
      <c r="Y1003" s="3"/>
      <c r="Z1003" s="3"/>
      <c r="AA1003" s="3"/>
      <c r="AB1003" s="3"/>
      <c r="AC1003" s="3"/>
      <c r="AD1003" s="3"/>
      <c r="AE1003" s="3">
        <v>3600000</v>
      </c>
      <c r="AF1003" s="3">
        <v>3600000</v>
      </c>
      <c r="AG1003" s="3">
        <v>3600000</v>
      </c>
      <c r="AH1003" s="3">
        <v>3600000</v>
      </c>
      <c r="AI1003" s="3">
        <v>3600000</v>
      </c>
      <c r="AJ1003" s="3">
        <v>3600000</v>
      </c>
      <c r="AK1003" s="3">
        <v>3960000</v>
      </c>
      <c r="AL1003" s="3">
        <v>3960000</v>
      </c>
      <c r="AM1003" s="3">
        <v>3960000</v>
      </c>
      <c r="AN1003" s="3">
        <v>3960000</v>
      </c>
      <c r="AO1003" s="3">
        <v>3960000</v>
      </c>
      <c r="AP1003" s="3">
        <v>3960000</v>
      </c>
      <c r="AQ1003" s="3">
        <v>3960000</v>
      </c>
      <c r="AR1003" s="3">
        <v>3960000</v>
      </c>
      <c r="AS1003" s="3">
        <v>3960000</v>
      </c>
      <c r="AT1003" s="3">
        <v>3960000</v>
      </c>
      <c r="AU1003" s="3">
        <v>3960000</v>
      </c>
      <c r="AV1003" s="3">
        <v>3960000</v>
      </c>
      <c r="AW1003" s="3">
        <f t="shared" si="61"/>
        <v>21600000</v>
      </c>
      <c r="AX1003" s="3">
        <f t="shared" si="62"/>
        <v>47520000</v>
      </c>
      <c r="AY1003" s="4">
        <f t="shared" si="63"/>
        <v>18</v>
      </c>
      <c r="AZ1003" s="8" t="s">
        <v>5632</v>
      </c>
      <c r="BA1003" s="4" t="s">
        <v>5737</v>
      </c>
      <c r="BB1003" s="2"/>
      <c r="BC1003" s="3"/>
      <c r="BD1003" s="3"/>
    </row>
    <row r="1004" spans="1:57" ht="16.8" customHeight="1">
      <c r="A1004" s="1">
        <v>1003</v>
      </c>
      <c r="B1004" s="1" t="s">
        <v>3175</v>
      </c>
      <c r="C1004" s="1" t="s">
        <v>3654</v>
      </c>
      <c r="D1004" s="1" t="s">
        <v>3881</v>
      </c>
      <c r="E1004" s="1" t="s">
        <v>3881</v>
      </c>
      <c r="F1004" s="1" t="s">
        <v>3882</v>
      </c>
      <c r="G1004" s="1" t="s">
        <v>3883</v>
      </c>
      <c r="H1004" s="1" t="s">
        <v>4684</v>
      </c>
      <c r="I1004" s="18" t="s">
        <v>4783</v>
      </c>
      <c r="J1004" s="18" t="s">
        <v>5132</v>
      </c>
      <c r="K1004" s="18" t="s">
        <v>4752</v>
      </c>
      <c r="L1004" s="18" t="s">
        <v>4734</v>
      </c>
      <c r="M1004" s="2">
        <v>3100000</v>
      </c>
      <c r="N1004" s="2">
        <v>3100000</v>
      </c>
      <c r="O1004" s="2">
        <v>3410000</v>
      </c>
      <c r="P1004" s="2" t="str">
        <f t="shared" si="60"/>
        <v/>
      </c>
      <c r="Q1004" s="2"/>
      <c r="R1004" s="2"/>
      <c r="S1004" s="48"/>
      <c r="T1004" s="2">
        <v>18600000</v>
      </c>
      <c r="U1004" s="2">
        <v>0</v>
      </c>
      <c r="V1004" s="1" t="s">
        <v>3884</v>
      </c>
      <c r="W1004" s="6" t="s">
        <v>3885</v>
      </c>
      <c r="X1004" s="1" t="s">
        <v>333</v>
      </c>
      <c r="Y1004" s="3"/>
      <c r="Z1004" s="3"/>
      <c r="AA1004" s="3"/>
      <c r="AB1004" s="3"/>
      <c r="AC1004" s="3"/>
      <c r="AD1004" s="3"/>
      <c r="AE1004" s="3">
        <v>3100000</v>
      </c>
      <c r="AF1004" s="3">
        <v>3100000</v>
      </c>
      <c r="AG1004" s="3">
        <v>3100000</v>
      </c>
      <c r="AH1004" s="3">
        <v>3100000</v>
      </c>
      <c r="AI1004" s="3">
        <v>3100000</v>
      </c>
      <c r="AJ1004" s="3">
        <v>3100000</v>
      </c>
      <c r="AK1004" s="3">
        <v>3100000</v>
      </c>
      <c r="AL1004" s="3">
        <v>3100000</v>
      </c>
      <c r="AM1004" s="3">
        <v>3100000</v>
      </c>
      <c r="AN1004" s="3">
        <v>3100000</v>
      </c>
      <c r="AO1004" s="3">
        <v>3100000</v>
      </c>
      <c r="AP1004" s="3">
        <v>3100000</v>
      </c>
      <c r="AQ1004" s="3"/>
      <c r="AR1004" s="3"/>
      <c r="AS1004" s="3"/>
      <c r="AT1004" s="3"/>
      <c r="AU1004" s="3"/>
      <c r="AV1004" s="3"/>
      <c r="AW1004" s="3">
        <f t="shared" si="61"/>
        <v>18600000</v>
      </c>
      <c r="AX1004" s="3">
        <f t="shared" si="62"/>
        <v>18600000</v>
      </c>
      <c r="AY1004" s="4">
        <f t="shared" si="63"/>
        <v>12</v>
      </c>
      <c r="AZ1004" s="8" t="s">
        <v>5633</v>
      </c>
      <c r="BA1004" s="4" t="s">
        <v>5710</v>
      </c>
      <c r="BB1004" s="2"/>
      <c r="BC1004" s="3"/>
      <c r="BD1004" s="3"/>
      <c r="BE1004" s="26"/>
    </row>
    <row r="1005" spans="1:57" ht="16.8" customHeight="1">
      <c r="A1005" s="1">
        <v>1004</v>
      </c>
      <c r="B1005" s="1" t="s">
        <v>3175</v>
      </c>
      <c r="C1005" s="1" t="s">
        <v>3654</v>
      </c>
      <c r="D1005" s="1" t="s">
        <v>3886</v>
      </c>
      <c r="E1005" s="1" t="s">
        <v>3886</v>
      </c>
      <c r="F1005" s="1" t="s">
        <v>3887</v>
      </c>
      <c r="G1005" s="1" t="s">
        <v>3888</v>
      </c>
      <c r="H1005" s="1" t="s">
        <v>4685</v>
      </c>
      <c r="I1005" s="18" t="s">
        <v>4783</v>
      </c>
      <c r="J1005" s="18" t="s">
        <v>5132</v>
      </c>
      <c r="K1005" s="18" t="s">
        <v>4752</v>
      </c>
      <c r="L1005" s="18" t="s">
        <v>4734</v>
      </c>
      <c r="M1005" s="2">
        <v>3000000</v>
      </c>
      <c r="N1005" s="2">
        <v>3000000</v>
      </c>
      <c r="O1005" s="2"/>
      <c r="P1005" s="2" t="str">
        <f t="shared" si="60"/>
        <v/>
      </c>
      <c r="Q1005" s="2"/>
      <c r="R1005" s="2"/>
      <c r="S1005" s="48"/>
      <c r="T1005" s="2">
        <v>18000000</v>
      </c>
      <c r="U1005" s="2">
        <v>0</v>
      </c>
      <c r="V1005" s="1" t="s">
        <v>3889</v>
      </c>
      <c r="W1005" s="6" t="s">
        <v>3890</v>
      </c>
      <c r="X1005" s="1" t="s">
        <v>3315</v>
      </c>
      <c r="Y1005" s="3"/>
      <c r="Z1005" s="3"/>
      <c r="AA1005" s="3"/>
      <c r="AB1005" s="3"/>
      <c r="AC1005" s="3"/>
      <c r="AD1005" s="3"/>
      <c r="AE1005" s="3">
        <v>3000000</v>
      </c>
      <c r="AF1005" s="3">
        <v>3000000</v>
      </c>
      <c r="AG1005" s="3">
        <v>3000000</v>
      </c>
      <c r="AH1005" s="3">
        <v>3000000</v>
      </c>
      <c r="AI1005" s="3">
        <v>3000000</v>
      </c>
      <c r="AJ1005" s="3">
        <v>3000000</v>
      </c>
      <c r="AK1005" s="3">
        <v>3000000</v>
      </c>
      <c r="AL1005" s="3">
        <v>3000000</v>
      </c>
      <c r="AM1005" s="3">
        <v>3000000</v>
      </c>
      <c r="AN1005" s="3">
        <v>3000000</v>
      </c>
      <c r="AO1005" s="3">
        <v>3000000</v>
      </c>
      <c r="AP1005" s="3">
        <v>3000000</v>
      </c>
      <c r="AQ1005" s="3">
        <v>3000000</v>
      </c>
      <c r="AR1005" s="3">
        <v>3000000</v>
      </c>
      <c r="AS1005" s="3">
        <v>3000000</v>
      </c>
      <c r="AT1005" s="3">
        <v>3000000</v>
      </c>
      <c r="AU1005" s="3">
        <v>3000000</v>
      </c>
      <c r="AV1005" s="3">
        <v>3000000</v>
      </c>
      <c r="AW1005" s="3">
        <f t="shared" si="61"/>
        <v>18000000</v>
      </c>
      <c r="AX1005" s="3">
        <f t="shared" si="62"/>
        <v>36000000</v>
      </c>
      <c r="AY1005" s="4">
        <f t="shared" si="63"/>
        <v>18</v>
      </c>
      <c r="AZ1005" s="8" t="s">
        <v>5634</v>
      </c>
      <c r="BA1005" s="4" t="s">
        <v>5726</v>
      </c>
      <c r="BB1005" s="2">
        <v>36000000</v>
      </c>
      <c r="BC1005" s="3"/>
      <c r="BD1005" s="3"/>
    </row>
    <row r="1006" spans="1:57" ht="16.8" customHeight="1">
      <c r="A1006" s="1">
        <v>1005</v>
      </c>
      <c r="B1006" s="1" t="s">
        <v>3175</v>
      </c>
      <c r="C1006" s="1" t="s">
        <v>3654</v>
      </c>
      <c r="D1006" s="1" t="s">
        <v>3891</v>
      </c>
      <c r="E1006" s="1" t="s">
        <v>3891</v>
      </c>
      <c r="F1006" s="1" t="s">
        <v>3892</v>
      </c>
      <c r="G1006" s="1" t="s">
        <v>3893</v>
      </c>
      <c r="H1006" s="1" t="s">
        <v>4686</v>
      </c>
      <c r="I1006" s="18" t="s">
        <v>4783</v>
      </c>
      <c r="J1006" s="18" t="s">
        <v>5132</v>
      </c>
      <c r="K1006" s="18" t="s">
        <v>4752</v>
      </c>
      <c r="L1006" s="18" t="s">
        <v>4734</v>
      </c>
      <c r="M1006" s="2">
        <v>3100000</v>
      </c>
      <c r="N1006" s="2">
        <v>3100000</v>
      </c>
      <c r="O1006" s="2"/>
      <c r="P1006" s="2" t="str">
        <f t="shared" si="60"/>
        <v/>
      </c>
      <c r="Q1006" s="2"/>
      <c r="R1006" s="2"/>
      <c r="S1006" s="48"/>
      <c r="T1006" s="2">
        <v>18600000</v>
      </c>
      <c r="U1006" s="2">
        <v>0</v>
      </c>
      <c r="V1006" s="1" t="s">
        <v>3893</v>
      </c>
      <c r="W1006" s="6" t="s">
        <v>3894</v>
      </c>
      <c r="X1006" s="1" t="s">
        <v>333</v>
      </c>
      <c r="Y1006" s="3"/>
      <c r="Z1006" s="3"/>
      <c r="AA1006" s="3"/>
      <c r="AB1006" s="3"/>
      <c r="AC1006" s="3"/>
      <c r="AD1006" s="3"/>
      <c r="AE1006" s="3">
        <v>3100000</v>
      </c>
      <c r="AF1006" s="3">
        <v>3100000</v>
      </c>
      <c r="AG1006" s="3">
        <v>3100000</v>
      </c>
      <c r="AH1006" s="3">
        <v>3100000</v>
      </c>
      <c r="AI1006" s="3">
        <v>3100000</v>
      </c>
      <c r="AJ1006" s="3">
        <v>3100000</v>
      </c>
      <c r="AK1006" s="3">
        <v>3100000</v>
      </c>
      <c r="AL1006" s="3">
        <v>3100000</v>
      </c>
      <c r="AM1006" s="3">
        <v>3100000</v>
      </c>
      <c r="AN1006" s="3">
        <v>3100000</v>
      </c>
      <c r="AO1006" s="3">
        <v>3100000</v>
      </c>
      <c r="AP1006" s="3">
        <v>3100000</v>
      </c>
      <c r="AQ1006" s="3">
        <v>3100000</v>
      </c>
      <c r="AR1006" s="3">
        <v>3100000</v>
      </c>
      <c r="AS1006" s="3">
        <v>3100000</v>
      </c>
      <c r="AT1006" s="3">
        <v>3100000</v>
      </c>
      <c r="AU1006" s="3">
        <v>3100000</v>
      </c>
      <c r="AV1006" s="3">
        <v>3100000</v>
      </c>
      <c r="AW1006" s="3">
        <f t="shared" si="61"/>
        <v>18600000</v>
      </c>
      <c r="AX1006" s="3">
        <f t="shared" si="62"/>
        <v>37200000</v>
      </c>
      <c r="AY1006" s="4">
        <f t="shared" si="63"/>
        <v>18</v>
      </c>
      <c r="AZ1006" s="8" t="s">
        <v>5553</v>
      </c>
      <c r="BA1006" s="4" t="s">
        <v>5709</v>
      </c>
      <c r="BB1006" s="2"/>
      <c r="BC1006" s="3"/>
      <c r="BD1006" s="4"/>
    </row>
    <row r="1007" spans="1:57" ht="16.8" customHeight="1">
      <c r="A1007" s="1">
        <v>1006</v>
      </c>
      <c r="B1007" s="1" t="s">
        <v>3175</v>
      </c>
      <c r="C1007" s="1" t="s">
        <v>3654</v>
      </c>
      <c r="D1007" s="1" t="s">
        <v>3895</v>
      </c>
      <c r="E1007" s="1" t="s">
        <v>3895</v>
      </c>
      <c r="F1007" s="1" t="s">
        <v>3896</v>
      </c>
      <c r="G1007" s="1" t="s">
        <v>3146</v>
      </c>
      <c r="H1007" s="1" t="s">
        <v>4687</v>
      </c>
      <c r="I1007" s="18" t="s">
        <v>4783</v>
      </c>
      <c r="J1007" s="18" t="s">
        <v>5132</v>
      </c>
      <c r="K1007" s="18" t="s">
        <v>4752</v>
      </c>
      <c r="L1007" s="18" t="s">
        <v>4734</v>
      </c>
      <c r="M1007" s="2">
        <v>3100000</v>
      </c>
      <c r="N1007" s="2">
        <v>3100000</v>
      </c>
      <c r="O1007" s="2"/>
      <c r="P1007" s="2" t="str">
        <f t="shared" si="60"/>
        <v/>
      </c>
      <c r="Q1007" s="2"/>
      <c r="R1007" s="2"/>
      <c r="S1007" s="48"/>
      <c r="T1007" s="2">
        <v>18600000</v>
      </c>
      <c r="U1007" s="2">
        <v>0</v>
      </c>
      <c r="V1007" s="1" t="s">
        <v>3146</v>
      </c>
      <c r="W1007" s="6" t="s">
        <v>3897</v>
      </c>
      <c r="X1007" s="1" t="s">
        <v>3257</v>
      </c>
      <c r="Y1007" s="3"/>
      <c r="Z1007" s="3"/>
      <c r="AA1007" s="3"/>
      <c r="AB1007" s="3"/>
      <c r="AC1007" s="3"/>
      <c r="AD1007" s="3"/>
      <c r="AE1007" s="3">
        <v>3100000</v>
      </c>
      <c r="AF1007" s="3">
        <v>3100000</v>
      </c>
      <c r="AG1007" s="3">
        <v>3100000</v>
      </c>
      <c r="AH1007" s="3">
        <v>3100000</v>
      </c>
      <c r="AI1007" s="3">
        <v>3100000</v>
      </c>
      <c r="AJ1007" s="3">
        <v>3100000</v>
      </c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>
        <f t="shared" si="61"/>
        <v>18600000</v>
      </c>
      <c r="AX1007" s="3">
        <f t="shared" si="62"/>
        <v>0</v>
      </c>
      <c r="AY1007" s="4">
        <f t="shared" si="63"/>
        <v>6</v>
      </c>
      <c r="AZ1007" s="8" t="s">
        <v>5553</v>
      </c>
      <c r="BA1007" s="4" t="s">
        <v>5726</v>
      </c>
      <c r="BB1007" s="2"/>
      <c r="BC1007" s="3"/>
      <c r="BD1007" s="4"/>
    </row>
    <row r="1008" spans="1:57" ht="16.8" customHeight="1">
      <c r="A1008" s="1">
        <v>1007</v>
      </c>
      <c r="B1008" s="1" t="s">
        <v>3175</v>
      </c>
      <c r="C1008" s="1" t="s">
        <v>3654</v>
      </c>
      <c r="D1008" s="1" t="s">
        <v>3898</v>
      </c>
      <c r="E1008" s="1" t="s">
        <v>3898</v>
      </c>
      <c r="F1008" s="1" t="s">
        <v>3899</v>
      </c>
      <c r="G1008" s="1" t="s">
        <v>3900</v>
      </c>
      <c r="H1008" s="1" t="s">
        <v>5364</v>
      </c>
      <c r="I1008" s="18" t="s">
        <v>4783</v>
      </c>
      <c r="J1008" s="18" t="s">
        <v>5132</v>
      </c>
      <c r="K1008" s="18" t="s">
        <v>4755</v>
      </c>
      <c r="L1008" s="18" t="s">
        <v>4734</v>
      </c>
      <c r="M1008" s="2">
        <v>3600000</v>
      </c>
      <c r="N1008" s="2">
        <v>3600000</v>
      </c>
      <c r="O1008" s="2"/>
      <c r="P1008" s="2" t="str">
        <f t="shared" si="60"/>
        <v/>
      </c>
      <c r="Q1008" s="2"/>
      <c r="R1008" s="2"/>
      <c r="S1008" s="48"/>
      <c r="T1008" s="2">
        <v>21600000</v>
      </c>
      <c r="U1008" s="2">
        <v>0</v>
      </c>
      <c r="V1008" s="1" t="s">
        <v>3900</v>
      </c>
      <c r="W1008" s="6" t="s">
        <v>3901</v>
      </c>
      <c r="X1008" s="1" t="s">
        <v>333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>
        <v>3600000</v>
      </c>
      <c r="AL1008" s="3">
        <v>3600000</v>
      </c>
      <c r="AM1008" s="3">
        <v>3600000</v>
      </c>
      <c r="AN1008" s="3">
        <v>3600000</v>
      </c>
      <c r="AO1008" s="3">
        <v>3600000</v>
      </c>
      <c r="AP1008" s="3">
        <v>3600000</v>
      </c>
      <c r="AQ1008" s="3"/>
      <c r="AR1008" s="3"/>
      <c r="AS1008" s="3"/>
      <c r="AT1008" s="3"/>
      <c r="AU1008" s="3"/>
      <c r="AV1008" s="3"/>
      <c r="AW1008" s="3">
        <f t="shared" si="61"/>
        <v>0</v>
      </c>
      <c r="AX1008" s="3">
        <f t="shared" si="62"/>
        <v>21600000</v>
      </c>
      <c r="AY1008" s="4">
        <f t="shared" si="63"/>
        <v>6</v>
      </c>
      <c r="AZ1008" s="8">
        <v>0</v>
      </c>
      <c r="BA1008" s="4" t="s">
        <v>5726</v>
      </c>
      <c r="BB1008" s="2"/>
      <c r="BC1008" s="3"/>
      <c r="BD1008" s="3"/>
    </row>
    <row r="1009" spans="1:56" ht="16.8" customHeight="1">
      <c r="A1009" s="1">
        <v>1008</v>
      </c>
      <c r="B1009" s="1" t="s">
        <v>3175</v>
      </c>
      <c r="C1009" s="1" t="s">
        <v>3654</v>
      </c>
      <c r="D1009" s="1" t="s">
        <v>3902</v>
      </c>
      <c r="E1009" s="1" t="s">
        <v>3902</v>
      </c>
      <c r="F1009" s="1" t="s">
        <v>3903</v>
      </c>
      <c r="G1009" s="1" t="s">
        <v>3904</v>
      </c>
      <c r="H1009" s="1" t="s">
        <v>4688</v>
      </c>
      <c r="I1009" s="18" t="s">
        <v>4783</v>
      </c>
      <c r="J1009" s="18" t="s">
        <v>5132</v>
      </c>
      <c r="K1009" s="18" t="s">
        <v>4770</v>
      </c>
      <c r="L1009" s="18" t="s">
        <v>4734</v>
      </c>
      <c r="M1009" s="2">
        <v>3100000</v>
      </c>
      <c r="N1009" s="2">
        <v>3410000</v>
      </c>
      <c r="O1009" s="2">
        <v>3410000</v>
      </c>
      <c r="P1009" s="2">
        <f t="shared" si="60"/>
        <v>310000</v>
      </c>
      <c r="Q1009" s="2"/>
      <c r="R1009" s="2"/>
      <c r="S1009" s="48"/>
      <c r="T1009" s="2">
        <v>18600000</v>
      </c>
      <c r="U1009" s="2">
        <v>0</v>
      </c>
      <c r="V1009" s="1" t="s">
        <v>3905</v>
      </c>
      <c r="W1009" s="6" t="s">
        <v>3906</v>
      </c>
      <c r="X1009" s="1" t="s">
        <v>3257</v>
      </c>
      <c r="Y1009" s="3"/>
      <c r="Z1009" s="3"/>
      <c r="AA1009" s="3"/>
      <c r="AB1009" s="3"/>
      <c r="AC1009" s="3"/>
      <c r="AD1009" s="3"/>
      <c r="AE1009" s="3">
        <v>3100000</v>
      </c>
      <c r="AF1009" s="3">
        <v>3100000</v>
      </c>
      <c r="AG1009" s="3">
        <v>3100000</v>
      </c>
      <c r="AH1009" s="3">
        <v>3100000</v>
      </c>
      <c r="AI1009" s="3">
        <v>3100000</v>
      </c>
      <c r="AJ1009" s="3">
        <v>3100000</v>
      </c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>
        <f t="shared" si="61"/>
        <v>18600000</v>
      </c>
      <c r="AX1009" s="3">
        <f t="shared" si="62"/>
        <v>0</v>
      </c>
      <c r="AY1009" s="4">
        <f t="shared" si="63"/>
        <v>6</v>
      </c>
      <c r="AZ1009" s="8" t="s">
        <v>5553</v>
      </c>
      <c r="BA1009" s="4" t="s">
        <v>5726</v>
      </c>
      <c r="BB1009" s="2"/>
      <c r="BC1009" s="3"/>
      <c r="BD1009" s="4"/>
    </row>
    <row r="1010" spans="1:56" s="33" customFormat="1" ht="16.8" customHeight="1">
      <c r="A1010" s="29">
        <v>1009</v>
      </c>
      <c r="B1010" s="29" t="s">
        <v>3175</v>
      </c>
      <c r="C1010" s="29" t="s">
        <v>3654</v>
      </c>
      <c r="D1010" s="29" t="s">
        <v>3907</v>
      </c>
      <c r="E1010" s="29" t="s">
        <v>3907</v>
      </c>
      <c r="F1010" s="1" t="s">
        <v>3908</v>
      </c>
      <c r="G1010" s="1" t="s">
        <v>3909</v>
      </c>
      <c r="H1010" s="1" t="s">
        <v>4689</v>
      </c>
      <c r="I1010" s="18" t="s">
        <v>4783</v>
      </c>
      <c r="J1010" s="18" t="s">
        <v>5132</v>
      </c>
      <c r="K1010" s="18" t="s">
        <v>4741</v>
      </c>
      <c r="L1010" s="18" t="s">
        <v>4734</v>
      </c>
      <c r="M1010" s="30">
        <v>3380000</v>
      </c>
      <c r="N1010" s="30">
        <v>3718000</v>
      </c>
      <c r="O1010" s="30">
        <v>3718000</v>
      </c>
      <c r="P1010" s="2">
        <f t="shared" si="60"/>
        <v>338000</v>
      </c>
      <c r="Q1010" s="2"/>
      <c r="R1010" s="2"/>
      <c r="S1010" s="48"/>
      <c r="T1010" s="2">
        <v>20280000</v>
      </c>
      <c r="U1010" s="2">
        <v>0</v>
      </c>
      <c r="V1010" s="1" t="s">
        <v>3910</v>
      </c>
      <c r="W1010" s="6" t="s">
        <v>3911</v>
      </c>
      <c r="X1010" s="1" t="s">
        <v>3257</v>
      </c>
      <c r="Y1010" s="3"/>
      <c r="Z1010" s="3"/>
      <c r="AA1010" s="3"/>
      <c r="AB1010" s="3"/>
      <c r="AC1010" s="3"/>
      <c r="AD1010" s="3"/>
      <c r="AE1010" s="3">
        <v>3380000</v>
      </c>
      <c r="AF1010" s="3">
        <v>3380000</v>
      </c>
      <c r="AG1010" s="3">
        <v>3380000</v>
      </c>
      <c r="AH1010" s="3">
        <v>3380000</v>
      </c>
      <c r="AI1010" s="3">
        <v>3380000</v>
      </c>
      <c r="AJ1010" s="3">
        <v>3380000</v>
      </c>
      <c r="AK1010" s="3">
        <v>3718000</v>
      </c>
      <c r="AL1010" s="3">
        <v>3718000</v>
      </c>
      <c r="AM1010" s="3">
        <v>3718000</v>
      </c>
      <c r="AN1010" s="3">
        <v>3718000</v>
      </c>
      <c r="AO1010" s="3">
        <v>3718000</v>
      </c>
      <c r="AP1010" s="3">
        <v>3718000</v>
      </c>
      <c r="AQ1010" s="3">
        <v>3718000</v>
      </c>
      <c r="AR1010" s="3">
        <v>3718000</v>
      </c>
      <c r="AS1010" s="3">
        <v>3718000</v>
      </c>
      <c r="AT1010" s="3">
        <v>3718000</v>
      </c>
      <c r="AU1010" s="3">
        <v>3718000</v>
      </c>
      <c r="AV1010" s="3">
        <v>3718000</v>
      </c>
      <c r="AW1010" s="31">
        <f t="shared" si="61"/>
        <v>20280000</v>
      </c>
      <c r="AX1010" s="31">
        <f t="shared" si="62"/>
        <v>44616000</v>
      </c>
      <c r="AY1010" s="32">
        <f t="shared" si="63"/>
        <v>18</v>
      </c>
      <c r="AZ1010" s="33" t="s">
        <v>5635</v>
      </c>
      <c r="BA1010" s="4" t="s">
        <v>5709</v>
      </c>
      <c r="BB1010" s="30"/>
      <c r="BC1010" s="3"/>
      <c r="BD1010" s="31"/>
    </row>
    <row r="1011" spans="1:56" ht="16.8" customHeight="1">
      <c r="A1011" s="1">
        <v>1010</v>
      </c>
      <c r="B1011" s="1" t="s">
        <v>3175</v>
      </c>
      <c r="C1011" s="1" t="s">
        <v>3654</v>
      </c>
      <c r="D1011" s="1" t="s">
        <v>3912</v>
      </c>
      <c r="E1011" s="1" t="s">
        <v>3912</v>
      </c>
      <c r="F1011" s="1" t="s">
        <v>3913</v>
      </c>
      <c r="G1011" s="1" t="s">
        <v>3914</v>
      </c>
      <c r="H1011" s="1" t="s">
        <v>4690</v>
      </c>
      <c r="I1011" s="18" t="s">
        <v>4783</v>
      </c>
      <c r="J1011" s="18" t="s">
        <v>5132</v>
      </c>
      <c r="K1011" s="18" t="s">
        <v>4770</v>
      </c>
      <c r="L1011" s="18" t="s">
        <v>4734</v>
      </c>
      <c r="M1011" s="2">
        <v>3100000</v>
      </c>
      <c r="N1011" s="2">
        <v>3100000</v>
      </c>
      <c r="O1011" s="2"/>
      <c r="P1011" s="2" t="str">
        <f t="shared" si="60"/>
        <v/>
      </c>
      <c r="Q1011" s="2"/>
      <c r="R1011" s="2"/>
      <c r="S1011" s="48"/>
      <c r="T1011" s="2">
        <v>18600000</v>
      </c>
      <c r="U1011" s="2">
        <v>0</v>
      </c>
      <c r="V1011" s="1" t="s">
        <v>3915</v>
      </c>
      <c r="W1011" s="6" t="s">
        <v>3916</v>
      </c>
      <c r="X1011" s="1" t="s">
        <v>3305</v>
      </c>
      <c r="Y1011" s="3"/>
      <c r="Z1011" s="3"/>
      <c r="AA1011" s="3"/>
      <c r="AB1011" s="3"/>
      <c r="AC1011" s="3"/>
      <c r="AD1011" s="3"/>
      <c r="AE1011" s="3">
        <v>3100000</v>
      </c>
      <c r="AF1011" s="3">
        <v>3100000</v>
      </c>
      <c r="AG1011" s="3">
        <v>3100000</v>
      </c>
      <c r="AH1011" s="3">
        <v>3100000</v>
      </c>
      <c r="AI1011" s="3">
        <v>3100000</v>
      </c>
      <c r="AJ1011" s="3">
        <v>3100000</v>
      </c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>
        <f t="shared" si="61"/>
        <v>18600000</v>
      </c>
      <c r="AX1011" s="3">
        <f t="shared" si="62"/>
        <v>0</v>
      </c>
      <c r="AY1011" s="4">
        <f t="shared" si="63"/>
        <v>6</v>
      </c>
      <c r="AZ1011" s="8">
        <v>0</v>
      </c>
      <c r="BA1011" s="4" t="s">
        <v>5726</v>
      </c>
      <c r="BB1011" s="2"/>
      <c r="BC1011" s="3"/>
      <c r="BD1011" s="4"/>
    </row>
    <row r="1012" spans="1:56" ht="16.8" customHeight="1">
      <c r="A1012" s="1">
        <v>1011</v>
      </c>
      <c r="B1012" s="1" t="s">
        <v>3175</v>
      </c>
      <c r="C1012" s="1" t="s">
        <v>3654</v>
      </c>
      <c r="D1012" s="1" t="s">
        <v>3917</v>
      </c>
      <c r="E1012" s="1" t="s">
        <v>3917</v>
      </c>
      <c r="F1012" s="1" t="s">
        <v>3918</v>
      </c>
      <c r="G1012" s="1" t="s">
        <v>3919</v>
      </c>
      <c r="H1012" s="1" t="s">
        <v>5365</v>
      </c>
      <c r="I1012" s="18" t="s">
        <v>4783</v>
      </c>
      <c r="J1012" s="18" t="s">
        <v>5018</v>
      </c>
      <c r="K1012" s="18" t="s">
        <v>4742</v>
      </c>
      <c r="L1012" s="18" t="s">
        <v>4734</v>
      </c>
      <c r="M1012" s="2">
        <v>3600000</v>
      </c>
      <c r="N1012" s="2">
        <v>3960000</v>
      </c>
      <c r="O1012" s="2">
        <v>3960000</v>
      </c>
      <c r="P1012" s="2">
        <f t="shared" si="60"/>
        <v>360000</v>
      </c>
      <c r="Q1012" s="2"/>
      <c r="R1012" s="2"/>
      <c r="S1012" s="48"/>
      <c r="T1012" s="2">
        <v>0</v>
      </c>
      <c r="U1012" s="2">
        <v>0</v>
      </c>
      <c r="V1012" s="1" t="s">
        <v>3920</v>
      </c>
      <c r="W1012" s="6" t="s">
        <v>3921</v>
      </c>
      <c r="X1012" s="1" t="s">
        <v>333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>
        <v>3960000</v>
      </c>
      <c r="AL1012" s="3">
        <v>3960000</v>
      </c>
      <c r="AM1012" s="3">
        <v>3960000</v>
      </c>
      <c r="AN1012" s="3">
        <v>3960000</v>
      </c>
      <c r="AO1012" s="3">
        <v>3960000</v>
      </c>
      <c r="AP1012" s="3">
        <v>3960000</v>
      </c>
      <c r="AQ1012" s="3">
        <v>3960000</v>
      </c>
      <c r="AR1012" s="3">
        <v>3960000</v>
      </c>
      <c r="AS1012" s="3">
        <v>3960000</v>
      </c>
      <c r="AT1012" s="3">
        <v>3960000</v>
      </c>
      <c r="AU1012" s="3">
        <v>3960000</v>
      </c>
      <c r="AV1012" s="3">
        <v>3960000</v>
      </c>
      <c r="AW1012" s="3">
        <f t="shared" si="61"/>
        <v>0</v>
      </c>
      <c r="AX1012" s="3">
        <f t="shared" si="62"/>
        <v>47520000</v>
      </c>
      <c r="AY1012" s="4">
        <f t="shared" si="63"/>
        <v>12</v>
      </c>
      <c r="AZ1012" s="8" t="s">
        <v>5636</v>
      </c>
      <c r="BA1012" s="4" t="s">
        <v>5709</v>
      </c>
      <c r="BB1012" s="2"/>
      <c r="BC1012" s="3"/>
      <c r="BD1012" s="4"/>
    </row>
    <row r="1013" spans="1:56" ht="16.8" customHeight="1">
      <c r="A1013" s="1">
        <v>1012</v>
      </c>
      <c r="B1013" s="1" t="s">
        <v>3175</v>
      </c>
      <c r="C1013" s="1" t="s">
        <v>3654</v>
      </c>
      <c r="D1013" s="1" t="s">
        <v>3922</v>
      </c>
      <c r="E1013" s="1" t="s">
        <v>3922</v>
      </c>
      <c r="F1013" s="1" t="s">
        <v>3923</v>
      </c>
      <c r="G1013" s="1" t="s">
        <v>3924</v>
      </c>
      <c r="H1013" s="1" t="s">
        <v>4691</v>
      </c>
      <c r="I1013" s="18" t="s">
        <v>4783</v>
      </c>
      <c r="J1013" s="18" t="s">
        <v>5132</v>
      </c>
      <c r="K1013" s="18" t="s">
        <v>4770</v>
      </c>
      <c r="L1013" s="18" t="s">
        <v>4734</v>
      </c>
      <c r="M1013" s="2">
        <v>3600000</v>
      </c>
      <c r="N1013" s="2">
        <v>3600000</v>
      </c>
      <c r="O1013" s="2"/>
      <c r="P1013" s="2" t="str">
        <f t="shared" si="60"/>
        <v/>
      </c>
      <c r="Q1013" s="2"/>
      <c r="R1013" s="2"/>
      <c r="S1013" s="48"/>
      <c r="T1013" s="2">
        <v>21600000</v>
      </c>
      <c r="U1013" s="2">
        <v>0</v>
      </c>
      <c r="V1013" s="1" t="s">
        <v>3925</v>
      </c>
      <c r="W1013" s="6" t="s">
        <v>3926</v>
      </c>
      <c r="X1013" s="1" t="s">
        <v>3257</v>
      </c>
      <c r="Y1013" s="3"/>
      <c r="Z1013" s="3"/>
      <c r="AA1013" s="3"/>
      <c r="AB1013" s="3"/>
      <c r="AC1013" s="3"/>
      <c r="AD1013" s="3"/>
      <c r="AE1013" s="3">
        <v>3600000</v>
      </c>
      <c r="AF1013" s="3">
        <v>3600000</v>
      </c>
      <c r="AG1013" s="3">
        <v>3600000</v>
      </c>
      <c r="AH1013" s="3">
        <v>3600000</v>
      </c>
      <c r="AI1013" s="3">
        <v>3600000</v>
      </c>
      <c r="AJ1013" s="3">
        <v>3600000</v>
      </c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>
        <f t="shared" si="61"/>
        <v>21600000</v>
      </c>
      <c r="AX1013" s="3">
        <f t="shared" si="62"/>
        <v>0</v>
      </c>
      <c r="AY1013" s="4">
        <f t="shared" si="63"/>
        <v>6</v>
      </c>
      <c r="AZ1013" s="8" t="s">
        <v>5553</v>
      </c>
      <c r="BA1013" s="4" t="s">
        <v>5726</v>
      </c>
      <c r="BB1013" s="2"/>
      <c r="BC1013" s="3"/>
      <c r="BD1013" s="4"/>
    </row>
    <row r="1014" spans="1:56" ht="16.8" customHeight="1">
      <c r="A1014" s="1">
        <v>1013</v>
      </c>
      <c r="B1014" s="1" t="s">
        <v>3175</v>
      </c>
      <c r="C1014" s="1" t="s">
        <v>3654</v>
      </c>
      <c r="D1014" s="1" t="s">
        <v>3927</v>
      </c>
      <c r="E1014" s="1" t="s">
        <v>3927</v>
      </c>
      <c r="F1014" s="1" t="s">
        <v>3928</v>
      </c>
      <c r="G1014" s="1" t="s">
        <v>3929</v>
      </c>
      <c r="H1014" s="1" t="s">
        <v>4692</v>
      </c>
      <c r="I1014" s="18" t="s">
        <v>4783</v>
      </c>
      <c r="J1014" s="18" t="s">
        <v>5132</v>
      </c>
      <c r="K1014" s="18" t="s">
        <v>4742</v>
      </c>
      <c r="L1014" s="18" t="s">
        <v>4734</v>
      </c>
      <c r="M1014" s="2">
        <v>3100000</v>
      </c>
      <c r="N1014" s="2">
        <v>3100000</v>
      </c>
      <c r="O1014" s="2"/>
      <c r="P1014" s="2" t="str">
        <f t="shared" si="60"/>
        <v/>
      </c>
      <c r="Q1014" s="2"/>
      <c r="R1014" s="2"/>
      <c r="S1014" s="48"/>
      <c r="T1014" s="2">
        <v>18600000</v>
      </c>
      <c r="U1014" s="2">
        <v>0</v>
      </c>
      <c r="V1014" s="1" t="s">
        <v>3929</v>
      </c>
      <c r="W1014" s="6" t="s">
        <v>3930</v>
      </c>
      <c r="X1014" s="1" t="s">
        <v>3257</v>
      </c>
      <c r="Y1014" s="3"/>
      <c r="Z1014" s="3"/>
      <c r="AA1014" s="3"/>
      <c r="AB1014" s="3"/>
      <c r="AC1014" s="3"/>
      <c r="AD1014" s="3"/>
      <c r="AE1014" s="3">
        <v>3100000</v>
      </c>
      <c r="AF1014" s="3">
        <v>3100000</v>
      </c>
      <c r="AG1014" s="3">
        <v>3100000</v>
      </c>
      <c r="AH1014" s="3">
        <v>3100000</v>
      </c>
      <c r="AI1014" s="3">
        <v>3100000</v>
      </c>
      <c r="AJ1014" s="3">
        <v>3100000</v>
      </c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>
        <f t="shared" si="61"/>
        <v>18600000</v>
      </c>
      <c r="AX1014" s="3">
        <f t="shared" si="62"/>
        <v>0</v>
      </c>
      <c r="AY1014" s="4">
        <f t="shared" si="63"/>
        <v>6</v>
      </c>
      <c r="AZ1014" s="8" t="s">
        <v>5553</v>
      </c>
      <c r="BA1014" s="4" t="s">
        <v>5726</v>
      </c>
      <c r="BB1014" s="2"/>
      <c r="BC1014" s="3"/>
      <c r="BD1014" s="4"/>
    </row>
    <row r="1015" spans="1:56" s="33" customFormat="1" ht="16.8" customHeight="1">
      <c r="A1015" s="29">
        <v>1014</v>
      </c>
      <c r="B1015" s="29" t="s">
        <v>3175</v>
      </c>
      <c r="C1015" s="29" t="s">
        <v>3654</v>
      </c>
      <c r="D1015" s="29" t="s">
        <v>3931</v>
      </c>
      <c r="E1015" s="29" t="s">
        <v>3931</v>
      </c>
      <c r="F1015" s="1" t="s">
        <v>3932</v>
      </c>
      <c r="G1015" s="1" t="s">
        <v>3933</v>
      </c>
      <c r="H1015" s="1" t="s">
        <v>4693</v>
      </c>
      <c r="I1015" s="18" t="s">
        <v>4783</v>
      </c>
      <c r="J1015" s="18" t="s">
        <v>5132</v>
      </c>
      <c r="K1015" s="18" t="s">
        <v>4742</v>
      </c>
      <c r="L1015" s="18" t="s">
        <v>4734</v>
      </c>
      <c r="M1015" s="30">
        <v>3100000</v>
      </c>
      <c r="N1015" s="30">
        <v>3410000</v>
      </c>
      <c r="O1015" s="30">
        <v>3410000</v>
      </c>
      <c r="P1015" s="2">
        <f t="shared" si="60"/>
        <v>310000</v>
      </c>
      <c r="Q1015" s="2"/>
      <c r="R1015" s="2"/>
      <c r="S1015" s="48"/>
      <c r="T1015" s="2">
        <v>18600000</v>
      </c>
      <c r="U1015" s="2">
        <v>0</v>
      </c>
      <c r="V1015" s="1" t="s">
        <v>3934</v>
      </c>
      <c r="W1015" s="6" t="s">
        <v>3935</v>
      </c>
      <c r="X1015" s="1" t="s">
        <v>3257</v>
      </c>
      <c r="Y1015" s="3"/>
      <c r="Z1015" s="3"/>
      <c r="AA1015" s="3"/>
      <c r="AB1015" s="3"/>
      <c r="AC1015" s="3"/>
      <c r="AD1015" s="3"/>
      <c r="AE1015" s="3">
        <v>3100000</v>
      </c>
      <c r="AF1015" s="3">
        <v>3100000</v>
      </c>
      <c r="AG1015" s="3">
        <v>3100000</v>
      </c>
      <c r="AH1015" s="3">
        <v>3100000</v>
      </c>
      <c r="AI1015" s="3">
        <v>3100000</v>
      </c>
      <c r="AJ1015" s="3">
        <v>3100000</v>
      </c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>
        <f t="shared" si="61"/>
        <v>18600000</v>
      </c>
      <c r="AX1015" s="31">
        <f t="shared" si="62"/>
        <v>0</v>
      </c>
      <c r="AY1015" s="32">
        <f t="shared" si="63"/>
        <v>6</v>
      </c>
      <c r="AZ1015" s="33" t="s">
        <v>5553</v>
      </c>
      <c r="BA1015" s="4" t="s">
        <v>5726</v>
      </c>
      <c r="BB1015" s="30"/>
      <c r="BC1015" s="3"/>
      <c r="BD1015" s="32"/>
    </row>
    <row r="1016" spans="1:56" ht="16.8" customHeight="1">
      <c r="A1016" s="1">
        <v>1015</v>
      </c>
      <c r="B1016" s="1" t="s">
        <v>3175</v>
      </c>
      <c r="C1016" s="1" t="s">
        <v>3654</v>
      </c>
      <c r="D1016" s="1" t="s">
        <v>3936</v>
      </c>
      <c r="E1016" s="1" t="s">
        <v>3936</v>
      </c>
      <c r="F1016" s="1" t="s">
        <v>3937</v>
      </c>
      <c r="G1016" s="1" t="s">
        <v>3938</v>
      </c>
      <c r="H1016" s="1" t="s">
        <v>4694</v>
      </c>
      <c r="I1016" s="18" t="s">
        <v>4783</v>
      </c>
      <c r="J1016" s="18" t="s">
        <v>5132</v>
      </c>
      <c r="K1016" s="18" t="s">
        <v>4752</v>
      </c>
      <c r="L1016" s="18" t="s">
        <v>4734</v>
      </c>
      <c r="M1016" s="2">
        <v>3100000</v>
      </c>
      <c r="N1016" s="2">
        <v>3100000</v>
      </c>
      <c r="O1016" s="2"/>
      <c r="P1016" s="2" t="str">
        <f t="shared" si="60"/>
        <v/>
      </c>
      <c r="Q1016" s="2"/>
      <c r="R1016" s="2"/>
      <c r="S1016" s="48"/>
      <c r="T1016" s="2">
        <v>18600000</v>
      </c>
      <c r="U1016" s="2">
        <v>0</v>
      </c>
      <c r="V1016" s="1" t="s">
        <v>3938</v>
      </c>
      <c r="W1016" s="6" t="s">
        <v>3939</v>
      </c>
      <c r="X1016" s="1" t="s">
        <v>3257</v>
      </c>
      <c r="Y1016" s="3"/>
      <c r="Z1016" s="3"/>
      <c r="AA1016" s="3"/>
      <c r="AB1016" s="3"/>
      <c r="AC1016" s="3"/>
      <c r="AD1016" s="3"/>
      <c r="AE1016" s="3">
        <v>3100000</v>
      </c>
      <c r="AF1016" s="3">
        <v>3100000</v>
      </c>
      <c r="AG1016" s="3">
        <v>3100000</v>
      </c>
      <c r="AH1016" s="3">
        <v>3100000</v>
      </c>
      <c r="AI1016" s="3">
        <v>3100000</v>
      </c>
      <c r="AJ1016" s="3">
        <v>3100000</v>
      </c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>
        <f t="shared" si="61"/>
        <v>18600000</v>
      </c>
      <c r="AX1016" s="3">
        <f t="shared" si="62"/>
        <v>0</v>
      </c>
      <c r="AY1016" s="4">
        <f t="shared" si="63"/>
        <v>6</v>
      </c>
      <c r="AZ1016" s="8" t="s">
        <v>5553</v>
      </c>
      <c r="BA1016" s="4" t="s">
        <v>5726</v>
      </c>
      <c r="BB1016" s="2"/>
      <c r="BC1016" s="3"/>
      <c r="BD1016" s="4"/>
    </row>
    <row r="1017" spans="1:56" ht="16.8" customHeight="1">
      <c r="A1017" s="1">
        <v>1016</v>
      </c>
      <c r="B1017" s="1" t="s">
        <v>3175</v>
      </c>
      <c r="C1017" s="1" t="s">
        <v>3654</v>
      </c>
      <c r="D1017" s="1" t="s">
        <v>3940</v>
      </c>
      <c r="E1017" s="1" t="s">
        <v>3940</v>
      </c>
      <c r="F1017" s="1" t="s">
        <v>3941</v>
      </c>
      <c r="G1017" s="1" t="s">
        <v>3942</v>
      </c>
      <c r="H1017" s="1" t="s">
        <v>4695</v>
      </c>
      <c r="I1017" s="18" t="s">
        <v>4783</v>
      </c>
      <c r="J1017" s="18" t="s">
        <v>5132</v>
      </c>
      <c r="K1017" s="18" t="s">
        <v>4752</v>
      </c>
      <c r="L1017" s="18" t="s">
        <v>4734</v>
      </c>
      <c r="M1017" s="2">
        <v>3100000</v>
      </c>
      <c r="N1017" s="2">
        <v>3100000</v>
      </c>
      <c r="O1017" s="2"/>
      <c r="P1017" s="2" t="str">
        <f t="shared" si="60"/>
        <v/>
      </c>
      <c r="Q1017" s="2"/>
      <c r="R1017" s="2"/>
      <c r="S1017" s="48"/>
      <c r="T1017" s="2">
        <v>18600000</v>
      </c>
      <c r="U1017" s="2">
        <v>0</v>
      </c>
      <c r="V1017" s="1" t="s">
        <v>3942</v>
      </c>
      <c r="W1017" s="6" t="s">
        <v>3943</v>
      </c>
      <c r="X1017" s="1" t="s">
        <v>3257</v>
      </c>
      <c r="Y1017" s="3"/>
      <c r="Z1017" s="3"/>
      <c r="AA1017" s="3"/>
      <c r="AB1017" s="3"/>
      <c r="AC1017" s="3"/>
      <c r="AD1017" s="3"/>
      <c r="AE1017" s="3">
        <v>3100000</v>
      </c>
      <c r="AF1017" s="3">
        <v>3100000</v>
      </c>
      <c r="AG1017" s="3">
        <v>3100000</v>
      </c>
      <c r="AH1017" s="3">
        <v>3100000</v>
      </c>
      <c r="AI1017" s="3">
        <v>3100000</v>
      </c>
      <c r="AJ1017" s="3">
        <v>3100000</v>
      </c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>
        <f t="shared" si="61"/>
        <v>18600000</v>
      </c>
      <c r="AX1017" s="3">
        <f t="shared" si="62"/>
        <v>0</v>
      </c>
      <c r="AY1017" s="4">
        <f t="shared" si="63"/>
        <v>6</v>
      </c>
      <c r="AZ1017" s="8" t="s">
        <v>5553</v>
      </c>
      <c r="BA1017" s="4" t="s">
        <v>5726</v>
      </c>
      <c r="BB1017" s="2"/>
      <c r="BC1017" s="3"/>
      <c r="BD1017" s="4"/>
    </row>
    <row r="1018" spans="1:56" ht="16.8" customHeight="1">
      <c r="A1018" s="1">
        <v>1017</v>
      </c>
      <c r="B1018" s="1" t="s">
        <v>3175</v>
      </c>
      <c r="C1018" s="1" t="s">
        <v>3654</v>
      </c>
      <c r="D1018" s="1" t="s">
        <v>3944</v>
      </c>
      <c r="E1018" s="1" t="s">
        <v>3944</v>
      </c>
      <c r="F1018" s="1" t="s">
        <v>3945</v>
      </c>
      <c r="G1018" s="1" t="s">
        <v>2809</v>
      </c>
      <c r="H1018" s="1" t="s">
        <v>5043</v>
      </c>
      <c r="I1018" s="18"/>
      <c r="J1018" s="18"/>
      <c r="K1018" s="18"/>
      <c r="L1018" s="18"/>
      <c r="M1018" s="2">
        <v>2500000</v>
      </c>
      <c r="N1018" s="2">
        <v>2500000</v>
      </c>
      <c r="O1018" s="2"/>
      <c r="P1018" s="2" t="str">
        <f t="shared" si="60"/>
        <v/>
      </c>
      <c r="Q1018" s="2"/>
      <c r="R1018" s="2"/>
      <c r="S1018" s="48"/>
      <c r="T1018" s="2">
        <v>0</v>
      </c>
      <c r="U1018" s="2">
        <v>7500000</v>
      </c>
      <c r="V1018" s="1"/>
      <c r="W1018" s="6"/>
      <c r="X1018" s="1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>
        <f t="shared" si="61"/>
        <v>0</v>
      </c>
      <c r="AX1018" s="3">
        <f t="shared" si="62"/>
        <v>0</v>
      </c>
      <c r="AY1018" s="4">
        <f t="shared" si="63"/>
        <v>0</v>
      </c>
      <c r="BA1018" s="4" t="s">
        <v>5726</v>
      </c>
      <c r="BB1018" s="2"/>
      <c r="BC1018" s="3"/>
      <c r="BD1018" s="4"/>
    </row>
    <row r="1019" spans="1:56" ht="16.8" customHeight="1">
      <c r="A1019" s="1">
        <v>1018</v>
      </c>
      <c r="B1019" s="1" t="s">
        <v>3175</v>
      </c>
      <c r="C1019" s="1" t="s">
        <v>3654</v>
      </c>
      <c r="D1019" s="1" t="s">
        <v>3944</v>
      </c>
      <c r="E1019" s="1" t="s">
        <v>3944</v>
      </c>
      <c r="F1019" s="1" t="s">
        <v>3945</v>
      </c>
      <c r="G1019" s="1" t="s">
        <v>3946</v>
      </c>
      <c r="H1019" s="1" t="s">
        <v>5043</v>
      </c>
      <c r="I1019" s="18"/>
      <c r="J1019" s="18"/>
      <c r="K1019" s="18"/>
      <c r="L1019" s="18"/>
      <c r="M1019" s="2">
        <v>500000</v>
      </c>
      <c r="N1019" s="2">
        <v>500000</v>
      </c>
      <c r="O1019" s="2"/>
      <c r="P1019" s="2" t="str">
        <f t="shared" si="60"/>
        <v/>
      </c>
      <c r="Q1019" s="2"/>
      <c r="R1019" s="2"/>
      <c r="S1019" s="48"/>
      <c r="T1019" s="2">
        <v>0</v>
      </c>
      <c r="U1019" s="2">
        <v>0</v>
      </c>
      <c r="V1019" s="1"/>
      <c r="W1019" s="6"/>
      <c r="X1019" s="1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>
        <f t="shared" si="61"/>
        <v>0</v>
      </c>
      <c r="AX1019" s="3">
        <f t="shared" si="62"/>
        <v>0</v>
      </c>
      <c r="AY1019" s="4">
        <f t="shared" si="63"/>
        <v>0</v>
      </c>
      <c r="BA1019" s="4" t="s">
        <v>5726</v>
      </c>
      <c r="BB1019" s="2"/>
      <c r="BC1019" s="3"/>
      <c r="BD1019" s="4"/>
    </row>
    <row r="1020" spans="1:56" ht="16.8" customHeight="1">
      <c r="A1020" s="1">
        <v>1019</v>
      </c>
      <c r="B1020" s="1" t="s">
        <v>3175</v>
      </c>
      <c r="C1020" s="1" t="s">
        <v>3654</v>
      </c>
      <c r="D1020" s="1" t="s">
        <v>3947</v>
      </c>
      <c r="E1020" s="1" t="s">
        <v>3947</v>
      </c>
      <c r="F1020" s="1" t="s">
        <v>3948</v>
      </c>
      <c r="G1020" s="1" t="s">
        <v>3405</v>
      </c>
      <c r="H1020" s="1" t="s">
        <v>4696</v>
      </c>
      <c r="I1020" s="18" t="s">
        <v>4783</v>
      </c>
      <c r="J1020" s="18" t="s">
        <v>5132</v>
      </c>
      <c r="K1020" s="18" t="s">
        <v>4742</v>
      </c>
      <c r="L1020" s="18" t="s">
        <v>4734</v>
      </c>
      <c r="M1020" s="2">
        <v>3000000</v>
      </c>
      <c r="N1020" s="2">
        <v>3000000</v>
      </c>
      <c r="O1020" s="2"/>
      <c r="P1020" s="2" t="str">
        <f t="shared" si="60"/>
        <v/>
      </c>
      <c r="Q1020" s="2"/>
      <c r="R1020" s="2"/>
      <c r="S1020" s="48"/>
      <c r="T1020" s="2">
        <v>18000000</v>
      </c>
      <c r="U1020" s="2">
        <v>0</v>
      </c>
      <c r="V1020" s="1" t="s">
        <v>3949</v>
      </c>
      <c r="W1020" s="6" t="s">
        <v>3950</v>
      </c>
      <c r="X1020" s="1" t="s">
        <v>3257</v>
      </c>
      <c r="Y1020" s="3"/>
      <c r="Z1020" s="3"/>
      <c r="AA1020" s="3"/>
      <c r="AB1020" s="3"/>
      <c r="AC1020" s="3"/>
      <c r="AD1020" s="3"/>
      <c r="AE1020" s="3">
        <v>3000000</v>
      </c>
      <c r="AF1020" s="3">
        <v>3000000</v>
      </c>
      <c r="AG1020" s="3">
        <v>3000000</v>
      </c>
      <c r="AH1020" s="3">
        <v>3000000</v>
      </c>
      <c r="AI1020" s="3">
        <v>3000000</v>
      </c>
      <c r="AJ1020" s="3">
        <v>3000000</v>
      </c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>
        <f t="shared" si="61"/>
        <v>18000000</v>
      </c>
      <c r="AX1020" s="3">
        <f t="shared" si="62"/>
        <v>0</v>
      </c>
      <c r="AY1020" s="4">
        <f t="shared" si="63"/>
        <v>6</v>
      </c>
      <c r="AZ1020" s="8" t="s">
        <v>5553</v>
      </c>
      <c r="BA1020" s="4" t="s">
        <v>5726</v>
      </c>
      <c r="BB1020" s="2"/>
      <c r="BC1020" s="3"/>
      <c r="BD1020" s="4"/>
    </row>
    <row r="1021" spans="1:56" ht="16.8" customHeight="1">
      <c r="A1021" s="1">
        <v>1020</v>
      </c>
      <c r="B1021" s="1" t="s">
        <v>3175</v>
      </c>
      <c r="C1021" s="1" t="s">
        <v>3654</v>
      </c>
      <c r="D1021" s="1" t="s">
        <v>3951</v>
      </c>
      <c r="E1021" s="1" t="s">
        <v>3951</v>
      </c>
      <c r="F1021" s="1" t="s">
        <v>3952</v>
      </c>
      <c r="G1021" s="1" t="s">
        <v>3953</v>
      </c>
      <c r="H1021" s="1" t="s">
        <v>5043</v>
      </c>
      <c r="I1021" s="18"/>
      <c r="J1021" s="18"/>
      <c r="K1021" s="18"/>
      <c r="L1021" s="18"/>
      <c r="M1021" s="2">
        <v>3000000</v>
      </c>
      <c r="N1021" s="2">
        <v>3300000</v>
      </c>
      <c r="O1021" s="2">
        <v>3300000</v>
      </c>
      <c r="P1021" s="2">
        <f t="shared" si="60"/>
        <v>300000</v>
      </c>
      <c r="Q1021" s="2"/>
      <c r="R1021" s="2"/>
      <c r="S1021" s="48"/>
      <c r="T1021" s="2">
        <v>0</v>
      </c>
      <c r="U1021" s="2">
        <v>0</v>
      </c>
      <c r="V1021" s="1"/>
      <c r="W1021" s="6"/>
      <c r="X1021" s="1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>
        <f t="shared" si="61"/>
        <v>0</v>
      </c>
      <c r="AX1021" s="3">
        <f t="shared" si="62"/>
        <v>0</v>
      </c>
      <c r="AY1021" s="4">
        <f t="shared" si="63"/>
        <v>0</v>
      </c>
      <c r="BA1021" s="4" t="s">
        <v>5726</v>
      </c>
      <c r="BB1021" s="2"/>
      <c r="BC1021" s="3"/>
      <c r="BD1021" s="4"/>
    </row>
    <row r="1022" spans="1:56" ht="16.8" customHeight="1">
      <c r="A1022" s="1">
        <v>1021</v>
      </c>
      <c r="B1022" s="1" t="s">
        <v>3175</v>
      </c>
      <c r="C1022" s="1" t="s">
        <v>3654</v>
      </c>
      <c r="D1022" s="1" t="s">
        <v>3954</v>
      </c>
      <c r="E1022" s="1" t="s">
        <v>3954</v>
      </c>
      <c r="F1022" s="1" t="s">
        <v>3955</v>
      </c>
      <c r="G1022" s="1" t="s">
        <v>3956</v>
      </c>
      <c r="H1022" s="1" t="s">
        <v>4697</v>
      </c>
      <c r="I1022" s="18" t="s">
        <v>4783</v>
      </c>
      <c r="J1022" s="18" t="s">
        <v>5132</v>
      </c>
      <c r="K1022" s="18" t="s">
        <v>4752</v>
      </c>
      <c r="L1022" s="18" t="s">
        <v>4734</v>
      </c>
      <c r="M1022" s="2">
        <v>3600000</v>
      </c>
      <c r="N1022" s="2">
        <v>3600000</v>
      </c>
      <c r="O1022" s="2"/>
      <c r="P1022" s="2" t="str">
        <f t="shared" si="60"/>
        <v/>
      </c>
      <c r="Q1022" s="2"/>
      <c r="R1022" s="2"/>
      <c r="S1022" s="48"/>
      <c r="T1022" s="2">
        <v>21600000</v>
      </c>
      <c r="U1022" s="2">
        <v>0</v>
      </c>
      <c r="V1022" s="1" t="s">
        <v>3956</v>
      </c>
      <c r="W1022" s="6" t="s">
        <v>3957</v>
      </c>
      <c r="X1022" s="1" t="s">
        <v>3257</v>
      </c>
      <c r="Y1022" s="3"/>
      <c r="Z1022" s="3"/>
      <c r="AA1022" s="3"/>
      <c r="AB1022" s="3"/>
      <c r="AC1022" s="3"/>
      <c r="AD1022" s="3"/>
      <c r="AE1022" s="3">
        <v>3600000</v>
      </c>
      <c r="AF1022" s="3">
        <v>3600000</v>
      </c>
      <c r="AG1022" s="3">
        <v>3600000</v>
      </c>
      <c r="AH1022" s="3">
        <v>3600000</v>
      </c>
      <c r="AI1022" s="3">
        <v>3600000</v>
      </c>
      <c r="AJ1022" s="3">
        <v>3600000</v>
      </c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>
        <f t="shared" si="61"/>
        <v>21600000</v>
      </c>
      <c r="AX1022" s="3">
        <f t="shared" si="62"/>
        <v>0</v>
      </c>
      <c r="AY1022" s="4">
        <f t="shared" si="63"/>
        <v>6</v>
      </c>
      <c r="AZ1022" s="8" t="s">
        <v>5553</v>
      </c>
      <c r="BA1022" s="4" t="s">
        <v>5726</v>
      </c>
      <c r="BB1022" s="2"/>
      <c r="BC1022" s="3"/>
      <c r="BD1022" s="4"/>
    </row>
    <row r="1023" spans="1:56" ht="16.8" customHeight="1">
      <c r="A1023" s="1">
        <v>1022</v>
      </c>
      <c r="B1023" s="1" t="s">
        <v>3175</v>
      </c>
      <c r="C1023" s="1" t="s">
        <v>3654</v>
      </c>
      <c r="D1023" s="1" t="s">
        <v>3958</v>
      </c>
      <c r="E1023" s="1" t="s">
        <v>3958</v>
      </c>
      <c r="F1023" s="1" t="s">
        <v>3959</v>
      </c>
      <c r="G1023" s="1" t="s">
        <v>3960</v>
      </c>
      <c r="H1023" s="1" t="s">
        <v>4698</v>
      </c>
      <c r="I1023" s="18" t="s">
        <v>4783</v>
      </c>
      <c r="J1023" s="18" t="s">
        <v>5132</v>
      </c>
      <c r="K1023" s="18" t="s">
        <v>4752</v>
      </c>
      <c r="L1023" s="18" t="s">
        <v>4734</v>
      </c>
      <c r="M1023" s="2">
        <v>3000000</v>
      </c>
      <c r="N1023" s="2">
        <v>3300000</v>
      </c>
      <c r="O1023" s="2"/>
      <c r="P1023" s="2">
        <f t="shared" si="60"/>
        <v>300000</v>
      </c>
      <c r="Q1023" s="2"/>
      <c r="R1023" s="2"/>
      <c r="S1023" s="48"/>
      <c r="T1023" s="2">
        <v>18000000</v>
      </c>
      <c r="U1023" s="2">
        <v>0</v>
      </c>
      <c r="V1023" s="1" t="s">
        <v>3960</v>
      </c>
      <c r="W1023" s="6" t="s">
        <v>3961</v>
      </c>
      <c r="X1023" s="1" t="s">
        <v>3278</v>
      </c>
      <c r="Y1023" s="3"/>
      <c r="Z1023" s="3"/>
      <c r="AA1023" s="3"/>
      <c r="AB1023" s="3"/>
      <c r="AC1023" s="3"/>
      <c r="AD1023" s="3"/>
      <c r="AE1023" s="3">
        <v>3000000</v>
      </c>
      <c r="AF1023" s="3">
        <v>3000000</v>
      </c>
      <c r="AG1023" s="3">
        <v>3000000</v>
      </c>
      <c r="AH1023" s="3">
        <v>3000000</v>
      </c>
      <c r="AI1023" s="3">
        <v>3000000</v>
      </c>
      <c r="AJ1023" s="3">
        <v>3000000</v>
      </c>
      <c r="AK1023" s="3">
        <v>3300000</v>
      </c>
      <c r="AL1023" s="3">
        <v>3300000</v>
      </c>
      <c r="AM1023" s="3">
        <v>3300000</v>
      </c>
      <c r="AN1023" s="3">
        <v>3300000</v>
      </c>
      <c r="AO1023" s="3">
        <v>3300000</v>
      </c>
      <c r="AP1023" s="3">
        <v>3300000</v>
      </c>
      <c r="AQ1023" s="3"/>
      <c r="AR1023" s="3"/>
      <c r="AS1023" s="3"/>
      <c r="AT1023" s="3"/>
      <c r="AU1023" s="3"/>
      <c r="AV1023" s="3"/>
      <c r="AW1023" s="3">
        <f t="shared" si="61"/>
        <v>18000000</v>
      </c>
      <c r="AX1023" s="3">
        <f t="shared" si="62"/>
        <v>19800000</v>
      </c>
      <c r="AY1023" s="4">
        <f t="shared" si="63"/>
        <v>12</v>
      </c>
      <c r="AZ1023" s="8" t="s">
        <v>5495</v>
      </c>
      <c r="BA1023" s="4" t="s">
        <v>5726</v>
      </c>
      <c r="BB1023" s="2"/>
      <c r="BC1023" s="3"/>
      <c r="BD1023" s="3"/>
    </row>
    <row r="1024" spans="1:56" ht="16.8" customHeight="1">
      <c r="A1024" s="1">
        <v>1023</v>
      </c>
      <c r="B1024" s="1" t="s">
        <v>3175</v>
      </c>
      <c r="C1024" s="1" t="s">
        <v>3654</v>
      </c>
      <c r="D1024" s="1" t="s">
        <v>3962</v>
      </c>
      <c r="E1024" s="1" t="s">
        <v>3962</v>
      </c>
      <c r="F1024" s="1" t="s">
        <v>3963</v>
      </c>
      <c r="G1024" s="1" t="s">
        <v>3964</v>
      </c>
      <c r="H1024" s="1" t="s">
        <v>4699</v>
      </c>
      <c r="I1024" s="18" t="s">
        <v>4783</v>
      </c>
      <c r="J1024" s="18" t="s">
        <v>5132</v>
      </c>
      <c r="K1024" s="18" t="s">
        <v>4752</v>
      </c>
      <c r="L1024" s="18" t="s">
        <v>4734</v>
      </c>
      <c r="M1024" s="2">
        <v>3100000</v>
      </c>
      <c r="N1024" s="2">
        <v>3100000</v>
      </c>
      <c r="O1024" s="2"/>
      <c r="P1024" s="2" t="str">
        <f t="shared" si="60"/>
        <v/>
      </c>
      <c r="Q1024" s="2"/>
      <c r="R1024" s="2"/>
      <c r="S1024" s="48"/>
      <c r="T1024" s="2">
        <v>18600000</v>
      </c>
      <c r="U1024" s="2">
        <v>0</v>
      </c>
      <c r="V1024" s="1" t="s">
        <v>3964</v>
      </c>
      <c r="W1024" s="6" t="s">
        <v>3965</v>
      </c>
      <c r="X1024" s="1" t="s">
        <v>3966</v>
      </c>
      <c r="Y1024" s="3"/>
      <c r="Z1024" s="3"/>
      <c r="AA1024" s="3"/>
      <c r="AB1024" s="3"/>
      <c r="AC1024" s="3"/>
      <c r="AD1024" s="3"/>
      <c r="AE1024" s="3">
        <v>3100000</v>
      </c>
      <c r="AF1024" s="3">
        <v>3100000</v>
      </c>
      <c r="AG1024" s="3">
        <v>3100000</v>
      </c>
      <c r="AH1024" s="3">
        <v>3100000</v>
      </c>
      <c r="AI1024" s="3">
        <v>3100000</v>
      </c>
      <c r="AJ1024" s="3">
        <v>3100000</v>
      </c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>
        <f t="shared" si="61"/>
        <v>18600000</v>
      </c>
      <c r="AX1024" s="3">
        <f t="shared" si="62"/>
        <v>0</v>
      </c>
      <c r="AY1024" s="4">
        <f t="shared" si="63"/>
        <v>6</v>
      </c>
      <c r="AZ1024" s="8">
        <v>0</v>
      </c>
      <c r="BA1024" s="4" t="s">
        <v>5726</v>
      </c>
      <c r="BB1024" s="2"/>
      <c r="BC1024" s="3"/>
      <c r="BD1024" s="4"/>
    </row>
    <row r="1025" spans="1:56" ht="16.8" customHeight="1">
      <c r="A1025" s="1">
        <v>1024</v>
      </c>
      <c r="B1025" s="1" t="s">
        <v>3175</v>
      </c>
      <c r="C1025" s="1" t="s">
        <v>3654</v>
      </c>
      <c r="D1025" s="1" t="s">
        <v>3967</v>
      </c>
      <c r="E1025" s="1" t="s">
        <v>3967</v>
      </c>
      <c r="F1025" s="1" t="s">
        <v>3968</v>
      </c>
      <c r="G1025" s="1" t="s">
        <v>3343</v>
      </c>
      <c r="H1025" s="1" t="s">
        <v>4700</v>
      </c>
      <c r="I1025" s="18" t="s">
        <v>4783</v>
      </c>
      <c r="J1025" s="18" t="s">
        <v>5132</v>
      </c>
      <c r="K1025" s="18" t="s">
        <v>4752</v>
      </c>
      <c r="L1025" s="18" t="s">
        <v>4734</v>
      </c>
      <c r="M1025" s="2">
        <v>3000000</v>
      </c>
      <c r="N1025" s="2">
        <v>3000000</v>
      </c>
      <c r="O1025" s="2"/>
      <c r="P1025" s="2" t="str">
        <f t="shared" si="60"/>
        <v/>
      </c>
      <c r="Q1025" s="2"/>
      <c r="R1025" s="2"/>
      <c r="S1025" s="48"/>
      <c r="T1025" s="2">
        <v>18000000</v>
      </c>
      <c r="U1025" s="2">
        <v>0</v>
      </c>
      <c r="V1025" s="1" t="s">
        <v>3343</v>
      </c>
      <c r="W1025" s="6" t="s">
        <v>3969</v>
      </c>
      <c r="X1025" s="1" t="s">
        <v>3257</v>
      </c>
      <c r="Y1025" s="3"/>
      <c r="Z1025" s="3"/>
      <c r="AA1025" s="3"/>
      <c r="AB1025" s="3"/>
      <c r="AC1025" s="3"/>
      <c r="AD1025" s="3"/>
      <c r="AE1025" s="3">
        <v>3000000</v>
      </c>
      <c r="AF1025" s="3">
        <v>3000000</v>
      </c>
      <c r="AG1025" s="3">
        <v>3000000</v>
      </c>
      <c r="AH1025" s="3">
        <v>3000000</v>
      </c>
      <c r="AI1025" s="3">
        <v>3000000</v>
      </c>
      <c r="AJ1025" s="3">
        <v>3000000</v>
      </c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>
        <f t="shared" si="61"/>
        <v>18000000</v>
      </c>
      <c r="AX1025" s="3">
        <f t="shared" si="62"/>
        <v>0</v>
      </c>
      <c r="AY1025" s="4">
        <f t="shared" si="63"/>
        <v>6</v>
      </c>
      <c r="AZ1025" s="8">
        <v>0</v>
      </c>
      <c r="BA1025" s="4" t="s">
        <v>5726</v>
      </c>
      <c r="BB1025" s="2"/>
      <c r="BC1025" s="3"/>
      <c r="BD1025" s="4"/>
    </row>
    <row r="1026" spans="1:56" ht="16.8" customHeight="1">
      <c r="A1026" s="1">
        <v>1025</v>
      </c>
      <c r="B1026" s="1" t="s">
        <v>3175</v>
      </c>
      <c r="C1026" s="1" t="s">
        <v>3654</v>
      </c>
      <c r="D1026" s="1" t="s">
        <v>3970</v>
      </c>
      <c r="E1026" s="1" t="s">
        <v>3970</v>
      </c>
      <c r="F1026" s="1" t="s">
        <v>3971</v>
      </c>
      <c r="G1026" s="1" t="s">
        <v>3972</v>
      </c>
      <c r="H1026" s="1" t="s">
        <v>5366</v>
      </c>
      <c r="I1026" s="18" t="s">
        <v>4783</v>
      </c>
      <c r="J1026" s="18" t="s">
        <v>5132</v>
      </c>
      <c r="K1026" s="18" t="s">
        <v>4752</v>
      </c>
      <c r="L1026" s="18" t="s">
        <v>4734</v>
      </c>
      <c r="M1026" s="2">
        <v>3100000</v>
      </c>
      <c r="N1026" s="2">
        <v>3100000</v>
      </c>
      <c r="O1026" s="2"/>
      <c r="P1026" s="2" t="str">
        <f t="shared" ref="P1026:P1089" si="64">IF(OR(M1026="",N1026="",M1026=N1026),"",N1026-M1026)</f>
        <v/>
      </c>
      <c r="Q1026" s="2"/>
      <c r="R1026" s="2"/>
      <c r="S1026" s="48"/>
      <c r="T1026" s="2">
        <v>18600000</v>
      </c>
      <c r="U1026" s="2">
        <v>0</v>
      </c>
      <c r="V1026" s="1" t="s">
        <v>3972</v>
      </c>
      <c r="W1026" s="6" t="s">
        <v>3973</v>
      </c>
      <c r="X1026" s="1" t="s">
        <v>3305</v>
      </c>
      <c r="Y1026" s="3"/>
      <c r="Z1026" s="3"/>
      <c r="AA1026" s="3"/>
      <c r="AB1026" s="3"/>
      <c r="AC1026" s="3"/>
      <c r="AD1026" s="3"/>
      <c r="AE1026" s="3">
        <v>3100000</v>
      </c>
      <c r="AF1026" s="3">
        <v>3100000</v>
      </c>
      <c r="AG1026" s="3">
        <v>3100000</v>
      </c>
      <c r="AH1026" s="3">
        <v>3100000</v>
      </c>
      <c r="AI1026" s="3">
        <v>3100000</v>
      </c>
      <c r="AJ1026" s="3">
        <v>3100000</v>
      </c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>
        <f t="shared" ref="AW1026:AW1089" si="65">SUM(Y1026:AJ1026)</f>
        <v>18600000</v>
      </c>
      <c r="AX1026" s="3">
        <f t="shared" ref="AX1026:AX1089" si="66">SUM(AK1026:AV1026)</f>
        <v>0</v>
      </c>
      <c r="AY1026" s="4">
        <f t="shared" ref="AY1026:AY1089" si="67">COUNT(Y1026:AV1026)</f>
        <v>6</v>
      </c>
      <c r="AZ1026" s="8">
        <v>0</v>
      </c>
      <c r="BA1026" s="4" t="s">
        <v>5726</v>
      </c>
      <c r="BB1026" s="2"/>
      <c r="BC1026" s="3"/>
      <c r="BD1026" s="4"/>
    </row>
    <row r="1027" spans="1:56" ht="16.8" customHeight="1">
      <c r="A1027" s="1">
        <v>1026</v>
      </c>
      <c r="B1027" s="1" t="s">
        <v>3175</v>
      </c>
      <c r="C1027" s="1" t="s">
        <v>3654</v>
      </c>
      <c r="D1027" s="1" t="s">
        <v>3974</v>
      </c>
      <c r="E1027" s="1" t="s">
        <v>3974</v>
      </c>
      <c r="F1027" s="1" t="s">
        <v>3975</v>
      </c>
      <c r="G1027" s="1" t="s">
        <v>3976</v>
      </c>
      <c r="H1027" s="1" t="s">
        <v>5367</v>
      </c>
      <c r="I1027" s="18" t="s">
        <v>4783</v>
      </c>
      <c r="J1027" s="18" t="s">
        <v>5132</v>
      </c>
      <c r="K1027" s="18" t="s">
        <v>4752</v>
      </c>
      <c r="L1027" s="18" t="s">
        <v>4734</v>
      </c>
      <c r="M1027" s="2">
        <v>3000000</v>
      </c>
      <c r="N1027" s="2">
        <v>3000000</v>
      </c>
      <c r="O1027" s="2"/>
      <c r="P1027" s="2" t="str">
        <f t="shared" si="64"/>
        <v/>
      </c>
      <c r="Q1027" s="2"/>
      <c r="R1027" s="2"/>
      <c r="S1027" s="48"/>
      <c r="T1027" s="2">
        <v>18000000</v>
      </c>
      <c r="U1027" s="2">
        <v>0</v>
      </c>
      <c r="V1027" s="1" t="s">
        <v>3977</v>
      </c>
      <c r="W1027" s="6" t="s">
        <v>3978</v>
      </c>
      <c r="X1027" s="1" t="s">
        <v>3315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>
        <v>3000000</v>
      </c>
      <c r="AI1027" s="3">
        <v>3000000</v>
      </c>
      <c r="AJ1027" s="3">
        <v>3000000</v>
      </c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>
        <f t="shared" si="65"/>
        <v>9000000</v>
      </c>
      <c r="AX1027" s="3">
        <f t="shared" si="66"/>
        <v>0</v>
      </c>
      <c r="AY1027" s="4">
        <f t="shared" si="67"/>
        <v>3</v>
      </c>
      <c r="AZ1027" s="8">
        <v>0</v>
      </c>
      <c r="BA1027" s="4" t="s">
        <v>5726</v>
      </c>
      <c r="BB1027" s="2"/>
      <c r="BC1027" s="3"/>
      <c r="BD1027" s="4"/>
    </row>
    <row r="1028" spans="1:56" ht="16.8" customHeight="1">
      <c r="A1028" s="1">
        <v>1027</v>
      </c>
      <c r="B1028" s="1" t="s">
        <v>3175</v>
      </c>
      <c r="C1028" s="1" t="s">
        <v>3654</v>
      </c>
      <c r="D1028" s="1" t="s">
        <v>3979</v>
      </c>
      <c r="E1028" s="1" t="s">
        <v>3979</v>
      </c>
      <c r="F1028" s="1" t="s">
        <v>3980</v>
      </c>
      <c r="G1028" s="1" t="s">
        <v>3981</v>
      </c>
      <c r="H1028" s="1" t="s">
        <v>4701</v>
      </c>
      <c r="I1028" s="18" t="s">
        <v>4783</v>
      </c>
      <c r="J1028" s="18" t="s">
        <v>5132</v>
      </c>
      <c r="K1028" s="18" t="s">
        <v>4741</v>
      </c>
      <c r="L1028" s="18" t="s">
        <v>4734</v>
      </c>
      <c r="M1028" s="2">
        <v>3240000</v>
      </c>
      <c r="N1028" s="2">
        <v>3564000</v>
      </c>
      <c r="O1028" s="2"/>
      <c r="P1028" s="2">
        <f t="shared" si="64"/>
        <v>324000</v>
      </c>
      <c r="Q1028" s="2"/>
      <c r="R1028" s="2"/>
      <c r="S1028" s="48"/>
      <c r="T1028" s="2">
        <v>19440000</v>
      </c>
      <c r="U1028" s="2">
        <v>0</v>
      </c>
      <c r="V1028" s="1" t="s">
        <v>3981</v>
      </c>
      <c r="W1028" s="6" t="s">
        <v>3982</v>
      </c>
      <c r="X1028" s="1" t="s">
        <v>333</v>
      </c>
      <c r="Y1028" s="3"/>
      <c r="Z1028" s="3"/>
      <c r="AA1028" s="3"/>
      <c r="AB1028" s="3"/>
      <c r="AC1028" s="3"/>
      <c r="AD1028" s="3"/>
      <c r="AE1028" s="3">
        <v>3240000</v>
      </c>
      <c r="AF1028" s="3">
        <v>3240000</v>
      </c>
      <c r="AG1028" s="3">
        <v>3240000</v>
      </c>
      <c r="AH1028" s="3">
        <v>3240000</v>
      </c>
      <c r="AI1028" s="3">
        <v>3240000</v>
      </c>
      <c r="AJ1028" s="3">
        <v>3240000</v>
      </c>
      <c r="AK1028" s="3">
        <v>3564000</v>
      </c>
      <c r="AL1028" s="3">
        <v>3564000</v>
      </c>
      <c r="AM1028" s="3">
        <v>3564000</v>
      </c>
      <c r="AN1028" s="3">
        <v>3564000</v>
      </c>
      <c r="AO1028" s="3">
        <v>3564000</v>
      </c>
      <c r="AP1028" s="3">
        <v>3564000</v>
      </c>
      <c r="AQ1028" s="3"/>
      <c r="AR1028" s="3"/>
      <c r="AS1028" s="3"/>
      <c r="AT1028" s="3"/>
      <c r="AU1028" s="3"/>
      <c r="AV1028" s="3"/>
      <c r="AW1028" s="3">
        <f t="shared" si="65"/>
        <v>19440000</v>
      </c>
      <c r="AX1028" s="3">
        <f t="shared" si="66"/>
        <v>21384000</v>
      </c>
      <c r="AY1028" s="4">
        <f t="shared" si="67"/>
        <v>12</v>
      </c>
      <c r="AZ1028" s="8">
        <v>0</v>
      </c>
      <c r="BA1028" s="4" t="s">
        <v>5710</v>
      </c>
      <c r="BB1028" s="2"/>
      <c r="BC1028" s="3"/>
      <c r="BD1028" s="4"/>
    </row>
    <row r="1029" spans="1:56" s="26" customFormat="1" ht="16.8" customHeight="1">
      <c r="A1029" s="20">
        <v>1028</v>
      </c>
      <c r="B1029" s="20" t="s">
        <v>3175</v>
      </c>
      <c r="C1029" s="20" t="s">
        <v>3654</v>
      </c>
      <c r="D1029" s="20" t="s">
        <v>3983</v>
      </c>
      <c r="E1029" s="20" t="s">
        <v>3983</v>
      </c>
      <c r="F1029" s="20" t="s">
        <v>3984</v>
      </c>
      <c r="G1029" s="20" t="s">
        <v>3985</v>
      </c>
      <c r="H1029" s="20" t="s">
        <v>4702</v>
      </c>
      <c r="I1029" s="21" t="s">
        <v>4783</v>
      </c>
      <c r="J1029" s="21" t="s">
        <v>5132</v>
      </c>
      <c r="K1029" s="21" t="s">
        <v>4741</v>
      </c>
      <c r="L1029" s="21" t="s">
        <v>4734</v>
      </c>
      <c r="M1029" s="22">
        <v>3100000</v>
      </c>
      <c r="N1029" s="22">
        <v>3100000</v>
      </c>
      <c r="O1029" s="22">
        <v>3410000</v>
      </c>
      <c r="P1029" s="22" t="str">
        <f t="shared" si="64"/>
        <v/>
      </c>
      <c r="Q1029" s="2"/>
      <c r="R1029" s="2"/>
      <c r="S1029" s="48"/>
      <c r="T1029" s="22">
        <v>18600000</v>
      </c>
      <c r="U1029" s="22">
        <v>0</v>
      </c>
      <c r="V1029" s="20" t="s">
        <v>3986</v>
      </c>
      <c r="W1029" s="23" t="s">
        <v>3987</v>
      </c>
      <c r="X1029" s="20" t="s">
        <v>333</v>
      </c>
      <c r="Y1029" s="24"/>
      <c r="Z1029" s="24"/>
      <c r="AA1029" s="24"/>
      <c r="AB1029" s="24"/>
      <c r="AC1029" s="24"/>
      <c r="AD1029" s="24"/>
      <c r="AE1029" s="24">
        <v>3100000</v>
      </c>
      <c r="AF1029" s="24">
        <v>3100000</v>
      </c>
      <c r="AG1029" s="24">
        <v>3100000</v>
      </c>
      <c r="AH1029" s="24">
        <v>3100000</v>
      </c>
      <c r="AI1029" s="24">
        <v>3100000</v>
      </c>
      <c r="AJ1029" s="24">
        <v>3100000</v>
      </c>
      <c r="AK1029" s="24">
        <v>3100000</v>
      </c>
      <c r="AL1029" s="24">
        <v>3100000</v>
      </c>
      <c r="AM1029" s="24">
        <v>3100000</v>
      </c>
      <c r="AN1029" s="24">
        <v>3100000</v>
      </c>
      <c r="AO1029" s="24">
        <v>3100000</v>
      </c>
      <c r="AP1029" s="24">
        <v>3100000</v>
      </c>
      <c r="AQ1029" s="24"/>
      <c r="AR1029" s="24"/>
      <c r="AS1029" s="24"/>
      <c r="AT1029" s="24"/>
      <c r="AU1029" s="24"/>
      <c r="AV1029" s="24"/>
      <c r="AW1029" s="24">
        <f t="shared" si="65"/>
        <v>18600000</v>
      </c>
      <c r="AX1029" s="24">
        <f t="shared" si="66"/>
        <v>18600000</v>
      </c>
      <c r="AY1029" s="25">
        <f t="shared" si="67"/>
        <v>12</v>
      </c>
      <c r="AZ1029" s="26">
        <v>0</v>
      </c>
      <c r="BA1029" s="4" t="s">
        <v>5726</v>
      </c>
      <c r="BB1029" s="22"/>
      <c r="BC1029" s="3"/>
      <c r="BD1029" s="24"/>
    </row>
    <row r="1030" spans="1:56" ht="16.8" customHeight="1">
      <c r="A1030" s="1">
        <v>1029</v>
      </c>
      <c r="B1030" s="1" t="s">
        <v>3175</v>
      </c>
      <c r="C1030" s="1" t="s">
        <v>3654</v>
      </c>
      <c r="D1030" s="1" t="s">
        <v>3988</v>
      </c>
      <c r="E1030" s="1" t="s">
        <v>3988</v>
      </c>
      <c r="F1030" s="1" t="s">
        <v>3989</v>
      </c>
      <c r="G1030" s="1" t="s">
        <v>3990</v>
      </c>
      <c r="H1030" s="1" t="s">
        <v>4703</v>
      </c>
      <c r="I1030" s="18" t="s">
        <v>4783</v>
      </c>
      <c r="J1030" s="18" t="s">
        <v>5018</v>
      </c>
      <c r="K1030" s="18" t="s">
        <v>4742</v>
      </c>
      <c r="L1030" s="18" t="s">
        <v>4734</v>
      </c>
      <c r="M1030" s="2">
        <v>3000000</v>
      </c>
      <c r="N1030" s="2">
        <v>3300000</v>
      </c>
      <c r="O1030" s="2">
        <v>3300000</v>
      </c>
      <c r="P1030" s="2">
        <f t="shared" si="64"/>
        <v>300000</v>
      </c>
      <c r="Q1030" s="2"/>
      <c r="R1030" s="2"/>
      <c r="S1030" s="48"/>
      <c r="T1030" s="2">
        <v>0</v>
      </c>
      <c r="U1030" s="2">
        <v>0</v>
      </c>
      <c r="V1030" s="1" t="s">
        <v>3990</v>
      </c>
      <c r="W1030" s="6" t="s">
        <v>3991</v>
      </c>
      <c r="X1030" s="1" t="s">
        <v>333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>
        <v>3300000</v>
      </c>
      <c r="AL1030" s="3">
        <v>3300000</v>
      </c>
      <c r="AM1030" s="3">
        <v>3300000</v>
      </c>
      <c r="AN1030" s="3">
        <v>3300000</v>
      </c>
      <c r="AO1030" s="3">
        <v>3300000</v>
      </c>
      <c r="AP1030" s="3">
        <v>3300000</v>
      </c>
      <c r="AQ1030" s="3">
        <v>3300000</v>
      </c>
      <c r="AR1030" s="3">
        <v>3300000</v>
      </c>
      <c r="AS1030" s="3">
        <v>3300000</v>
      </c>
      <c r="AT1030" s="3">
        <v>3300000</v>
      </c>
      <c r="AU1030" s="3">
        <v>3300000</v>
      </c>
      <c r="AV1030" s="3">
        <v>3300000</v>
      </c>
      <c r="AW1030" s="3">
        <f t="shared" si="65"/>
        <v>0</v>
      </c>
      <c r="AX1030" s="3">
        <f t="shared" si="66"/>
        <v>39600000</v>
      </c>
      <c r="AY1030" s="4">
        <f t="shared" si="67"/>
        <v>12</v>
      </c>
      <c r="AZ1030" s="8" t="s">
        <v>5637</v>
      </c>
      <c r="BA1030" s="4" t="s">
        <v>5709</v>
      </c>
      <c r="BB1030" s="2"/>
      <c r="BC1030" s="3"/>
      <c r="BD1030" s="4"/>
    </row>
    <row r="1031" spans="1:56" ht="16.8" customHeight="1">
      <c r="A1031" s="1">
        <v>1030</v>
      </c>
      <c r="B1031" s="1" t="s">
        <v>3175</v>
      </c>
      <c r="C1031" s="1" t="s">
        <v>3654</v>
      </c>
      <c r="D1031" s="1" t="s">
        <v>3992</v>
      </c>
      <c r="E1031" s="1" t="s">
        <v>3992</v>
      </c>
      <c r="F1031" s="1" t="s">
        <v>3993</v>
      </c>
      <c r="G1031" s="1" t="s">
        <v>3994</v>
      </c>
      <c r="H1031" s="1" t="s">
        <v>5368</v>
      </c>
      <c r="I1031" s="18" t="s">
        <v>4783</v>
      </c>
      <c r="J1031" s="18" t="s">
        <v>5132</v>
      </c>
      <c r="K1031" s="18" t="s">
        <v>4752</v>
      </c>
      <c r="L1031" s="18" t="s">
        <v>4734</v>
      </c>
      <c r="M1031" s="2">
        <v>3000000</v>
      </c>
      <c r="N1031" s="2">
        <v>3000000</v>
      </c>
      <c r="O1031" s="2"/>
      <c r="P1031" s="2" t="str">
        <f t="shared" si="64"/>
        <v/>
      </c>
      <c r="Q1031" s="2"/>
      <c r="R1031" s="2"/>
      <c r="S1031" s="48"/>
      <c r="T1031" s="2">
        <v>18000000</v>
      </c>
      <c r="U1031" s="2">
        <v>0</v>
      </c>
      <c r="V1031" s="1" t="s">
        <v>3994</v>
      </c>
      <c r="W1031" s="6" t="s">
        <v>3995</v>
      </c>
      <c r="X1031" s="1" t="s">
        <v>3257</v>
      </c>
      <c r="Y1031" s="3"/>
      <c r="Z1031" s="3"/>
      <c r="AA1031" s="3"/>
      <c r="AB1031" s="3"/>
      <c r="AC1031" s="3"/>
      <c r="AD1031" s="3"/>
      <c r="AE1031" s="3">
        <v>3000000</v>
      </c>
      <c r="AF1031" s="3">
        <v>3000000</v>
      </c>
      <c r="AG1031" s="3">
        <v>3000000</v>
      </c>
      <c r="AH1031" s="3">
        <v>3000000</v>
      </c>
      <c r="AI1031" s="3">
        <v>3000000</v>
      </c>
      <c r="AJ1031" s="3">
        <v>3000000</v>
      </c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>
        <f t="shared" si="65"/>
        <v>18000000</v>
      </c>
      <c r="AX1031" s="3">
        <f t="shared" si="66"/>
        <v>0</v>
      </c>
      <c r="AY1031" s="4">
        <f t="shared" si="67"/>
        <v>6</v>
      </c>
      <c r="AZ1031" s="8">
        <v>0</v>
      </c>
      <c r="BA1031" s="4" t="s">
        <v>5726</v>
      </c>
      <c r="BB1031" s="2"/>
      <c r="BC1031" s="3"/>
      <c r="BD1031" s="4"/>
    </row>
    <row r="1032" spans="1:56" ht="16.8" customHeight="1">
      <c r="A1032" s="1">
        <v>1031</v>
      </c>
      <c r="B1032" s="1" t="s">
        <v>3175</v>
      </c>
      <c r="C1032" s="1" t="s">
        <v>3654</v>
      </c>
      <c r="D1032" s="1" t="s">
        <v>3996</v>
      </c>
      <c r="E1032" s="1" t="s">
        <v>3996</v>
      </c>
      <c r="F1032" s="1" t="s">
        <v>3997</v>
      </c>
      <c r="G1032" s="1" t="s">
        <v>3998</v>
      </c>
      <c r="H1032" s="1" t="s">
        <v>4704</v>
      </c>
      <c r="I1032" s="18" t="s">
        <v>4783</v>
      </c>
      <c r="J1032" s="18" t="s">
        <v>5132</v>
      </c>
      <c r="K1032" s="18" t="s">
        <v>4752</v>
      </c>
      <c r="L1032" s="18" t="s">
        <v>4734</v>
      </c>
      <c r="M1032" s="2">
        <v>3100000</v>
      </c>
      <c r="N1032" s="2">
        <v>3100000</v>
      </c>
      <c r="O1032" s="2"/>
      <c r="P1032" s="2" t="str">
        <f t="shared" si="64"/>
        <v/>
      </c>
      <c r="Q1032" s="2"/>
      <c r="R1032" s="2"/>
      <c r="S1032" s="48"/>
      <c r="T1032" s="2">
        <v>18600000</v>
      </c>
      <c r="U1032" s="2">
        <v>0</v>
      </c>
      <c r="V1032" s="1" t="s">
        <v>3999</v>
      </c>
      <c r="W1032" s="6" t="s">
        <v>4000</v>
      </c>
      <c r="X1032" s="1" t="s">
        <v>4001</v>
      </c>
      <c r="Y1032" s="3"/>
      <c r="Z1032" s="3"/>
      <c r="AA1032" s="3"/>
      <c r="AB1032" s="3"/>
      <c r="AC1032" s="3"/>
      <c r="AD1032" s="3"/>
      <c r="AE1032" s="3">
        <v>3100000</v>
      </c>
      <c r="AF1032" s="3">
        <v>3100000</v>
      </c>
      <c r="AG1032" s="3">
        <v>3100000</v>
      </c>
      <c r="AH1032" s="3">
        <v>3100000</v>
      </c>
      <c r="AI1032" s="3">
        <v>3100000</v>
      </c>
      <c r="AJ1032" s="3">
        <v>3100000</v>
      </c>
      <c r="AK1032" s="3">
        <v>3100000</v>
      </c>
      <c r="AL1032" s="3">
        <v>3100000</v>
      </c>
      <c r="AM1032" s="3">
        <v>3100000</v>
      </c>
      <c r="AN1032" s="3">
        <v>3100000</v>
      </c>
      <c r="AO1032" s="3">
        <v>3100000</v>
      </c>
      <c r="AP1032" s="3">
        <v>3100000</v>
      </c>
      <c r="AQ1032" s="3"/>
      <c r="AR1032" s="3"/>
      <c r="AS1032" s="3"/>
      <c r="AT1032" s="3"/>
      <c r="AU1032" s="3"/>
      <c r="AV1032" s="3"/>
      <c r="AW1032" s="3">
        <f t="shared" si="65"/>
        <v>18600000</v>
      </c>
      <c r="AX1032" s="3">
        <f t="shared" si="66"/>
        <v>18600000</v>
      </c>
      <c r="AY1032" s="4">
        <f t="shared" si="67"/>
        <v>12</v>
      </c>
      <c r="AZ1032" s="8">
        <v>0</v>
      </c>
      <c r="BA1032" s="4" t="s">
        <v>5710</v>
      </c>
      <c r="BB1032" s="2"/>
      <c r="BC1032" s="3"/>
      <c r="BD1032" s="4"/>
    </row>
    <row r="1033" spans="1:56" ht="16.8" customHeight="1">
      <c r="A1033" s="1">
        <v>1032</v>
      </c>
      <c r="B1033" s="1" t="s">
        <v>3175</v>
      </c>
      <c r="C1033" s="1" t="s">
        <v>3654</v>
      </c>
      <c r="D1033" s="1" t="s">
        <v>4002</v>
      </c>
      <c r="E1033" s="1" t="s">
        <v>4002</v>
      </c>
      <c r="F1033" s="1" t="s">
        <v>4003</v>
      </c>
      <c r="G1033" s="1" t="s">
        <v>4004</v>
      </c>
      <c r="H1033" s="1" t="s">
        <v>4705</v>
      </c>
      <c r="I1033" s="18" t="s">
        <v>4783</v>
      </c>
      <c r="J1033" s="18" t="s">
        <v>5018</v>
      </c>
      <c r="K1033" s="18" t="s">
        <v>4752</v>
      </c>
      <c r="L1033" s="18" t="s">
        <v>4734</v>
      </c>
      <c r="M1033" s="2">
        <v>3000000</v>
      </c>
      <c r="N1033" s="2">
        <v>3300000</v>
      </c>
      <c r="O1033" s="2"/>
      <c r="P1033" s="2">
        <f t="shared" si="64"/>
        <v>300000</v>
      </c>
      <c r="Q1033" s="2"/>
      <c r="R1033" s="2"/>
      <c r="S1033" s="48"/>
      <c r="T1033" s="2">
        <v>0</v>
      </c>
      <c r="U1033" s="2">
        <v>0</v>
      </c>
      <c r="V1033" s="1" t="s">
        <v>4005</v>
      </c>
      <c r="W1033" s="6" t="s">
        <v>4006</v>
      </c>
      <c r="X1033" s="1" t="s">
        <v>3305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>
        <v>3300000</v>
      </c>
      <c r="AL1033" s="3">
        <v>3300000</v>
      </c>
      <c r="AM1033" s="3">
        <v>3300000</v>
      </c>
      <c r="AN1033" s="3">
        <v>3300000</v>
      </c>
      <c r="AO1033" s="3">
        <v>3300000</v>
      </c>
      <c r="AP1033" s="3">
        <v>3300000</v>
      </c>
      <c r="AQ1033" s="3">
        <v>3300000</v>
      </c>
      <c r="AR1033" s="3">
        <v>3300000</v>
      </c>
      <c r="AS1033" s="3">
        <v>3300000</v>
      </c>
      <c r="AT1033" s="3">
        <v>3300000</v>
      </c>
      <c r="AU1033" s="3">
        <v>3300000</v>
      </c>
      <c r="AV1033" s="3">
        <v>3300000</v>
      </c>
      <c r="AW1033" s="3">
        <f t="shared" si="65"/>
        <v>0</v>
      </c>
      <c r="AX1033" s="3">
        <f t="shared" si="66"/>
        <v>39600000</v>
      </c>
      <c r="AY1033" s="4">
        <f t="shared" si="67"/>
        <v>12</v>
      </c>
      <c r="AZ1033" s="8">
        <v>0</v>
      </c>
      <c r="BA1033" s="4" t="s">
        <v>5738</v>
      </c>
      <c r="BB1033" s="2">
        <v>18000000</v>
      </c>
      <c r="BC1033" s="3"/>
      <c r="BD1033" s="3"/>
    </row>
    <row r="1034" spans="1:56" ht="16.8" customHeight="1">
      <c r="A1034" s="1">
        <v>1033</v>
      </c>
      <c r="B1034" s="1" t="s">
        <v>3175</v>
      </c>
      <c r="C1034" s="1" t="s">
        <v>3654</v>
      </c>
      <c r="D1034" s="1" t="s">
        <v>4007</v>
      </c>
      <c r="E1034" s="1" t="s">
        <v>4007</v>
      </c>
      <c r="F1034" s="1" t="s">
        <v>4008</v>
      </c>
      <c r="G1034" s="1" t="s">
        <v>4009</v>
      </c>
      <c r="H1034" s="1" t="s">
        <v>5043</v>
      </c>
      <c r="I1034" s="18"/>
      <c r="J1034" s="18"/>
      <c r="K1034" s="18"/>
      <c r="L1034" s="18"/>
      <c r="M1034" s="2">
        <v>500000</v>
      </c>
      <c r="N1034" s="2">
        <v>500000</v>
      </c>
      <c r="O1034" s="2"/>
      <c r="P1034" s="2" t="str">
        <f t="shared" si="64"/>
        <v/>
      </c>
      <c r="Q1034" s="2"/>
      <c r="R1034" s="2"/>
      <c r="S1034" s="48"/>
      <c r="T1034" s="2">
        <v>6000000</v>
      </c>
      <c r="U1034" s="2">
        <v>0</v>
      </c>
      <c r="V1034" s="1" t="s">
        <v>4010</v>
      </c>
      <c r="W1034" s="6" t="s">
        <v>4011</v>
      </c>
      <c r="X1034" s="1" t="s">
        <v>3257</v>
      </c>
      <c r="Y1034" s="3">
        <v>500000</v>
      </c>
      <c r="Z1034" s="3">
        <v>500000</v>
      </c>
      <c r="AA1034" s="3">
        <v>500000</v>
      </c>
      <c r="AB1034" s="3">
        <v>500000</v>
      </c>
      <c r="AC1034" s="3">
        <v>500000</v>
      </c>
      <c r="AD1034" s="3">
        <v>500000</v>
      </c>
      <c r="AE1034" s="3">
        <v>500000</v>
      </c>
      <c r="AF1034" s="3">
        <v>500000</v>
      </c>
      <c r="AG1034" s="3">
        <v>500000</v>
      </c>
      <c r="AH1034" s="3">
        <v>500000</v>
      </c>
      <c r="AI1034" s="3">
        <v>500000</v>
      </c>
      <c r="AJ1034" s="3">
        <v>500000</v>
      </c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>
        <f t="shared" si="65"/>
        <v>6000000</v>
      </c>
      <c r="AX1034" s="3">
        <f t="shared" si="66"/>
        <v>0</v>
      </c>
      <c r="AY1034" s="4">
        <f t="shared" si="67"/>
        <v>12</v>
      </c>
      <c r="BA1034" s="4" t="s">
        <v>5726</v>
      </c>
      <c r="BB1034" s="2"/>
      <c r="BC1034" s="3"/>
      <c r="BD1034" s="4"/>
    </row>
    <row r="1035" spans="1:56" ht="16.8" customHeight="1">
      <c r="A1035" s="1">
        <v>1034</v>
      </c>
      <c r="B1035" s="1" t="s">
        <v>3175</v>
      </c>
      <c r="C1035" s="1" t="s">
        <v>3654</v>
      </c>
      <c r="D1035" s="1" t="s">
        <v>4007</v>
      </c>
      <c r="E1035" s="1" t="s">
        <v>4007</v>
      </c>
      <c r="F1035" s="1" t="s">
        <v>4008</v>
      </c>
      <c r="G1035" s="1" t="s">
        <v>4012</v>
      </c>
      <c r="H1035" s="1" t="s">
        <v>5043</v>
      </c>
      <c r="I1035" s="18"/>
      <c r="J1035" s="18"/>
      <c r="K1035" s="18"/>
      <c r="L1035" s="18"/>
      <c r="M1035" s="2">
        <v>2000000</v>
      </c>
      <c r="N1035" s="2">
        <v>2000000</v>
      </c>
      <c r="O1035" s="2"/>
      <c r="P1035" s="2" t="str">
        <f t="shared" si="64"/>
        <v/>
      </c>
      <c r="Q1035" s="2"/>
      <c r="R1035" s="2"/>
      <c r="S1035" s="48"/>
      <c r="T1035" s="2">
        <v>0</v>
      </c>
      <c r="U1035" s="2">
        <v>0</v>
      </c>
      <c r="V1035" s="1"/>
      <c r="W1035" s="6"/>
      <c r="X1035" s="1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>
        <f t="shared" si="65"/>
        <v>0</v>
      </c>
      <c r="AX1035" s="3">
        <f t="shared" si="66"/>
        <v>0</v>
      </c>
      <c r="AY1035" s="4">
        <f t="shared" si="67"/>
        <v>0</v>
      </c>
      <c r="BA1035" s="4" t="s">
        <v>5726</v>
      </c>
      <c r="BB1035" s="2"/>
      <c r="BC1035" s="3"/>
      <c r="BD1035" s="4"/>
    </row>
    <row r="1036" spans="1:56" ht="16.8" customHeight="1">
      <c r="A1036" s="1">
        <v>1035</v>
      </c>
      <c r="B1036" s="1" t="s">
        <v>3175</v>
      </c>
      <c r="C1036" s="1" t="s">
        <v>3654</v>
      </c>
      <c r="D1036" s="1" t="s">
        <v>4013</v>
      </c>
      <c r="E1036" s="1" t="s">
        <v>4013</v>
      </c>
      <c r="F1036" s="1" t="s">
        <v>4014</v>
      </c>
      <c r="G1036" s="1" t="s">
        <v>4015</v>
      </c>
      <c r="H1036" s="1" t="s">
        <v>5043</v>
      </c>
      <c r="I1036" s="18"/>
      <c r="J1036" s="18"/>
      <c r="K1036" s="18"/>
      <c r="L1036" s="18"/>
      <c r="M1036" s="2">
        <v>3000000</v>
      </c>
      <c r="N1036" s="2">
        <v>3000000</v>
      </c>
      <c r="O1036" s="2"/>
      <c r="P1036" s="2" t="str">
        <f t="shared" si="64"/>
        <v/>
      </c>
      <c r="Q1036" s="2"/>
      <c r="R1036" s="2"/>
      <c r="S1036" s="48"/>
      <c r="T1036" s="2">
        <v>0</v>
      </c>
      <c r="U1036" s="2">
        <v>18000000</v>
      </c>
      <c r="V1036" s="1"/>
      <c r="W1036" s="6"/>
      <c r="X1036" s="1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>
        <f t="shared" si="65"/>
        <v>0</v>
      </c>
      <c r="AX1036" s="3">
        <f t="shared" si="66"/>
        <v>0</v>
      </c>
      <c r="AY1036" s="4">
        <f t="shared" si="67"/>
        <v>0</v>
      </c>
      <c r="BA1036" s="4" t="s">
        <v>5726</v>
      </c>
      <c r="BB1036" s="2"/>
      <c r="BC1036" s="3"/>
      <c r="BD1036" s="4"/>
    </row>
    <row r="1037" spans="1:56" ht="16.8" customHeight="1">
      <c r="A1037" s="1">
        <v>1036</v>
      </c>
      <c r="B1037" s="1" t="s">
        <v>3175</v>
      </c>
      <c r="C1037" s="1" t="s">
        <v>3654</v>
      </c>
      <c r="D1037" s="1" t="s">
        <v>4016</v>
      </c>
      <c r="E1037" s="1" t="s">
        <v>4016</v>
      </c>
      <c r="F1037" s="1" t="s">
        <v>4017</v>
      </c>
      <c r="G1037" s="1" t="s">
        <v>4018</v>
      </c>
      <c r="H1037" s="1" t="s">
        <v>4706</v>
      </c>
      <c r="I1037" s="18" t="s">
        <v>4783</v>
      </c>
      <c r="J1037" s="18" t="s">
        <v>5132</v>
      </c>
      <c r="K1037" s="18" t="s">
        <v>4752</v>
      </c>
      <c r="L1037" s="18" t="s">
        <v>4734</v>
      </c>
      <c r="M1037" s="2">
        <v>3000000</v>
      </c>
      <c r="N1037" s="2">
        <v>3000000</v>
      </c>
      <c r="O1037" s="2"/>
      <c r="P1037" s="2" t="str">
        <f t="shared" si="64"/>
        <v/>
      </c>
      <c r="Q1037" s="2"/>
      <c r="R1037" s="2"/>
      <c r="S1037" s="48"/>
      <c r="T1037" s="2">
        <v>18000000</v>
      </c>
      <c r="U1037" s="2">
        <v>0</v>
      </c>
      <c r="V1037" s="1" t="s">
        <v>4018</v>
      </c>
      <c r="W1037" s="6" t="s">
        <v>4019</v>
      </c>
      <c r="X1037" s="1" t="s">
        <v>3435</v>
      </c>
      <c r="Y1037" s="3"/>
      <c r="Z1037" s="3"/>
      <c r="AA1037" s="3"/>
      <c r="AB1037" s="3"/>
      <c r="AC1037" s="3"/>
      <c r="AD1037" s="3"/>
      <c r="AE1037" s="3">
        <v>3000000</v>
      </c>
      <c r="AF1037" s="3">
        <v>3000000</v>
      </c>
      <c r="AG1037" s="3">
        <v>3000000</v>
      </c>
      <c r="AH1037" s="3">
        <v>3000000</v>
      </c>
      <c r="AI1037" s="3">
        <v>3000000</v>
      </c>
      <c r="AJ1037" s="3">
        <v>3000000</v>
      </c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>
        <f t="shared" si="65"/>
        <v>18000000</v>
      </c>
      <c r="AX1037" s="3">
        <f t="shared" si="66"/>
        <v>0</v>
      </c>
      <c r="AY1037" s="4">
        <f t="shared" si="67"/>
        <v>6</v>
      </c>
      <c r="AZ1037" s="8">
        <v>0</v>
      </c>
      <c r="BA1037" s="4" t="s">
        <v>5726</v>
      </c>
      <c r="BB1037" s="2"/>
      <c r="BC1037" s="3"/>
      <c r="BD1037" s="4"/>
    </row>
    <row r="1038" spans="1:56" ht="16.8" customHeight="1">
      <c r="A1038" s="1">
        <v>1037</v>
      </c>
      <c r="B1038" s="1" t="s">
        <v>3175</v>
      </c>
      <c r="C1038" s="1" t="s">
        <v>3654</v>
      </c>
      <c r="D1038" s="1" t="s">
        <v>4020</v>
      </c>
      <c r="E1038" s="1" t="s">
        <v>4020</v>
      </c>
      <c r="F1038" s="1" t="s">
        <v>4021</v>
      </c>
      <c r="G1038" s="1" t="s">
        <v>4022</v>
      </c>
      <c r="H1038" s="1" t="s">
        <v>4707</v>
      </c>
      <c r="I1038" s="18" t="s">
        <v>4783</v>
      </c>
      <c r="J1038" s="18" t="s">
        <v>5132</v>
      </c>
      <c r="K1038" s="18" t="s">
        <v>4752</v>
      </c>
      <c r="L1038" s="18" t="s">
        <v>4734</v>
      </c>
      <c r="M1038" s="2">
        <v>3000000</v>
      </c>
      <c r="N1038" s="2">
        <v>3000000</v>
      </c>
      <c r="O1038" s="2"/>
      <c r="P1038" s="2" t="str">
        <f t="shared" si="64"/>
        <v/>
      </c>
      <c r="Q1038" s="2"/>
      <c r="R1038" s="2"/>
      <c r="S1038" s="48"/>
      <c r="T1038" s="2">
        <v>18000000</v>
      </c>
      <c r="U1038" s="2">
        <v>0</v>
      </c>
      <c r="V1038" s="1" t="s">
        <v>4022</v>
      </c>
      <c r="W1038" s="6" t="s">
        <v>4023</v>
      </c>
      <c r="X1038" s="1" t="s">
        <v>4001</v>
      </c>
      <c r="Y1038" s="3"/>
      <c r="Z1038" s="3"/>
      <c r="AA1038" s="3"/>
      <c r="AB1038" s="3"/>
      <c r="AC1038" s="3"/>
      <c r="AD1038" s="3"/>
      <c r="AE1038" s="3">
        <v>3000000</v>
      </c>
      <c r="AF1038" s="3">
        <v>3000000</v>
      </c>
      <c r="AG1038" s="3">
        <v>3000000</v>
      </c>
      <c r="AH1038" s="3">
        <v>3000000</v>
      </c>
      <c r="AI1038" s="3">
        <v>3000000</v>
      </c>
      <c r="AJ1038" s="3">
        <v>3000000</v>
      </c>
      <c r="AK1038" s="3">
        <v>3000000</v>
      </c>
      <c r="AL1038" s="3">
        <v>3000000</v>
      </c>
      <c r="AM1038" s="3">
        <v>3000000</v>
      </c>
      <c r="AN1038" s="3">
        <v>3000000</v>
      </c>
      <c r="AO1038" s="3">
        <v>3000000</v>
      </c>
      <c r="AP1038" s="3">
        <v>3000000</v>
      </c>
      <c r="AQ1038" s="3"/>
      <c r="AR1038" s="3"/>
      <c r="AS1038" s="3"/>
      <c r="AT1038" s="3"/>
      <c r="AU1038" s="3"/>
      <c r="AV1038" s="3"/>
      <c r="AW1038" s="3">
        <f t="shared" si="65"/>
        <v>18000000</v>
      </c>
      <c r="AX1038" s="3">
        <f t="shared" si="66"/>
        <v>18000000</v>
      </c>
      <c r="AY1038" s="4">
        <f t="shared" si="67"/>
        <v>12</v>
      </c>
      <c r="AZ1038" s="8" t="s">
        <v>5638</v>
      </c>
      <c r="BA1038" s="4" t="s">
        <v>5710</v>
      </c>
      <c r="BB1038" s="2"/>
      <c r="BC1038" s="3"/>
      <c r="BD1038" s="4"/>
    </row>
    <row r="1039" spans="1:56" ht="16.8" customHeight="1">
      <c r="A1039" s="1">
        <v>1038</v>
      </c>
      <c r="B1039" s="1" t="s">
        <v>3175</v>
      </c>
      <c r="C1039" s="1" t="s">
        <v>3654</v>
      </c>
      <c r="D1039" s="1" t="s">
        <v>4024</v>
      </c>
      <c r="E1039" s="1" t="s">
        <v>4024</v>
      </c>
      <c r="F1039" s="1" t="s">
        <v>4025</v>
      </c>
      <c r="G1039" s="1" t="s">
        <v>4026</v>
      </c>
      <c r="H1039" s="1" t="s">
        <v>5043</v>
      </c>
      <c r="I1039" s="18"/>
      <c r="J1039" s="18"/>
      <c r="K1039" s="18"/>
      <c r="L1039" s="18"/>
      <c r="M1039" s="2">
        <v>3000000</v>
      </c>
      <c r="N1039" s="2">
        <v>3000000</v>
      </c>
      <c r="O1039" s="2"/>
      <c r="P1039" s="2" t="str">
        <f t="shared" si="64"/>
        <v/>
      </c>
      <c r="Q1039" s="2"/>
      <c r="R1039" s="2"/>
      <c r="S1039" s="48"/>
      <c r="T1039" s="2">
        <v>0</v>
      </c>
      <c r="U1039" s="2">
        <v>0</v>
      </c>
      <c r="V1039" s="1"/>
      <c r="W1039" s="6"/>
      <c r="X1039" s="1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>
        <v>3000000</v>
      </c>
      <c r="AL1039" s="3">
        <v>3000000</v>
      </c>
      <c r="AM1039" s="3">
        <v>3000000</v>
      </c>
      <c r="AN1039" s="3">
        <v>3000000</v>
      </c>
      <c r="AO1039" s="3">
        <v>3000000</v>
      </c>
      <c r="AP1039" s="3">
        <v>3000000</v>
      </c>
      <c r="AQ1039" s="3"/>
      <c r="AR1039" s="3"/>
      <c r="AS1039" s="3"/>
      <c r="AT1039" s="3"/>
      <c r="AU1039" s="3"/>
      <c r="AV1039" s="3"/>
      <c r="AW1039" s="3">
        <f t="shared" si="65"/>
        <v>0</v>
      </c>
      <c r="AX1039" s="3">
        <f t="shared" si="66"/>
        <v>18000000</v>
      </c>
      <c r="AY1039" s="4">
        <f t="shared" si="67"/>
        <v>6</v>
      </c>
      <c r="BA1039" s="4" t="s">
        <v>5710</v>
      </c>
      <c r="BB1039" s="2"/>
      <c r="BC1039" s="3"/>
      <c r="BD1039" s="3"/>
    </row>
    <row r="1040" spans="1:56" s="33" customFormat="1" ht="16.8" customHeight="1">
      <c r="A1040" s="29">
        <v>1039</v>
      </c>
      <c r="B1040" s="29" t="s">
        <v>3175</v>
      </c>
      <c r="C1040" s="29" t="s">
        <v>3654</v>
      </c>
      <c r="D1040" s="29" t="s">
        <v>4027</v>
      </c>
      <c r="E1040" s="29" t="s">
        <v>4027</v>
      </c>
      <c r="F1040" s="1" t="s">
        <v>4028</v>
      </c>
      <c r="G1040" s="1" t="s">
        <v>4029</v>
      </c>
      <c r="H1040" s="1" t="s">
        <v>5369</v>
      </c>
      <c r="I1040" s="18" t="s">
        <v>4783</v>
      </c>
      <c r="J1040" s="18" t="s">
        <v>5132</v>
      </c>
      <c r="K1040" s="18" t="s">
        <v>4742</v>
      </c>
      <c r="L1040" s="18" t="s">
        <v>4734</v>
      </c>
      <c r="M1040" s="30">
        <v>3000000</v>
      </c>
      <c r="N1040" s="30">
        <v>3300000</v>
      </c>
      <c r="O1040" s="30">
        <v>3300000</v>
      </c>
      <c r="P1040" s="2">
        <f t="shared" si="64"/>
        <v>300000</v>
      </c>
      <c r="Q1040" s="2"/>
      <c r="R1040" s="2"/>
      <c r="S1040" s="48"/>
      <c r="T1040" s="2">
        <v>18000000</v>
      </c>
      <c r="U1040" s="2">
        <v>0</v>
      </c>
      <c r="V1040" s="1"/>
      <c r="W1040" s="6"/>
      <c r="X1040" s="1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>
        <f t="shared" si="65"/>
        <v>0</v>
      </c>
      <c r="AX1040" s="31">
        <f t="shared" si="66"/>
        <v>0</v>
      </c>
      <c r="AY1040" s="32">
        <f t="shared" si="67"/>
        <v>0</v>
      </c>
      <c r="AZ1040" s="33">
        <v>0</v>
      </c>
      <c r="BA1040" s="4" t="s">
        <v>5726</v>
      </c>
      <c r="BB1040" s="30"/>
      <c r="BC1040" s="3"/>
      <c r="BD1040" s="32"/>
    </row>
    <row r="1041" spans="1:56" ht="16.8" customHeight="1">
      <c r="A1041" s="1">
        <v>1040</v>
      </c>
      <c r="B1041" s="1" t="s">
        <v>3175</v>
      </c>
      <c r="C1041" s="1" t="s">
        <v>3654</v>
      </c>
      <c r="D1041" s="1" t="s">
        <v>4030</v>
      </c>
      <c r="E1041" s="1" t="s">
        <v>4030</v>
      </c>
      <c r="F1041" s="1" t="s">
        <v>4031</v>
      </c>
      <c r="G1041" s="1" t="s">
        <v>3652</v>
      </c>
      <c r="H1041" s="1" t="s">
        <v>4708</v>
      </c>
      <c r="I1041" s="18" t="s">
        <v>4783</v>
      </c>
      <c r="J1041" s="18" t="s">
        <v>4783</v>
      </c>
      <c r="K1041" s="18" t="s">
        <v>4742</v>
      </c>
      <c r="L1041" s="18" t="s">
        <v>4734</v>
      </c>
      <c r="M1041" s="2">
        <v>1000000</v>
      </c>
      <c r="N1041" s="2">
        <v>1000000</v>
      </c>
      <c r="O1041" s="2"/>
      <c r="P1041" s="2" t="str">
        <f t="shared" si="64"/>
        <v/>
      </c>
      <c r="Q1041" s="2"/>
      <c r="R1041" s="2"/>
      <c r="S1041" s="48"/>
      <c r="T1041" s="2">
        <v>0</v>
      </c>
      <c r="U1041" s="2">
        <v>0</v>
      </c>
      <c r="V1041" s="1" t="s">
        <v>3652</v>
      </c>
      <c r="W1041" s="6" t="s">
        <v>4032</v>
      </c>
      <c r="X1041" s="1" t="s">
        <v>333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>
        <v>1000000</v>
      </c>
      <c r="AL1041" s="3">
        <v>1000000</v>
      </c>
      <c r="AM1041" s="3">
        <v>1000000</v>
      </c>
      <c r="AN1041" s="3">
        <v>1000000</v>
      </c>
      <c r="AO1041" s="3">
        <v>1000000</v>
      </c>
      <c r="AP1041" s="3">
        <v>1000000</v>
      </c>
      <c r="AQ1041" s="3">
        <v>1000000</v>
      </c>
      <c r="AR1041" s="3">
        <v>1000000</v>
      </c>
      <c r="AS1041" s="3">
        <v>1000000</v>
      </c>
      <c r="AT1041" s="3">
        <v>1000000</v>
      </c>
      <c r="AU1041" s="3">
        <v>1000000</v>
      </c>
      <c r="AV1041" s="3">
        <v>1000000</v>
      </c>
      <c r="AW1041" s="3">
        <f t="shared" si="65"/>
        <v>0</v>
      </c>
      <c r="AX1041" s="3">
        <f t="shared" si="66"/>
        <v>12000000</v>
      </c>
      <c r="AY1041" s="4">
        <f t="shared" si="67"/>
        <v>12</v>
      </c>
      <c r="AZ1041" s="8">
        <v>0</v>
      </c>
      <c r="BA1041" s="4" t="s">
        <v>5709</v>
      </c>
      <c r="BB1041" s="2"/>
      <c r="BC1041" s="3"/>
      <c r="BD1041" s="4"/>
    </row>
    <row r="1042" spans="1:56" s="26" customFormat="1" ht="16.8" customHeight="1">
      <c r="A1042" s="20">
        <v>1041</v>
      </c>
      <c r="B1042" s="20" t="s">
        <v>3175</v>
      </c>
      <c r="C1042" s="20" t="s">
        <v>3654</v>
      </c>
      <c r="D1042" s="20" t="s">
        <v>4033</v>
      </c>
      <c r="E1042" s="20" t="s">
        <v>4033</v>
      </c>
      <c r="F1042" s="20" t="s">
        <v>4034</v>
      </c>
      <c r="G1042" s="20" t="s">
        <v>4035</v>
      </c>
      <c r="H1042" s="20" t="s">
        <v>5370</v>
      </c>
      <c r="I1042" s="21" t="s">
        <v>4783</v>
      </c>
      <c r="J1042" s="21" t="s">
        <v>5132</v>
      </c>
      <c r="K1042" s="21" t="s">
        <v>4742</v>
      </c>
      <c r="L1042" s="21" t="s">
        <v>4734</v>
      </c>
      <c r="M1042" s="22">
        <v>3000000</v>
      </c>
      <c r="N1042" s="22">
        <v>3300000</v>
      </c>
      <c r="O1042" s="22">
        <v>3300000</v>
      </c>
      <c r="P1042" s="22">
        <f t="shared" si="64"/>
        <v>300000</v>
      </c>
      <c r="Q1042" s="2"/>
      <c r="R1042" s="2"/>
      <c r="S1042" s="48"/>
      <c r="T1042" s="22">
        <v>18000000</v>
      </c>
      <c r="U1042" s="22">
        <v>0</v>
      </c>
      <c r="V1042" s="20" t="s">
        <v>4035</v>
      </c>
      <c r="W1042" s="23" t="s">
        <v>4036</v>
      </c>
      <c r="X1042" s="20" t="s">
        <v>397</v>
      </c>
      <c r="Y1042" s="24"/>
      <c r="Z1042" s="24"/>
      <c r="AA1042" s="24"/>
      <c r="AB1042" s="24"/>
      <c r="AC1042" s="24"/>
      <c r="AD1042" s="24"/>
      <c r="AE1042" s="24">
        <v>3000000</v>
      </c>
      <c r="AF1042" s="24">
        <v>3000000</v>
      </c>
      <c r="AG1042" s="24">
        <v>3000000</v>
      </c>
      <c r="AH1042" s="24">
        <v>3000000</v>
      </c>
      <c r="AI1042" s="24">
        <v>3000000</v>
      </c>
      <c r="AJ1042" s="24">
        <v>3000000</v>
      </c>
      <c r="AK1042" s="24">
        <v>3000000</v>
      </c>
      <c r="AL1042" s="24">
        <v>3000000</v>
      </c>
      <c r="AM1042" s="24">
        <v>3000000</v>
      </c>
      <c r="AN1042" s="24">
        <v>3000000</v>
      </c>
      <c r="AO1042" s="24">
        <v>3000000</v>
      </c>
      <c r="AP1042" s="24">
        <v>3000000</v>
      </c>
      <c r="AQ1042" s="24"/>
      <c r="AR1042" s="24"/>
      <c r="AS1042" s="24"/>
      <c r="AT1042" s="24"/>
      <c r="AU1042" s="24"/>
      <c r="AV1042" s="24"/>
      <c r="AW1042" s="24">
        <f t="shared" si="65"/>
        <v>18000000</v>
      </c>
      <c r="AX1042" s="24">
        <f t="shared" si="66"/>
        <v>18000000</v>
      </c>
      <c r="AY1042" s="25">
        <f t="shared" si="67"/>
        <v>12</v>
      </c>
      <c r="AZ1042" s="26">
        <v>0</v>
      </c>
      <c r="BA1042" s="4" t="s">
        <v>5726</v>
      </c>
      <c r="BB1042" s="22"/>
      <c r="BC1042" s="3"/>
      <c r="BD1042" s="24"/>
    </row>
    <row r="1043" spans="1:56" ht="16.8" customHeight="1">
      <c r="A1043" s="1">
        <v>1042</v>
      </c>
      <c r="B1043" s="1" t="s">
        <v>3175</v>
      </c>
      <c r="C1043" s="1" t="s">
        <v>3654</v>
      </c>
      <c r="D1043" s="1" t="s">
        <v>4037</v>
      </c>
      <c r="E1043" s="1" t="s">
        <v>4037</v>
      </c>
      <c r="F1043" s="1" t="s">
        <v>4038</v>
      </c>
      <c r="G1043" s="1" t="s">
        <v>4039</v>
      </c>
      <c r="H1043" s="1" t="s">
        <v>5043</v>
      </c>
      <c r="I1043" s="18"/>
      <c r="J1043" s="18"/>
      <c r="K1043" s="18"/>
      <c r="L1043" s="18"/>
      <c r="M1043" s="2">
        <v>2500000</v>
      </c>
      <c r="N1043" s="2">
        <v>2500000</v>
      </c>
      <c r="O1043" s="2"/>
      <c r="P1043" s="2" t="str">
        <f t="shared" si="64"/>
        <v/>
      </c>
      <c r="Q1043" s="2"/>
      <c r="R1043" s="2"/>
      <c r="S1043" s="48"/>
      <c r="T1043" s="2">
        <v>0</v>
      </c>
      <c r="U1043" s="2">
        <v>0</v>
      </c>
      <c r="V1043" s="1"/>
      <c r="W1043" s="6"/>
      <c r="X1043" s="1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>
        <f t="shared" si="65"/>
        <v>0</v>
      </c>
      <c r="AX1043" s="3">
        <f t="shared" si="66"/>
        <v>0</v>
      </c>
      <c r="AY1043" s="4">
        <f t="shared" si="67"/>
        <v>0</v>
      </c>
      <c r="BA1043" s="4" t="s">
        <v>5726</v>
      </c>
      <c r="BB1043" s="2"/>
      <c r="BC1043" s="3"/>
      <c r="BD1043" s="4"/>
    </row>
    <row r="1044" spans="1:56" ht="16.8" customHeight="1">
      <c r="A1044" s="1">
        <v>1043</v>
      </c>
      <c r="B1044" s="1" t="s">
        <v>3175</v>
      </c>
      <c r="C1044" s="1" t="s">
        <v>3654</v>
      </c>
      <c r="D1044" s="1" t="s">
        <v>4037</v>
      </c>
      <c r="E1044" s="1" t="s">
        <v>4037</v>
      </c>
      <c r="F1044" s="1" t="s">
        <v>4038</v>
      </c>
      <c r="G1044" s="1" t="s">
        <v>4040</v>
      </c>
      <c r="H1044" s="1" t="s">
        <v>5043</v>
      </c>
      <c r="I1044" s="18"/>
      <c r="J1044" s="18"/>
      <c r="K1044" s="18"/>
      <c r="L1044" s="18"/>
      <c r="M1044" s="2">
        <v>500000</v>
      </c>
      <c r="N1044" s="2">
        <v>500000</v>
      </c>
      <c r="O1044" s="2"/>
      <c r="P1044" s="2" t="str">
        <f t="shared" si="64"/>
        <v/>
      </c>
      <c r="Q1044" s="2"/>
      <c r="R1044" s="2"/>
      <c r="S1044" s="48"/>
      <c r="T1044" s="2">
        <v>0</v>
      </c>
      <c r="U1044" s="2">
        <v>0</v>
      </c>
      <c r="V1044" s="1"/>
      <c r="W1044" s="6"/>
      <c r="X1044" s="1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>
        <f t="shared" si="65"/>
        <v>0</v>
      </c>
      <c r="AX1044" s="3">
        <f t="shared" si="66"/>
        <v>0</v>
      </c>
      <c r="AY1044" s="4">
        <f t="shared" si="67"/>
        <v>0</v>
      </c>
      <c r="BA1044" s="4" t="s">
        <v>5726</v>
      </c>
      <c r="BB1044" s="2"/>
      <c r="BC1044" s="3"/>
      <c r="BD1044" s="4"/>
    </row>
    <row r="1045" spans="1:56" ht="16.8" customHeight="1">
      <c r="A1045" s="1">
        <v>1044</v>
      </c>
      <c r="B1045" s="1" t="s">
        <v>3175</v>
      </c>
      <c r="C1045" s="1" t="s">
        <v>3654</v>
      </c>
      <c r="D1045" s="1" t="s">
        <v>4041</v>
      </c>
      <c r="E1045" s="1" t="s">
        <v>4041</v>
      </c>
      <c r="F1045" s="1" t="s">
        <v>4042</v>
      </c>
      <c r="G1045" s="1" t="s">
        <v>4043</v>
      </c>
      <c r="H1045" s="1" t="s">
        <v>5043</v>
      </c>
      <c r="I1045" s="18"/>
      <c r="J1045" s="18"/>
      <c r="K1045" s="18"/>
      <c r="L1045" s="18"/>
      <c r="M1045" s="2">
        <v>1000000</v>
      </c>
      <c r="N1045" s="2">
        <v>1000000</v>
      </c>
      <c r="O1045" s="2"/>
      <c r="P1045" s="2" t="str">
        <f t="shared" si="64"/>
        <v/>
      </c>
      <c r="Q1045" s="2"/>
      <c r="R1045" s="2"/>
      <c r="S1045" s="48"/>
      <c r="T1045" s="2">
        <v>0</v>
      </c>
      <c r="U1045" s="2">
        <v>0</v>
      </c>
      <c r="V1045" s="1"/>
      <c r="W1045" s="6"/>
      <c r="X1045" s="1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>
        <f t="shared" si="65"/>
        <v>0</v>
      </c>
      <c r="AX1045" s="3">
        <f t="shared" si="66"/>
        <v>0</v>
      </c>
      <c r="AY1045" s="4">
        <f t="shared" si="67"/>
        <v>0</v>
      </c>
      <c r="BA1045" s="4" t="s">
        <v>5726</v>
      </c>
      <c r="BB1045" s="2"/>
      <c r="BC1045" s="3"/>
      <c r="BD1045" s="4"/>
    </row>
    <row r="1046" spans="1:56" ht="16.8" customHeight="1">
      <c r="A1046" s="1">
        <v>1045</v>
      </c>
      <c r="B1046" s="1" t="s">
        <v>3175</v>
      </c>
      <c r="C1046" s="1" t="s">
        <v>3654</v>
      </c>
      <c r="D1046" s="1" t="s">
        <v>4044</v>
      </c>
      <c r="E1046" s="1" t="s">
        <v>4044</v>
      </c>
      <c r="F1046" s="1" t="s">
        <v>4045</v>
      </c>
      <c r="G1046" s="1" t="s">
        <v>1625</v>
      </c>
      <c r="H1046" s="1" t="s">
        <v>4709</v>
      </c>
      <c r="I1046" s="18" t="s">
        <v>4783</v>
      </c>
      <c r="J1046" s="18" t="s">
        <v>4783</v>
      </c>
      <c r="K1046" s="18" t="s">
        <v>4742</v>
      </c>
      <c r="L1046" s="18" t="s">
        <v>4734</v>
      </c>
      <c r="M1046" s="2">
        <v>1000000</v>
      </c>
      <c r="N1046" s="2">
        <v>1000000</v>
      </c>
      <c r="O1046" s="2"/>
      <c r="P1046" s="2" t="str">
        <f t="shared" si="64"/>
        <v/>
      </c>
      <c r="Q1046" s="2"/>
      <c r="R1046" s="2"/>
      <c r="S1046" s="48"/>
      <c r="T1046" s="2">
        <v>0</v>
      </c>
      <c r="U1046" s="2">
        <v>0</v>
      </c>
      <c r="V1046" s="1" t="s">
        <v>1625</v>
      </c>
      <c r="W1046" s="6" t="s">
        <v>4046</v>
      </c>
      <c r="X1046" s="1" t="s">
        <v>333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>
        <v>1000000</v>
      </c>
      <c r="AL1046" s="3">
        <v>1000000</v>
      </c>
      <c r="AM1046" s="3">
        <v>1000000</v>
      </c>
      <c r="AN1046" s="3">
        <v>1000000</v>
      </c>
      <c r="AO1046" s="3">
        <v>1000000</v>
      </c>
      <c r="AP1046" s="3">
        <v>1000000</v>
      </c>
      <c r="AQ1046" s="3">
        <v>1000000</v>
      </c>
      <c r="AR1046" s="3">
        <v>1000000</v>
      </c>
      <c r="AS1046" s="3">
        <v>1000000</v>
      </c>
      <c r="AT1046" s="3">
        <v>1000000</v>
      </c>
      <c r="AU1046" s="3">
        <v>1000000</v>
      </c>
      <c r="AV1046" s="3">
        <v>1000000</v>
      </c>
      <c r="AW1046" s="3">
        <f t="shared" si="65"/>
        <v>0</v>
      </c>
      <c r="AX1046" s="3">
        <f t="shared" si="66"/>
        <v>12000000</v>
      </c>
      <c r="AY1046" s="4">
        <f t="shared" si="67"/>
        <v>12</v>
      </c>
      <c r="AZ1046" s="8" t="s">
        <v>5639</v>
      </c>
      <c r="BA1046" s="4" t="s">
        <v>5709</v>
      </c>
      <c r="BB1046" s="2"/>
      <c r="BC1046" s="3"/>
      <c r="BD1046" s="4"/>
    </row>
    <row r="1047" spans="1:56" ht="16.8" customHeight="1">
      <c r="A1047" s="1">
        <v>1046</v>
      </c>
      <c r="B1047" s="1" t="s">
        <v>3175</v>
      </c>
      <c r="C1047" s="1" t="s">
        <v>3654</v>
      </c>
      <c r="D1047" s="1" t="s">
        <v>4047</v>
      </c>
      <c r="E1047" s="1" t="s">
        <v>4047</v>
      </c>
      <c r="F1047" s="1" t="s">
        <v>4048</v>
      </c>
      <c r="G1047" s="1" t="s">
        <v>4049</v>
      </c>
      <c r="H1047" s="1" t="s">
        <v>5043</v>
      </c>
      <c r="I1047" s="18"/>
      <c r="J1047" s="18"/>
      <c r="K1047" s="18"/>
      <c r="L1047" s="18"/>
      <c r="M1047" s="2">
        <v>1000000</v>
      </c>
      <c r="N1047" s="2">
        <v>1000000</v>
      </c>
      <c r="O1047" s="2"/>
      <c r="P1047" s="2" t="str">
        <f t="shared" si="64"/>
        <v/>
      </c>
      <c r="Q1047" s="2"/>
      <c r="R1047" s="2"/>
      <c r="S1047" s="48"/>
      <c r="T1047" s="2">
        <v>0</v>
      </c>
      <c r="U1047" s="2">
        <v>0</v>
      </c>
      <c r="V1047" s="1"/>
      <c r="W1047" s="6"/>
      <c r="X1047" s="1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>
        <f t="shared" si="65"/>
        <v>0</v>
      </c>
      <c r="AX1047" s="3">
        <f t="shared" si="66"/>
        <v>0</v>
      </c>
      <c r="AY1047" s="4">
        <f t="shared" si="67"/>
        <v>0</v>
      </c>
      <c r="BA1047" s="4" t="s">
        <v>5726</v>
      </c>
      <c r="BB1047" s="2"/>
      <c r="BC1047" s="3"/>
      <c r="BD1047" s="4"/>
    </row>
    <row r="1048" spans="1:56" ht="16.8" customHeight="1">
      <c r="A1048" s="1">
        <v>1047</v>
      </c>
      <c r="B1048" s="1" t="s">
        <v>3175</v>
      </c>
      <c r="C1048" s="1" t="s">
        <v>3654</v>
      </c>
      <c r="D1048" s="1" t="s">
        <v>4050</v>
      </c>
      <c r="E1048" s="1" t="s">
        <v>4050</v>
      </c>
      <c r="F1048" s="1" t="s">
        <v>4051</v>
      </c>
      <c r="G1048" s="1" t="s">
        <v>4052</v>
      </c>
      <c r="H1048" s="1" t="s">
        <v>4710</v>
      </c>
      <c r="I1048" s="18" t="s">
        <v>4783</v>
      </c>
      <c r="J1048" s="18" t="s">
        <v>4783</v>
      </c>
      <c r="K1048" s="18" t="s">
        <v>4752</v>
      </c>
      <c r="L1048" s="18" t="s">
        <v>4734</v>
      </c>
      <c r="M1048" s="2">
        <v>1000000</v>
      </c>
      <c r="N1048" s="2">
        <v>1000000</v>
      </c>
      <c r="O1048" s="2"/>
      <c r="P1048" s="2" t="str">
        <f t="shared" si="64"/>
        <v/>
      </c>
      <c r="Q1048" s="2"/>
      <c r="R1048" s="2"/>
      <c r="S1048" s="48"/>
      <c r="T1048" s="2">
        <v>3000000</v>
      </c>
      <c r="U1048" s="2">
        <v>0</v>
      </c>
      <c r="V1048" s="1" t="s">
        <v>4053</v>
      </c>
      <c r="W1048" s="6" t="s">
        <v>4054</v>
      </c>
      <c r="X1048" s="1" t="s">
        <v>4055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>
        <v>1000000</v>
      </c>
      <c r="AI1048" s="3">
        <v>1000000</v>
      </c>
      <c r="AJ1048" s="3">
        <v>1000000</v>
      </c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>
        <f t="shared" si="65"/>
        <v>3000000</v>
      </c>
      <c r="AX1048" s="3">
        <f t="shared" si="66"/>
        <v>0</v>
      </c>
      <c r="AY1048" s="4">
        <f t="shared" si="67"/>
        <v>3</v>
      </c>
      <c r="AZ1048" s="8" t="s">
        <v>5640</v>
      </c>
      <c r="BA1048" s="4" t="s">
        <v>5726</v>
      </c>
      <c r="BB1048" s="2"/>
      <c r="BC1048" s="3"/>
      <c r="BD1048" s="4"/>
    </row>
    <row r="1049" spans="1:56" ht="16.8" customHeight="1">
      <c r="A1049" s="1">
        <v>1048</v>
      </c>
      <c r="B1049" s="1" t="s">
        <v>3175</v>
      </c>
      <c r="C1049" s="1" t="s">
        <v>3654</v>
      </c>
      <c r="D1049" s="1" t="s">
        <v>4056</v>
      </c>
      <c r="E1049" s="1" t="s">
        <v>4056</v>
      </c>
      <c r="F1049" s="1" t="s">
        <v>4057</v>
      </c>
      <c r="G1049" s="1" t="s">
        <v>4058</v>
      </c>
      <c r="H1049" s="1" t="s">
        <v>5043</v>
      </c>
      <c r="I1049" s="18"/>
      <c r="J1049" s="18"/>
      <c r="K1049" s="18"/>
      <c r="L1049" s="18"/>
      <c r="M1049" s="2">
        <v>1000000</v>
      </c>
      <c r="N1049" s="2">
        <v>1000000</v>
      </c>
      <c r="O1049" s="2"/>
      <c r="P1049" s="2" t="str">
        <f t="shared" si="64"/>
        <v/>
      </c>
      <c r="Q1049" s="2"/>
      <c r="R1049" s="2"/>
      <c r="S1049" s="48"/>
      <c r="T1049" s="2">
        <v>0</v>
      </c>
      <c r="U1049" s="2">
        <v>0</v>
      </c>
      <c r="V1049" s="1"/>
      <c r="W1049" s="6"/>
      <c r="X1049" s="1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>
        <f t="shared" si="65"/>
        <v>0</v>
      </c>
      <c r="AX1049" s="3">
        <f t="shared" si="66"/>
        <v>0</v>
      </c>
      <c r="AY1049" s="4">
        <f t="shared" si="67"/>
        <v>0</v>
      </c>
      <c r="BA1049" s="4" t="s">
        <v>5726</v>
      </c>
      <c r="BB1049" s="2"/>
      <c r="BC1049" s="3"/>
      <c r="BD1049" s="4"/>
    </row>
    <row r="1050" spans="1:56" ht="16.8" customHeight="1">
      <c r="A1050" s="1">
        <v>1049</v>
      </c>
      <c r="B1050" s="1" t="s">
        <v>3175</v>
      </c>
      <c r="C1050" s="1" t="s">
        <v>3176</v>
      </c>
      <c r="D1050" s="1" t="s">
        <v>4059</v>
      </c>
      <c r="E1050" s="1" t="s">
        <v>4059</v>
      </c>
      <c r="F1050" s="1" t="s">
        <v>4060</v>
      </c>
      <c r="G1050" s="1" t="s">
        <v>4061</v>
      </c>
      <c r="H1050" s="1" t="s">
        <v>4711</v>
      </c>
      <c r="I1050" s="18" t="s">
        <v>4783</v>
      </c>
      <c r="J1050" s="18" t="s">
        <v>5018</v>
      </c>
      <c r="K1050" s="18" t="s">
        <v>4748</v>
      </c>
      <c r="L1050" s="18" t="s">
        <v>4734</v>
      </c>
      <c r="M1050" s="2">
        <v>3600000</v>
      </c>
      <c r="N1050" s="2">
        <v>3600000</v>
      </c>
      <c r="O1050" s="2"/>
      <c r="P1050" s="2" t="str">
        <f t="shared" si="64"/>
        <v/>
      </c>
      <c r="Q1050" s="2"/>
      <c r="R1050" s="2"/>
      <c r="S1050" s="48"/>
      <c r="T1050" s="2">
        <v>0</v>
      </c>
      <c r="U1050" s="2">
        <v>0</v>
      </c>
      <c r="V1050" s="1" t="s">
        <v>4061</v>
      </c>
      <c r="W1050" s="6" t="s">
        <v>4062</v>
      </c>
      <c r="X1050" s="1" t="s">
        <v>4063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>
        <v>3600000</v>
      </c>
      <c r="AL1050" s="3">
        <v>3600000</v>
      </c>
      <c r="AM1050" s="3">
        <v>3600000</v>
      </c>
      <c r="AN1050" s="3">
        <v>3600000</v>
      </c>
      <c r="AO1050" s="3">
        <v>3600000</v>
      </c>
      <c r="AP1050" s="3">
        <v>3600000</v>
      </c>
      <c r="AQ1050" s="3">
        <v>3600000</v>
      </c>
      <c r="AR1050" s="3">
        <v>3600000</v>
      </c>
      <c r="AS1050" s="3">
        <v>3600000</v>
      </c>
      <c r="AT1050" s="3">
        <v>3600000</v>
      </c>
      <c r="AU1050" s="3">
        <v>3600000</v>
      </c>
      <c r="AV1050" s="3">
        <v>3600000</v>
      </c>
      <c r="AW1050" s="3">
        <f t="shared" si="65"/>
        <v>0</v>
      </c>
      <c r="AX1050" s="3">
        <f t="shared" si="66"/>
        <v>43200000</v>
      </c>
      <c r="AY1050" s="4">
        <f t="shared" si="67"/>
        <v>12</v>
      </c>
      <c r="AZ1050" s="8">
        <v>0</v>
      </c>
      <c r="BA1050" s="4" t="s">
        <v>5709</v>
      </c>
      <c r="BB1050" s="2"/>
      <c r="BC1050" s="3"/>
      <c r="BD1050" s="4"/>
    </row>
    <row r="1051" spans="1:56" ht="16.8" customHeight="1">
      <c r="A1051" s="1">
        <v>1050</v>
      </c>
      <c r="B1051" s="1" t="s">
        <v>3175</v>
      </c>
      <c r="C1051" s="1" t="s">
        <v>3176</v>
      </c>
      <c r="D1051" s="1" t="s">
        <v>4064</v>
      </c>
      <c r="E1051" s="1" t="s">
        <v>4064</v>
      </c>
      <c r="F1051" s="1" t="s">
        <v>4065</v>
      </c>
      <c r="G1051" s="1" t="s">
        <v>4066</v>
      </c>
      <c r="H1051" s="1" t="s">
        <v>5371</v>
      </c>
      <c r="I1051" s="18" t="s">
        <v>4783</v>
      </c>
      <c r="J1051" s="18" t="s">
        <v>4783</v>
      </c>
      <c r="K1051" s="18" t="s">
        <v>4742</v>
      </c>
      <c r="L1051" s="18" t="s">
        <v>4734</v>
      </c>
      <c r="M1051" s="2">
        <v>3600000</v>
      </c>
      <c r="N1051" s="2">
        <v>3600000</v>
      </c>
      <c r="O1051" s="2"/>
      <c r="P1051" s="2" t="str">
        <f t="shared" si="64"/>
        <v/>
      </c>
      <c r="Q1051" s="2"/>
      <c r="R1051" s="2"/>
      <c r="S1051" s="48"/>
      <c r="T1051" s="2">
        <v>0</v>
      </c>
      <c r="U1051" s="2">
        <v>0</v>
      </c>
      <c r="V1051" s="1" t="s">
        <v>4066</v>
      </c>
      <c r="W1051" s="6" t="s">
        <v>4067</v>
      </c>
      <c r="X1051" s="1" t="s">
        <v>3288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>
        <v>3600000</v>
      </c>
      <c r="AL1051" s="3">
        <v>3600000</v>
      </c>
      <c r="AM1051" s="3">
        <v>3600000</v>
      </c>
      <c r="AN1051" s="3">
        <v>3600000</v>
      </c>
      <c r="AO1051" s="3">
        <v>3600000</v>
      </c>
      <c r="AP1051" s="3">
        <v>3600000</v>
      </c>
      <c r="AQ1051" s="3">
        <v>3600000</v>
      </c>
      <c r="AR1051" s="3">
        <v>3600000</v>
      </c>
      <c r="AS1051" s="3">
        <v>3600000</v>
      </c>
      <c r="AT1051" s="3">
        <v>3600000</v>
      </c>
      <c r="AU1051" s="3">
        <v>3600000</v>
      </c>
      <c r="AV1051" s="3">
        <v>3600000</v>
      </c>
      <c r="AW1051" s="3">
        <f t="shared" si="65"/>
        <v>0</v>
      </c>
      <c r="AX1051" s="3">
        <f t="shared" si="66"/>
        <v>43200000</v>
      </c>
      <c r="AY1051" s="4">
        <f t="shared" si="67"/>
        <v>12</v>
      </c>
      <c r="AZ1051" s="8" t="s">
        <v>5528</v>
      </c>
      <c r="BA1051" s="4" t="s">
        <v>5726</v>
      </c>
      <c r="BB1051" s="2"/>
      <c r="BC1051" s="3"/>
      <c r="BD1051" s="3"/>
    </row>
    <row r="1052" spans="1:56" ht="16.8" customHeight="1">
      <c r="A1052" s="1">
        <v>1051</v>
      </c>
      <c r="B1052" s="1" t="s">
        <v>3175</v>
      </c>
      <c r="C1052" s="1" t="s">
        <v>3176</v>
      </c>
      <c r="D1052" s="1" t="s">
        <v>4068</v>
      </c>
      <c r="E1052" s="1" t="s">
        <v>4068</v>
      </c>
      <c r="F1052" s="1" t="s">
        <v>4069</v>
      </c>
      <c r="G1052" s="1" t="s">
        <v>4070</v>
      </c>
      <c r="H1052" s="1" t="s">
        <v>4712</v>
      </c>
      <c r="I1052" s="18" t="s">
        <v>4783</v>
      </c>
      <c r="J1052" s="18" t="s">
        <v>5132</v>
      </c>
      <c r="K1052" s="18" t="s">
        <v>4752</v>
      </c>
      <c r="L1052" s="18"/>
      <c r="M1052" s="2">
        <v>1500000</v>
      </c>
      <c r="N1052" s="2">
        <v>1500000</v>
      </c>
      <c r="O1052" s="2"/>
      <c r="P1052" s="2" t="str">
        <f t="shared" si="64"/>
        <v/>
      </c>
      <c r="Q1052" s="2"/>
      <c r="R1052" s="2"/>
      <c r="S1052" s="48"/>
      <c r="T1052" s="2">
        <v>9000000</v>
      </c>
      <c r="U1052" s="2">
        <v>0</v>
      </c>
      <c r="V1052" s="1" t="s">
        <v>4071</v>
      </c>
      <c r="W1052" s="6" t="s">
        <v>4072</v>
      </c>
      <c r="X1052" s="1" t="s">
        <v>3288</v>
      </c>
      <c r="Y1052" s="3"/>
      <c r="Z1052" s="3"/>
      <c r="AA1052" s="3"/>
      <c r="AB1052" s="3"/>
      <c r="AC1052" s="3"/>
      <c r="AD1052" s="3"/>
      <c r="AE1052" s="3">
        <v>1500000</v>
      </c>
      <c r="AF1052" s="3">
        <v>1500000</v>
      </c>
      <c r="AG1052" s="3">
        <v>1500000</v>
      </c>
      <c r="AH1052" s="3">
        <v>1500000</v>
      </c>
      <c r="AI1052" s="3">
        <v>1500000</v>
      </c>
      <c r="AJ1052" s="3">
        <v>1500000</v>
      </c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>
        <f t="shared" si="65"/>
        <v>9000000</v>
      </c>
      <c r="AX1052" s="3">
        <f t="shared" si="66"/>
        <v>0</v>
      </c>
      <c r="AY1052" s="4">
        <f t="shared" si="67"/>
        <v>6</v>
      </c>
      <c r="BA1052" s="4" t="s">
        <v>5726</v>
      </c>
      <c r="BB1052" s="2"/>
      <c r="BC1052" s="3"/>
      <c r="BD1052" s="4"/>
    </row>
    <row r="1053" spans="1:56" ht="16.8" customHeight="1">
      <c r="A1053" s="1">
        <v>1052</v>
      </c>
      <c r="B1053" s="1" t="s">
        <v>3175</v>
      </c>
      <c r="C1053" s="1" t="s">
        <v>3176</v>
      </c>
      <c r="D1053" s="1" t="s">
        <v>4073</v>
      </c>
      <c r="E1053" s="1" t="s">
        <v>4073</v>
      </c>
      <c r="F1053" s="1" t="s">
        <v>4074</v>
      </c>
      <c r="G1053" s="1" t="s">
        <v>4075</v>
      </c>
      <c r="H1053" s="1" t="s">
        <v>5372</v>
      </c>
      <c r="I1053" s="18" t="s">
        <v>4783</v>
      </c>
      <c r="J1053" s="18" t="s">
        <v>5132</v>
      </c>
      <c r="K1053" s="18" t="s">
        <v>4752</v>
      </c>
      <c r="L1053" s="18"/>
      <c r="M1053" s="2">
        <v>3600000</v>
      </c>
      <c r="N1053" s="2">
        <v>3600000</v>
      </c>
      <c r="O1053" s="2"/>
      <c r="P1053" s="2" t="str">
        <f t="shared" si="64"/>
        <v/>
      </c>
      <c r="Q1053" s="2"/>
      <c r="R1053" s="2"/>
      <c r="S1053" s="48"/>
      <c r="T1053" s="2">
        <v>21600000</v>
      </c>
      <c r="U1053" s="2">
        <v>0</v>
      </c>
      <c r="V1053" s="1" t="s">
        <v>4075</v>
      </c>
      <c r="W1053" s="6" t="s">
        <v>4076</v>
      </c>
      <c r="X1053" s="1" t="s">
        <v>3423</v>
      </c>
      <c r="Y1053" s="3"/>
      <c r="Z1053" s="3"/>
      <c r="AA1053" s="3"/>
      <c r="AB1053" s="3"/>
      <c r="AC1053" s="3"/>
      <c r="AD1053" s="3"/>
      <c r="AE1053" s="3">
        <v>3600000</v>
      </c>
      <c r="AF1053" s="3">
        <v>3600000</v>
      </c>
      <c r="AG1053" s="3">
        <v>3600000</v>
      </c>
      <c r="AH1053" s="3">
        <v>3600000</v>
      </c>
      <c r="AI1053" s="3">
        <v>3600000</v>
      </c>
      <c r="AJ1053" s="3">
        <v>3600000</v>
      </c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>
        <f t="shared" si="65"/>
        <v>21600000</v>
      </c>
      <c r="AX1053" s="3">
        <f t="shared" si="66"/>
        <v>0</v>
      </c>
      <c r="AY1053" s="4">
        <f t="shared" si="67"/>
        <v>6</v>
      </c>
      <c r="BA1053" s="4" t="s">
        <v>5726</v>
      </c>
      <c r="BB1053" s="2"/>
      <c r="BC1053" s="3"/>
      <c r="BD1053" s="4"/>
    </row>
    <row r="1054" spans="1:56" ht="16.8" customHeight="1">
      <c r="A1054" s="1">
        <v>1053</v>
      </c>
      <c r="B1054" s="1" t="s">
        <v>3175</v>
      </c>
      <c r="C1054" s="1" t="s">
        <v>3176</v>
      </c>
      <c r="D1054" s="1" t="s">
        <v>4077</v>
      </c>
      <c r="E1054" s="1" t="s">
        <v>4077</v>
      </c>
      <c r="F1054" s="1" t="s">
        <v>4078</v>
      </c>
      <c r="G1054" s="1" t="s">
        <v>4079</v>
      </c>
      <c r="H1054" s="1" t="s">
        <v>5043</v>
      </c>
      <c r="I1054" s="18"/>
      <c r="J1054" s="18"/>
      <c r="K1054" s="18"/>
      <c r="L1054" s="18"/>
      <c r="M1054" s="2">
        <v>3600000</v>
      </c>
      <c r="N1054" s="2">
        <v>3600000</v>
      </c>
      <c r="O1054" s="2"/>
      <c r="P1054" s="2" t="str">
        <f t="shared" si="64"/>
        <v/>
      </c>
      <c r="Q1054" s="2"/>
      <c r="R1054" s="2"/>
      <c r="S1054" s="48"/>
      <c r="T1054" s="2">
        <v>0</v>
      </c>
      <c r="U1054" s="2">
        <v>0</v>
      </c>
      <c r="V1054" s="1"/>
      <c r="W1054" s="6"/>
      <c r="X1054" s="1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>
        <f t="shared" si="65"/>
        <v>0</v>
      </c>
      <c r="AX1054" s="3">
        <f t="shared" si="66"/>
        <v>0</v>
      </c>
      <c r="AY1054" s="4">
        <f t="shared" si="67"/>
        <v>0</v>
      </c>
      <c r="BA1054" s="4" t="s">
        <v>5726</v>
      </c>
      <c r="BB1054" s="2"/>
      <c r="BC1054" s="3"/>
      <c r="BD1054" s="4"/>
    </row>
    <row r="1055" spans="1:56" ht="16.8" customHeight="1">
      <c r="A1055" s="1">
        <v>1054</v>
      </c>
      <c r="B1055" s="1" t="s">
        <v>3175</v>
      </c>
      <c r="C1055" s="1" t="s">
        <v>3176</v>
      </c>
      <c r="D1055" s="1" t="s">
        <v>4080</v>
      </c>
      <c r="E1055" s="1" t="s">
        <v>4080</v>
      </c>
      <c r="F1055" s="1" t="s">
        <v>4081</v>
      </c>
      <c r="G1055" s="1" t="s">
        <v>4082</v>
      </c>
      <c r="H1055" s="1" t="s">
        <v>5043</v>
      </c>
      <c r="I1055" s="18"/>
      <c r="J1055" s="18"/>
      <c r="K1055" s="18"/>
      <c r="L1055" s="18"/>
      <c r="M1055" s="2">
        <v>3600000</v>
      </c>
      <c r="N1055" s="2">
        <v>3600000</v>
      </c>
      <c r="O1055" s="2"/>
      <c r="P1055" s="2" t="str">
        <f t="shared" si="64"/>
        <v/>
      </c>
      <c r="Q1055" s="2"/>
      <c r="R1055" s="2"/>
      <c r="S1055" s="48"/>
      <c r="T1055" s="2">
        <v>0</v>
      </c>
      <c r="U1055" s="2">
        <v>0</v>
      </c>
      <c r="V1055" s="1"/>
      <c r="W1055" s="6"/>
      <c r="X1055" s="1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>
        <f t="shared" si="65"/>
        <v>0</v>
      </c>
      <c r="AX1055" s="3">
        <f t="shared" si="66"/>
        <v>0</v>
      </c>
      <c r="AY1055" s="4">
        <f t="shared" si="67"/>
        <v>0</v>
      </c>
      <c r="BA1055" s="4" t="s">
        <v>5726</v>
      </c>
      <c r="BB1055" s="2"/>
      <c r="BC1055" s="3"/>
      <c r="BD1055" s="4"/>
    </row>
    <row r="1056" spans="1:56" ht="16.8" customHeight="1">
      <c r="A1056" s="1">
        <v>1055</v>
      </c>
      <c r="B1056" s="1" t="s">
        <v>3175</v>
      </c>
      <c r="C1056" s="1" t="s">
        <v>3176</v>
      </c>
      <c r="D1056" s="1" t="s">
        <v>4083</v>
      </c>
      <c r="E1056" s="1" t="s">
        <v>4083</v>
      </c>
      <c r="F1056" s="1" t="s">
        <v>4084</v>
      </c>
      <c r="G1056" s="1" t="s">
        <v>4085</v>
      </c>
      <c r="H1056" s="1" t="s">
        <v>4713</v>
      </c>
      <c r="I1056" s="18" t="s">
        <v>4783</v>
      </c>
      <c r="J1056" s="18" t="s">
        <v>5132</v>
      </c>
      <c r="K1056" s="18" t="s">
        <v>4752</v>
      </c>
      <c r="L1056" s="18" t="s">
        <v>4734</v>
      </c>
      <c r="M1056" s="2">
        <v>5000000</v>
      </c>
      <c r="N1056" s="2">
        <v>5000000</v>
      </c>
      <c r="O1056" s="2"/>
      <c r="P1056" s="2" t="str">
        <f t="shared" si="64"/>
        <v/>
      </c>
      <c r="Q1056" s="2"/>
      <c r="R1056" s="2"/>
      <c r="S1056" s="48"/>
      <c r="T1056" s="2">
        <v>30000000</v>
      </c>
      <c r="U1056" s="2">
        <v>0</v>
      </c>
      <c r="V1056" s="1" t="s">
        <v>4085</v>
      </c>
      <c r="W1056" s="6" t="s">
        <v>4086</v>
      </c>
      <c r="X1056" s="1" t="s">
        <v>121</v>
      </c>
      <c r="Y1056" s="3"/>
      <c r="Z1056" s="3"/>
      <c r="AA1056" s="3"/>
      <c r="AB1056" s="3"/>
      <c r="AC1056" s="3"/>
      <c r="AD1056" s="3"/>
      <c r="AE1056" s="3">
        <v>5000000</v>
      </c>
      <c r="AF1056" s="3">
        <v>5000000</v>
      </c>
      <c r="AG1056" s="3">
        <v>5000000</v>
      </c>
      <c r="AH1056" s="3">
        <v>5000000</v>
      </c>
      <c r="AI1056" s="3">
        <v>5000000</v>
      </c>
      <c r="AJ1056" s="3">
        <v>5000000</v>
      </c>
      <c r="AK1056" s="3">
        <v>5000000</v>
      </c>
      <c r="AL1056" s="3">
        <v>5000000</v>
      </c>
      <c r="AM1056" s="3">
        <v>5000000</v>
      </c>
      <c r="AN1056" s="3">
        <v>5000000</v>
      </c>
      <c r="AO1056" s="3">
        <v>5000000</v>
      </c>
      <c r="AP1056" s="3">
        <v>5000000</v>
      </c>
      <c r="AQ1056" s="3"/>
      <c r="AR1056" s="3"/>
      <c r="AS1056" s="3"/>
      <c r="AT1056" s="3"/>
      <c r="AU1056" s="3"/>
      <c r="AV1056" s="3"/>
      <c r="AW1056" s="3">
        <f t="shared" si="65"/>
        <v>30000000</v>
      </c>
      <c r="AX1056" s="3">
        <f t="shared" si="66"/>
        <v>30000000</v>
      </c>
      <c r="AY1056" s="4">
        <f t="shared" si="67"/>
        <v>12</v>
      </c>
      <c r="AZ1056" s="8" t="s">
        <v>5641</v>
      </c>
      <c r="BA1056" s="4" t="s">
        <v>5726</v>
      </c>
      <c r="BB1056" s="2"/>
      <c r="BC1056" s="3"/>
      <c r="BD1056" s="3"/>
    </row>
    <row r="1057" spans="1:56" ht="16.8" customHeight="1">
      <c r="A1057" s="1">
        <v>1056</v>
      </c>
      <c r="B1057" s="1" t="s">
        <v>3175</v>
      </c>
      <c r="C1057" s="1" t="s">
        <v>3176</v>
      </c>
      <c r="D1057" s="1" t="s">
        <v>4087</v>
      </c>
      <c r="E1057" s="1" t="s">
        <v>4087</v>
      </c>
      <c r="F1057" s="1" t="s">
        <v>4088</v>
      </c>
      <c r="G1057" s="1" t="s">
        <v>4089</v>
      </c>
      <c r="H1057" s="1" t="s">
        <v>4714</v>
      </c>
      <c r="I1057" s="18" t="s">
        <v>4783</v>
      </c>
      <c r="J1057" s="18" t="s">
        <v>5132</v>
      </c>
      <c r="K1057" s="18" t="s">
        <v>4733</v>
      </c>
      <c r="L1057" s="18" t="s">
        <v>4734</v>
      </c>
      <c r="M1057" s="2">
        <v>3100000</v>
      </c>
      <c r="N1057" s="2">
        <v>3100000</v>
      </c>
      <c r="O1057" s="2"/>
      <c r="P1057" s="2" t="str">
        <f t="shared" si="64"/>
        <v/>
      </c>
      <c r="Q1057" s="2"/>
      <c r="R1057" s="2"/>
      <c r="S1057" s="48"/>
      <c r="T1057" s="2">
        <v>18600000</v>
      </c>
      <c r="U1057" s="2">
        <v>0</v>
      </c>
      <c r="V1057" s="1" t="s">
        <v>4089</v>
      </c>
      <c r="W1057" s="6" t="s">
        <v>4090</v>
      </c>
      <c r="X1057" s="1" t="s">
        <v>4091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>
        <v>3100000</v>
      </c>
      <c r="AL1057" s="3">
        <v>3100000</v>
      </c>
      <c r="AM1057" s="3">
        <v>3100000</v>
      </c>
      <c r="AN1057" s="3">
        <v>3100000</v>
      </c>
      <c r="AO1057" s="3">
        <v>3100000</v>
      </c>
      <c r="AP1057" s="3">
        <v>3100000</v>
      </c>
      <c r="AQ1057" s="3">
        <v>3100000</v>
      </c>
      <c r="AR1057" s="3">
        <v>3100000</v>
      </c>
      <c r="AS1057" s="3">
        <v>3100000</v>
      </c>
      <c r="AT1057" s="3">
        <v>3100000</v>
      </c>
      <c r="AU1057" s="3">
        <v>3100000</v>
      </c>
      <c r="AV1057" s="3">
        <v>3100000</v>
      </c>
      <c r="AW1057" s="3">
        <f t="shared" si="65"/>
        <v>0</v>
      </c>
      <c r="AX1057" s="3">
        <f t="shared" si="66"/>
        <v>37200000</v>
      </c>
      <c r="AY1057" s="4">
        <f t="shared" si="67"/>
        <v>12</v>
      </c>
      <c r="AZ1057" s="8" t="s">
        <v>5642</v>
      </c>
      <c r="BA1057" s="4" t="s">
        <v>5709</v>
      </c>
      <c r="BB1057" s="2"/>
      <c r="BC1057" s="3"/>
      <c r="BD1057" s="4"/>
    </row>
    <row r="1058" spans="1:56" ht="16.8" customHeight="1">
      <c r="A1058" s="1">
        <v>1057</v>
      </c>
      <c r="B1058" s="1" t="s">
        <v>3175</v>
      </c>
      <c r="C1058" s="1" t="s">
        <v>3176</v>
      </c>
      <c r="D1058" s="1" t="s">
        <v>4092</v>
      </c>
      <c r="E1058" s="1" t="s">
        <v>4092</v>
      </c>
      <c r="F1058" s="1" t="s">
        <v>4093</v>
      </c>
      <c r="G1058" s="1" t="s">
        <v>4094</v>
      </c>
      <c r="H1058" s="1" t="s">
        <v>5043</v>
      </c>
      <c r="I1058" s="18"/>
      <c r="J1058" s="18"/>
      <c r="K1058" s="18"/>
      <c r="L1058" s="18"/>
      <c r="M1058" s="2">
        <v>3600000</v>
      </c>
      <c r="N1058" s="2">
        <v>3600000</v>
      </c>
      <c r="O1058" s="2"/>
      <c r="P1058" s="2" t="str">
        <f t="shared" si="64"/>
        <v/>
      </c>
      <c r="Q1058" s="2">
        <v>4600000</v>
      </c>
      <c r="R1058" s="2"/>
      <c r="S1058" s="48">
        <v>46023</v>
      </c>
      <c r="T1058" s="2">
        <v>0</v>
      </c>
      <c r="U1058" s="2">
        <v>0</v>
      </c>
      <c r="V1058" s="1"/>
      <c r="W1058" s="6"/>
      <c r="X1058" s="1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>
        <f t="shared" si="65"/>
        <v>0</v>
      </c>
      <c r="AX1058" s="3">
        <f t="shared" si="66"/>
        <v>0</v>
      </c>
      <c r="AY1058" s="4">
        <f t="shared" si="67"/>
        <v>0</v>
      </c>
      <c r="BA1058" s="4" t="s">
        <v>5726</v>
      </c>
      <c r="BB1058" s="2"/>
      <c r="BC1058" s="3"/>
      <c r="BD1058" s="4"/>
    </row>
    <row r="1059" spans="1:56" ht="16.8" customHeight="1">
      <c r="A1059" s="1">
        <v>1058</v>
      </c>
      <c r="B1059" s="1" t="s">
        <v>3175</v>
      </c>
      <c r="C1059" s="1" t="s">
        <v>3176</v>
      </c>
      <c r="D1059" s="1" t="s">
        <v>4095</v>
      </c>
      <c r="E1059" s="1" t="s">
        <v>4095</v>
      </c>
      <c r="F1059" s="1" t="s">
        <v>4096</v>
      </c>
      <c r="G1059" s="1" t="s">
        <v>4097</v>
      </c>
      <c r="H1059" s="1" t="s">
        <v>5373</v>
      </c>
      <c r="I1059" s="18" t="s">
        <v>4783</v>
      </c>
      <c r="J1059" s="18" t="s">
        <v>5132</v>
      </c>
      <c r="K1059" s="18" t="s">
        <v>4742</v>
      </c>
      <c r="L1059" s="18" t="s">
        <v>4734</v>
      </c>
      <c r="M1059" s="2">
        <v>4200000</v>
      </c>
      <c r="N1059" s="2">
        <v>4200000</v>
      </c>
      <c r="O1059" s="2"/>
      <c r="P1059" s="2" t="str">
        <f t="shared" si="64"/>
        <v/>
      </c>
      <c r="Q1059" s="2"/>
      <c r="R1059" s="2"/>
      <c r="S1059" s="48"/>
      <c r="T1059" s="2">
        <v>25200000</v>
      </c>
      <c r="U1059" s="2">
        <v>0</v>
      </c>
      <c r="V1059" s="1" t="s">
        <v>4097</v>
      </c>
      <c r="W1059" s="6" t="s">
        <v>4098</v>
      </c>
      <c r="X1059" s="1" t="s">
        <v>471</v>
      </c>
      <c r="Y1059" s="3"/>
      <c r="Z1059" s="3"/>
      <c r="AA1059" s="3"/>
      <c r="AB1059" s="3"/>
      <c r="AC1059" s="3"/>
      <c r="AD1059" s="3"/>
      <c r="AE1059" s="3">
        <v>4200000</v>
      </c>
      <c r="AF1059" s="3">
        <v>4200000</v>
      </c>
      <c r="AG1059" s="3">
        <v>4200000</v>
      </c>
      <c r="AH1059" s="3">
        <v>4200000</v>
      </c>
      <c r="AI1059" s="3">
        <v>4200000</v>
      </c>
      <c r="AJ1059" s="3">
        <v>4200000</v>
      </c>
      <c r="AK1059" s="3">
        <v>4200000</v>
      </c>
      <c r="AL1059" s="3">
        <v>4200000</v>
      </c>
      <c r="AM1059" s="3">
        <v>4200000</v>
      </c>
      <c r="AN1059" s="3">
        <v>4200000</v>
      </c>
      <c r="AO1059" s="3">
        <v>4200000</v>
      </c>
      <c r="AP1059" s="3">
        <v>4200000</v>
      </c>
      <c r="AQ1059" s="3"/>
      <c r="AR1059" s="3"/>
      <c r="AS1059" s="3"/>
      <c r="AT1059" s="3"/>
      <c r="AU1059" s="3"/>
      <c r="AV1059" s="3"/>
      <c r="AW1059" s="3">
        <f t="shared" si="65"/>
        <v>25200000</v>
      </c>
      <c r="AX1059" s="3">
        <f t="shared" si="66"/>
        <v>25200000</v>
      </c>
      <c r="AY1059" s="4">
        <f t="shared" si="67"/>
        <v>12</v>
      </c>
      <c r="AZ1059" s="8" t="s">
        <v>5495</v>
      </c>
      <c r="BA1059" s="4" t="s">
        <v>5726</v>
      </c>
      <c r="BB1059" s="2"/>
      <c r="BC1059" s="3"/>
      <c r="BD1059" s="3"/>
    </row>
    <row r="1060" spans="1:56" ht="16.8" customHeight="1">
      <c r="A1060" s="1">
        <v>1059</v>
      </c>
      <c r="B1060" s="1" t="s">
        <v>3175</v>
      </c>
      <c r="C1060" s="1" t="s">
        <v>3176</v>
      </c>
      <c r="D1060" s="1" t="s">
        <v>4099</v>
      </c>
      <c r="E1060" s="1" t="s">
        <v>4099</v>
      </c>
      <c r="F1060" s="1" t="s">
        <v>4100</v>
      </c>
      <c r="G1060" s="1" t="s">
        <v>4082</v>
      </c>
      <c r="H1060" s="1" t="s">
        <v>5043</v>
      </c>
      <c r="I1060" s="18"/>
      <c r="J1060" s="18"/>
      <c r="K1060" s="18"/>
      <c r="L1060" s="18"/>
      <c r="M1060" s="2">
        <v>3600000</v>
      </c>
      <c r="N1060" s="2">
        <v>3600000</v>
      </c>
      <c r="O1060" s="2"/>
      <c r="P1060" s="2" t="str">
        <f t="shared" si="64"/>
        <v/>
      </c>
      <c r="Q1060" s="2"/>
      <c r="R1060" s="2"/>
      <c r="S1060" s="48"/>
      <c r="T1060" s="2">
        <v>0</v>
      </c>
      <c r="U1060" s="2">
        <v>0</v>
      </c>
      <c r="V1060" s="1"/>
      <c r="W1060" s="6"/>
      <c r="X1060" s="1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>
        <f t="shared" si="65"/>
        <v>0</v>
      </c>
      <c r="AX1060" s="3">
        <f t="shared" si="66"/>
        <v>0</v>
      </c>
      <c r="AY1060" s="4">
        <f t="shared" si="67"/>
        <v>0</v>
      </c>
      <c r="BA1060" s="4" t="s">
        <v>5726</v>
      </c>
      <c r="BB1060" s="2"/>
      <c r="BC1060" s="3"/>
      <c r="BD1060" s="4"/>
    </row>
    <row r="1061" spans="1:56" ht="16.8" customHeight="1">
      <c r="A1061" s="1">
        <v>1060</v>
      </c>
      <c r="B1061" s="1" t="s">
        <v>3175</v>
      </c>
      <c r="C1061" s="1" t="s">
        <v>3176</v>
      </c>
      <c r="D1061" s="1" t="s">
        <v>4101</v>
      </c>
      <c r="E1061" s="1" t="s">
        <v>4101</v>
      </c>
      <c r="F1061" s="1" t="s">
        <v>4102</v>
      </c>
      <c r="G1061" s="1" t="s">
        <v>4103</v>
      </c>
      <c r="H1061" s="1" t="s">
        <v>5374</v>
      </c>
      <c r="I1061" s="18" t="s">
        <v>4783</v>
      </c>
      <c r="J1061" s="18" t="s">
        <v>5018</v>
      </c>
      <c r="K1061" s="18" t="s">
        <v>4789</v>
      </c>
      <c r="L1061" s="18" t="s">
        <v>4734</v>
      </c>
      <c r="M1061" s="2">
        <v>3100000</v>
      </c>
      <c r="N1061" s="2">
        <v>3100000</v>
      </c>
      <c r="O1061" s="2"/>
      <c r="P1061" s="2" t="str">
        <f t="shared" si="64"/>
        <v/>
      </c>
      <c r="Q1061" s="2"/>
      <c r="R1061" s="2"/>
      <c r="S1061" s="48"/>
      <c r="T1061" s="2">
        <v>0</v>
      </c>
      <c r="U1061" s="2">
        <v>0</v>
      </c>
      <c r="V1061" s="1" t="s">
        <v>4103</v>
      </c>
      <c r="W1061" s="6" t="s">
        <v>4104</v>
      </c>
      <c r="X1061" s="1" t="s">
        <v>3278</v>
      </c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>
        <v>3100000</v>
      </c>
      <c r="AL1061" s="3">
        <v>3100000</v>
      </c>
      <c r="AM1061" s="3">
        <v>3100000</v>
      </c>
      <c r="AN1061" s="3">
        <v>3100000</v>
      </c>
      <c r="AO1061" s="3">
        <v>3100000</v>
      </c>
      <c r="AP1061" s="3">
        <v>3100000</v>
      </c>
      <c r="AQ1061" s="3">
        <v>3100000</v>
      </c>
      <c r="AR1061" s="3">
        <v>3100000</v>
      </c>
      <c r="AS1061" s="3">
        <v>3100000</v>
      </c>
      <c r="AT1061" s="3">
        <v>3100000</v>
      </c>
      <c r="AU1061" s="3">
        <v>3100000</v>
      </c>
      <c r="AV1061" s="3">
        <v>3100000</v>
      </c>
      <c r="AW1061" s="3">
        <f t="shared" si="65"/>
        <v>0</v>
      </c>
      <c r="AX1061" s="3">
        <f t="shared" si="66"/>
        <v>37200000</v>
      </c>
      <c r="AY1061" s="4">
        <f t="shared" si="67"/>
        <v>12</v>
      </c>
      <c r="AZ1061" s="8" t="s">
        <v>5495</v>
      </c>
      <c r="BA1061" s="4" t="s">
        <v>5726</v>
      </c>
      <c r="BB1061" s="2"/>
      <c r="BC1061" s="3"/>
      <c r="BD1061" s="3"/>
    </row>
    <row r="1062" spans="1:56" ht="16.8" customHeight="1">
      <c r="A1062" s="1">
        <v>1061</v>
      </c>
      <c r="B1062" s="1" t="s">
        <v>3175</v>
      </c>
      <c r="C1062" s="1" t="s">
        <v>3176</v>
      </c>
      <c r="D1062" s="1" t="s">
        <v>4105</v>
      </c>
      <c r="E1062" s="1" t="s">
        <v>4105</v>
      </c>
      <c r="F1062" s="1" t="s">
        <v>4106</v>
      </c>
      <c r="G1062" s="1" t="s">
        <v>4107</v>
      </c>
      <c r="H1062" s="1" t="s">
        <v>4715</v>
      </c>
      <c r="I1062" s="18" t="s">
        <v>4783</v>
      </c>
      <c r="J1062" s="18" t="s">
        <v>5018</v>
      </c>
      <c r="K1062" s="18" t="s">
        <v>4742</v>
      </c>
      <c r="L1062" s="18" t="s">
        <v>4734</v>
      </c>
      <c r="M1062" s="2">
        <v>3100000</v>
      </c>
      <c r="N1062" s="2">
        <v>3100000</v>
      </c>
      <c r="O1062" s="2"/>
      <c r="P1062" s="2" t="str">
        <f t="shared" si="64"/>
        <v/>
      </c>
      <c r="Q1062" s="2"/>
      <c r="R1062" s="2"/>
      <c r="S1062" s="48"/>
      <c r="T1062" s="2">
        <v>0</v>
      </c>
      <c r="U1062" s="2">
        <v>0</v>
      </c>
      <c r="V1062" s="1" t="s">
        <v>4108</v>
      </c>
      <c r="W1062" s="6" t="s">
        <v>4109</v>
      </c>
      <c r="X1062" s="1" t="s">
        <v>101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>
        <v>3100000</v>
      </c>
      <c r="AL1062" s="3">
        <v>3100000</v>
      </c>
      <c r="AM1062" s="3">
        <v>3100000</v>
      </c>
      <c r="AN1062" s="3">
        <v>3100000</v>
      </c>
      <c r="AO1062" s="3">
        <v>3100000</v>
      </c>
      <c r="AP1062" s="3">
        <v>3100000</v>
      </c>
      <c r="AQ1062" s="3">
        <v>3100000</v>
      </c>
      <c r="AR1062" s="3">
        <v>3100000</v>
      </c>
      <c r="AS1062" s="3">
        <v>3100000</v>
      </c>
      <c r="AT1062" s="3">
        <v>3100000</v>
      </c>
      <c r="AU1062" s="3">
        <v>3100000</v>
      </c>
      <c r="AV1062" s="3">
        <v>3100000</v>
      </c>
      <c r="AW1062" s="3">
        <f t="shared" si="65"/>
        <v>0</v>
      </c>
      <c r="AX1062" s="3">
        <f t="shared" si="66"/>
        <v>37200000</v>
      </c>
      <c r="AY1062" s="4">
        <f t="shared" si="67"/>
        <v>12</v>
      </c>
      <c r="AZ1062" s="8">
        <v>0</v>
      </c>
      <c r="BA1062" s="4" t="s">
        <v>5709</v>
      </c>
      <c r="BB1062" s="2"/>
      <c r="BC1062" s="3"/>
      <c r="BD1062" s="4"/>
    </row>
    <row r="1063" spans="1:56" ht="16.8" customHeight="1">
      <c r="A1063" s="1">
        <v>1062</v>
      </c>
      <c r="B1063" s="1" t="s">
        <v>3175</v>
      </c>
      <c r="C1063" s="1" t="s">
        <v>3176</v>
      </c>
      <c r="D1063" s="1" t="s">
        <v>4110</v>
      </c>
      <c r="E1063" s="1" t="s">
        <v>4110</v>
      </c>
      <c r="F1063" s="1" t="s">
        <v>4111</v>
      </c>
      <c r="G1063" s="1" t="s">
        <v>4112</v>
      </c>
      <c r="H1063" s="1" t="s">
        <v>5043</v>
      </c>
      <c r="I1063" s="18"/>
      <c r="J1063" s="18"/>
      <c r="K1063" s="18"/>
      <c r="L1063" s="18"/>
      <c r="M1063" s="2">
        <v>3960000</v>
      </c>
      <c r="N1063" s="2">
        <v>3960000</v>
      </c>
      <c r="O1063" s="2"/>
      <c r="P1063" s="2" t="str">
        <f t="shared" si="64"/>
        <v/>
      </c>
      <c r="Q1063" s="2"/>
      <c r="R1063" s="2"/>
      <c r="S1063" s="48"/>
      <c r="T1063" s="2">
        <v>0</v>
      </c>
      <c r="U1063" s="2">
        <v>0</v>
      </c>
      <c r="V1063" s="1"/>
      <c r="W1063" s="6"/>
      <c r="X1063" s="1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>
        <f t="shared" si="65"/>
        <v>0</v>
      </c>
      <c r="AX1063" s="3">
        <f t="shared" si="66"/>
        <v>0</v>
      </c>
      <c r="AY1063" s="4">
        <f t="shared" si="67"/>
        <v>0</v>
      </c>
      <c r="BA1063" s="4" t="s">
        <v>5726</v>
      </c>
      <c r="BB1063" s="2"/>
      <c r="BC1063" s="3"/>
      <c r="BD1063" s="4"/>
    </row>
    <row r="1064" spans="1:56" ht="16.8" customHeight="1">
      <c r="A1064" s="1">
        <v>1063</v>
      </c>
      <c r="B1064" s="1" t="s">
        <v>3175</v>
      </c>
      <c r="C1064" s="1" t="s">
        <v>3176</v>
      </c>
      <c r="D1064" s="1" t="s">
        <v>4113</v>
      </c>
      <c r="E1064" s="1" t="s">
        <v>4113</v>
      </c>
      <c r="F1064" s="1" t="s">
        <v>4114</v>
      </c>
      <c r="G1064" s="1" t="s">
        <v>4115</v>
      </c>
      <c r="H1064" s="1" t="s">
        <v>4716</v>
      </c>
      <c r="I1064" s="18" t="s">
        <v>4783</v>
      </c>
      <c r="J1064" s="18" t="s">
        <v>5132</v>
      </c>
      <c r="K1064" s="18" t="s">
        <v>4752</v>
      </c>
      <c r="L1064" s="18" t="s">
        <v>4734</v>
      </c>
      <c r="M1064" s="2">
        <v>3852000</v>
      </c>
      <c r="N1064" s="2">
        <v>3852000</v>
      </c>
      <c r="O1064" s="2"/>
      <c r="P1064" s="2" t="str">
        <f t="shared" si="64"/>
        <v/>
      </c>
      <c r="Q1064" s="2"/>
      <c r="R1064" s="2"/>
      <c r="S1064" s="48"/>
      <c r="T1064" s="2">
        <v>23112000</v>
      </c>
      <c r="U1064" s="2">
        <v>0</v>
      </c>
      <c r="V1064" s="1" t="s">
        <v>4115</v>
      </c>
      <c r="W1064" s="6" t="s">
        <v>4116</v>
      </c>
      <c r="X1064" s="1" t="s">
        <v>4055</v>
      </c>
      <c r="Y1064" s="3"/>
      <c r="Z1064" s="3"/>
      <c r="AA1064" s="3"/>
      <c r="AB1064" s="3"/>
      <c r="AC1064" s="3"/>
      <c r="AD1064" s="3"/>
      <c r="AE1064" s="3">
        <v>3852000</v>
      </c>
      <c r="AF1064" s="3">
        <v>3852000</v>
      </c>
      <c r="AG1064" s="3">
        <v>3852000</v>
      </c>
      <c r="AH1064" s="3">
        <v>3852000</v>
      </c>
      <c r="AI1064" s="3">
        <v>3852000</v>
      </c>
      <c r="AJ1064" s="3">
        <v>3852000</v>
      </c>
      <c r="AK1064" s="3">
        <v>3852000</v>
      </c>
      <c r="AL1064" s="3">
        <v>3852000</v>
      </c>
      <c r="AM1064" s="3">
        <v>3852000</v>
      </c>
      <c r="AN1064" s="3">
        <v>3852000</v>
      </c>
      <c r="AO1064" s="3">
        <v>3852000</v>
      </c>
      <c r="AP1064" s="3">
        <v>3852000</v>
      </c>
      <c r="AQ1064" s="3"/>
      <c r="AR1064" s="3"/>
      <c r="AS1064" s="3"/>
      <c r="AT1064" s="3"/>
      <c r="AU1064" s="3"/>
      <c r="AV1064" s="3"/>
      <c r="AW1064" s="3">
        <f t="shared" si="65"/>
        <v>23112000</v>
      </c>
      <c r="AX1064" s="3">
        <f t="shared" si="66"/>
        <v>23112000</v>
      </c>
      <c r="AY1064" s="4">
        <f t="shared" si="67"/>
        <v>12</v>
      </c>
      <c r="AZ1064" s="8" t="s">
        <v>5495</v>
      </c>
      <c r="BA1064" s="4" t="s">
        <v>5726</v>
      </c>
      <c r="BB1064" s="2"/>
      <c r="BC1064" s="3"/>
      <c r="BD1064" s="3"/>
    </row>
    <row r="1065" spans="1:56" ht="16.8" customHeight="1">
      <c r="A1065" s="1">
        <v>1064</v>
      </c>
      <c r="B1065" s="1" t="s">
        <v>3175</v>
      </c>
      <c r="C1065" s="1" t="s">
        <v>3176</v>
      </c>
      <c r="D1065" s="1" t="s">
        <v>4117</v>
      </c>
      <c r="E1065" s="1" t="s">
        <v>4117</v>
      </c>
      <c r="F1065" s="1" t="s">
        <v>4118</v>
      </c>
      <c r="G1065" s="1" t="s">
        <v>4119</v>
      </c>
      <c r="H1065" s="1" t="s">
        <v>4717</v>
      </c>
      <c r="I1065" s="18" t="s">
        <v>4783</v>
      </c>
      <c r="J1065" s="18" t="s">
        <v>5018</v>
      </c>
      <c r="K1065" s="18" t="s">
        <v>4742</v>
      </c>
      <c r="L1065" s="18" t="s">
        <v>4734</v>
      </c>
      <c r="M1065" s="2">
        <v>3600000</v>
      </c>
      <c r="N1065" s="2">
        <v>3600000</v>
      </c>
      <c r="O1065" s="2"/>
      <c r="P1065" s="2" t="str">
        <f t="shared" si="64"/>
        <v/>
      </c>
      <c r="Q1065" s="2"/>
      <c r="R1065" s="2"/>
      <c r="S1065" s="48"/>
      <c r="T1065" s="2">
        <v>0</v>
      </c>
      <c r="U1065" s="2">
        <v>0</v>
      </c>
      <c r="V1065" s="1" t="s">
        <v>4119</v>
      </c>
      <c r="W1065" s="6" t="s">
        <v>4120</v>
      </c>
      <c r="X1065" s="1" t="s">
        <v>3346</v>
      </c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>
        <v>3600000</v>
      </c>
      <c r="AL1065" s="3">
        <v>3600000</v>
      </c>
      <c r="AM1065" s="3">
        <v>3600000</v>
      </c>
      <c r="AN1065" s="3">
        <v>3600000</v>
      </c>
      <c r="AO1065" s="3">
        <v>3600000</v>
      </c>
      <c r="AP1065" s="3">
        <v>3600000</v>
      </c>
      <c r="AQ1065" s="3">
        <v>3600000</v>
      </c>
      <c r="AR1065" s="3">
        <v>3600000</v>
      </c>
      <c r="AS1065" s="3">
        <v>3600000</v>
      </c>
      <c r="AT1065" s="3">
        <v>3600000</v>
      </c>
      <c r="AU1065" s="3">
        <v>3600000</v>
      </c>
      <c r="AV1065" s="3">
        <v>3600000</v>
      </c>
      <c r="AW1065" s="3">
        <f t="shared" si="65"/>
        <v>0</v>
      </c>
      <c r="AX1065" s="3">
        <f t="shared" si="66"/>
        <v>43200000</v>
      </c>
      <c r="AY1065" s="4">
        <f t="shared" si="67"/>
        <v>12</v>
      </c>
      <c r="AZ1065" s="8">
        <v>0</v>
      </c>
      <c r="BA1065" s="4" t="s">
        <v>5709</v>
      </c>
      <c r="BB1065" s="2"/>
      <c r="BC1065" s="3"/>
      <c r="BD1065" s="4"/>
    </row>
    <row r="1066" spans="1:56" ht="16.8" customHeight="1">
      <c r="A1066" s="1">
        <v>1065</v>
      </c>
      <c r="B1066" s="1" t="s">
        <v>3175</v>
      </c>
      <c r="C1066" s="1" t="s">
        <v>3176</v>
      </c>
      <c r="D1066" s="1" t="s">
        <v>4121</v>
      </c>
      <c r="E1066" s="1" t="s">
        <v>4121</v>
      </c>
      <c r="F1066" s="1" t="s">
        <v>4122</v>
      </c>
      <c r="G1066" s="1" t="s">
        <v>4123</v>
      </c>
      <c r="H1066" s="1" t="s">
        <v>4718</v>
      </c>
      <c r="I1066" s="18" t="s">
        <v>4783</v>
      </c>
      <c r="J1066" s="18" t="s">
        <v>5132</v>
      </c>
      <c r="K1066" s="18" t="s">
        <v>4938</v>
      </c>
      <c r="L1066" s="18" t="s">
        <v>4734</v>
      </c>
      <c r="M1066" s="2">
        <v>3600000</v>
      </c>
      <c r="N1066" s="2">
        <v>3600000</v>
      </c>
      <c r="O1066" s="2"/>
      <c r="P1066" s="2" t="str">
        <f t="shared" si="64"/>
        <v/>
      </c>
      <c r="Q1066" s="2"/>
      <c r="R1066" s="2"/>
      <c r="S1066" s="48"/>
      <c r="T1066" s="2">
        <v>21600000</v>
      </c>
      <c r="U1066" s="2">
        <v>0</v>
      </c>
      <c r="V1066" s="1" t="s">
        <v>4123</v>
      </c>
      <c r="W1066" s="6" t="s">
        <v>4124</v>
      </c>
      <c r="X1066" s="1" t="s">
        <v>3346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>
        <v>3600000</v>
      </c>
      <c r="AL1066" s="3">
        <v>3600000</v>
      </c>
      <c r="AM1066" s="3">
        <v>3600000</v>
      </c>
      <c r="AN1066" s="3">
        <v>3600000</v>
      </c>
      <c r="AO1066" s="3">
        <v>3600000</v>
      </c>
      <c r="AP1066" s="3">
        <v>3600000</v>
      </c>
      <c r="AQ1066" s="3">
        <v>3600000</v>
      </c>
      <c r="AR1066" s="3">
        <v>3600000</v>
      </c>
      <c r="AS1066" s="3">
        <v>3600000</v>
      </c>
      <c r="AT1066" s="3">
        <v>3600000</v>
      </c>
      <c r="AU1066" s="3">
        <v>3600000</v>
      </c>
      <c r="AV1066" s="3">
        <v>3600000</v>
      </c>
      <c r="AW1066" s="3">
        <f t="shared" si="65"/>
        <v>0</v>
      </c>
      <c r="AX1066" s="3">
        <f t="shared" si="66"/>
        <v>43200000</v>
      </c>
      <c r="AY1066" s="4">
        <f t="shared" si="67"/>
        <v>12</v>
      </c>
      <c r="AZ1066" s="8">
        <v>0</v>
      </c>
      <c r="BA1066" s="4" t="s">
        <v>5709</v>
      </c>
      <c r="BB1066" s="2"/>
      <c r="BC1066" s="3"/>
      <c r="BD1066" s="4"/>
    </row>
    <row r="1067" spans="1:56" ht="16.8" customHeight="1">
      <c r="A1067" s="1">
        <v>1066</v>
      </c>
      <c r="B1067" s="1" t="s">
        <v>3175</v>
      </c>
      <c r="C1067" s="1" t="s">
        <v>3176</v>
      </c>
      <c r="D1067" s="1" t="s">
        <v>4125</v>
      </c>
      <c r="E1067" s="1" t="s">
        <v>4125</v>
      </c>
      <c r="F1067" s="1" t="s">
        <v>4126</v>
      </c>
      <c r="G1067" s="1" t="s">
        <v>4127</v>
      </c>
      <c r="H1067" s="1" t="s">
        <v>5043</v>
      </c>
      <c r="I1067" s="18"/>
      <c r="J1067" s="18"/>
      <c r="K1067" s="18"/>
      <c r="L1067" s="18"/>
      <c r="M1067" s="2">
        <v>3600000</v>
      </c>
      <c r="N1067" s="2">
        <v>3600000</v>
      </c>
      <c r="O1067" s="2"/>
      <c r="P1067" s="2" t="str">
        <f t="shared" si="64"/>
        <v/>
      </c>
      <c r="Q1067" s="2"/>
      <c r="R1067" s="2"/>
      <c r="S1067" s="48"/>
      <c r="T1067" s="2">
        <v>0</v>
      </c>
      <c r="U1067" s="2">
        <v>0</v>
      </c>
      <c r="V1067" s="1"/>
      <c r="W1067" s="6"/>
      <c r="X1067" s="1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>
        <f t="shared" si="65"/>
        <v>0</v>
      </c>
      <c r="AX1067" s="3">
        <f t="shared" si="66"/>
        <v>0</v>
      </c>
      <c r="AY1067" s="4">
        <f t="shared" si="67"/>
        <v>0</v>
      </c>
      <c r="BA1067" s="4" t="s">
        <v>5726</v>
      </c>
      <c r="BB1067" s="2"/>
      <c r="BC1067" s="3"/>
      <c r="BD1067" s="4"/>
    </row>
    <row r="1068" spans="1:56" ht="16.8" customHeight="1">
      <c r="A1068" s="1">
        <v>1067</v>
      </c>
      <c r="B1068" s="1" t="s">
        <v>3175</v>
      </c>
      <c r="C1068" s="1" t="s">
        <v>3176</v>
      </c>
      <c r="D1068" s="1" t="s">
        <v>4128</v>
      </c>
      <c r="E1068" s="1" t="s">
        <v>4128</v>
      </c>
      <c r="F1068" s="1" t="s">
        <v>4129</v>
      </c>
      <c r="G1068" s="1" t="s">
        <v>4130</v>
      </c>
      <c r="H1068" s="1" t="s">
        <v>4719</v>
      </c>
      <c r="I1068" s="18" t="s">
        <v>4783</v>
      </c>
      <c r="J1068" s="18" t="s">
        <v>5018</v>
      </c>
      <c r="K1068" s="18" t="s">
        <v>4742</v>
      </c>
      <c r="L1068" s="18"/>
      <c r="M1068" s="2">
        <v>3600000</v>
      </c>
      <c r="N1068" s="2">
        <v>3600000</v>
      </c>
      <c r="O1068" s="2"/>
      <c r="P1068" s="2" t="str">
        <f t="shared" si="64"/>
        <v/>
      </c>
      <c r="Q1068" s="2"/>
      <c r="R1068" s="2"/>
      <c r="S1068" s="48"/>
      <c r="T1068" s="2">
        <v>0</v>
      </c>
      <c r="U1068" s="2">
        <v>0</v>
      </c>
      <c r="V1068" s="1" t="s">
        <v>4131</v>
      </c>
      <c r="W1068" s="6" t="s">
        <v>4132</v>
      </c>
      <c r="X1068" s="1" t="s">
        <v>4091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>
        <v>3600000</v>
      </c>
      <c r="AL1068" s="3">
        <v>3600000</v>
      </c>
      <c r="AM1068" s="3">
        <v>3600000</v>
      </c>
      <c r="AN1068" s="3">
        <v>3600000</v>
      </c>
      <c r="AO1068" s="3">
        <v>3600000</v>
      </c>
      <c r="AP1068" s="3">
        <v>3600000</v>
      </c>
      <c r="AQ1068" s="3">
        <v>3600000</v>
      </c>
      <c r="AR1068" s="3">
        <v>3600000</v>
      </c>
      <c r="AS1068" s="3">
        <v>3600000</v>
      </c>
      <c r="AT1068" s="3">
        <v>3600000</v>
      </c>
      <c r="AU1068" s="3">
        <v>3600000</v>
      </c>
      <c r="AV1068" s="3">
        <v>3600000</v>
      </c>
      <c r="AW1068" s="3">
        <f t="shared" si="65"/>
        <v>0</v>
      </c>
      <c r="AX1068" s="3">
        <f t="shared" si="66"/>
        <v>43200000</v>
      </c>
      <c r="AY1068" s="4">
        <f t="shared" si="67"/>
        <v>12</v>
      </c>
      <c r="BA1068" s="4" t="s">
        <v>5709</v>
      </c>
      <c r="BB1068" s="2"/>
      <c r="BC1068" s="3"/>
      <c r="BD1068" s="4"/>
    </row>
    <row r="1069" spans="1:56" ht="16.8" customHeight="1">
      <c r="A1069" s="1">
        <v>1068</v>
      </c>
      <c r="B1069" s="1" t="s">
        <v>3175</v>
      </c>
      <c r="C1069" s="1" t="s">
        <v>3176</v>
      </c>
      <c r="D1069" s="1" t="s">
        <v>4133</v>
      </c>
      <c r="E1069" s="1" t="s">
        <v>4133</v>
      </c>
      <c r="F1069" s="1" t="s">
        <v>4134</v>
      </c>
      <c r="G1069" s="1" t="s">
        <v>4135</v>
      </c>
      <c r="H1069" s="1" t="s">
        <v>5043</v>
      </c>
      <c r="I1069" s="18"/>
      <c r="J1069" s="18"/>
      <c r="K1069" s="18"/>
      <c r="L1069" s="18"/>
      <c r="M1069" s="2">
        <v>3100000</v>
      </c>
      <c r="N1069" s="2">
        <v>3100000</v>
      </c>
      <c r="O1069" s="2"/>
      <c r="P1069" s="2" t="str">
        <f t="shared" si="64"/>
        <v/>
      </c>
      <c r="Q1069" s="2"/>
      <c r="R1069" s="2"/>
      <c r="S1069" s="48"/>
      <c r="T1069" s="2">
        <v>0</v>
      </c>
      <c r="U1069" s="2">
        <v>0</v>
      </c>
      <c r="V1069" s="1"/>
      <c r="W1069" s="6"/>
      <c r="X1069" s="1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>
        <f t="shared" si="65"/>
        <v>0</v>
      </c>
      <c r="AX1069" s="3">
        <f t="shared" si="66"/>
        <v>0</v>
      </c>
      <c r="AY1069" s="4">
        <f t="shared" si="67"/>
        <v>0</v>
      </c>
      <c r="BA1069" s="4" t="s">
        <v>5726</v>
      </c>
      <c r="BB1069" s="2"/>
      <c r="BC1069" s="3"/>
      <c r="BD1069" s="4"/>
    </row>
    <row r="1070" spans="1:56" ht="16.8" customHeight="1">
      <c r="A1070" s="1">
        <v>1069</v>
      </c>
      <c r="B1070" s="1" t="s">
        <v>3175</v>
      </c>
      <c r="C1070" s="1" t="s">
        <v>3176</v>
      </c>
      <c r="D1070" s="1" t="s">
        <v>4136</v>
      </c>
      <c r="E1070" s="1" t="s">
        <v>4136</v>
      </c>
      <c r="F1070" s="1" t="s">
        <v>4137</v>
      </c>
      <c r="G1070" s="1" t="s">
        <v>4138</v>
      </c>
      <c r="H1070" s="1" t="s">
        <v>5043</v>
      </c>
      <c r="I1070" s="18"/>
      <c r="J1070" s="18"/>
      <c r="K1070" s="18"/>
      <c r="L1070" s="18"/>
      <c r="M1070" s="2">
        <v>3000000</v>
      </c>
      <c r="N1070" s="2">
        <v>3000000</v>
      </c>
      <c r="O1070" s="2"/>
      <c r="P1070" s="2" t="str">
        <f t="shared" si="64"/>
        <v/>
      </c>
      <c r="Q1070" s="2"/>
      <c r="R1070" s="2"/>
      <c r="S1070" s="48"/>
      <c r="T1070" s="2">
        <v>0</v>
      </c>
      <c r="U1070" s="2">
        <v>0</v>
      </c>
      <c r="V1070" s="1"/>
      <c r="W1070" s="6"/>
      <c r="X1070" s="1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>
        <f t="shared" si="65"/>
        <v>0</v>
      </c>
      <c r="AX1070" s="3">
        <f t="shared" si="66"/>
        <v>0</v>
      </c>
      <c r="AY1070" s="4">
        <f t="shared" si="67"/>
        <v>0</v>
      </c>
      <c r="BA1070" s="4" t="s">
        <v>5726</v>
      </c>
      <c r="BB1070" s="2"/>
      <c r="BC1070" s="3"/>
      <c r="BD1070" s="4"/>
    </row>
    <row r="1071" spans="1:56" s="26" customFormat="1" ht="16.8" customHeight="1">
      <c r="A1071" s="20">
        <v>1070</v>
      </c>
      <c r="B1071" s="20" t="s">
        <v>3175</v>
      </c>
      <c r="C1071" s="20" t="s">
        <v>3176</v>
      </c>
      <c r="D1071" s="20" t="s">
        <v>4139</v>
      </c>
      <c r="E1071" s="20" t="s">
        <v>4139</v>
      </c>
      <c r="F1071" s="20" t="s">
        <v>4140</v>
      </c>
      <c r="G1071" s="20" t="s">
        <v>2573</v>
      </c>
      <c r="H1071" s="20" t="s">
        <v>5375</v>
      </c>
      <c r="I1071" s="21" t="s">
        <v>4783</v>
      </c>
      <c r="J1071" s="21" t="s">
        <v>5018</v>
      </c>
      <c r="K1071" s="21" t="s">
        <v>4742</v>
      </c>
      <c r="L1071" s="21" t="s">
        <v>4734</v>
      </c>
      <c r="M1071" s="22">
        <v>3600000</v>
      </c>
      <c r="N1071" s="22">
        <v>4200000</v>
      </c>
      <c r="O1071" s="22">
        <v>4200000</v>
      </c>
      <c r="P1071" s="22">
        <f t="shared" si="64"/>
        <v>600000</v>
      </c>
      <c r="Q1071" s="2"/>
      <c r="R1071" s="2"/>
      <c r="S1071" s="48"/>
      <c r="T1071" s="22">
        <v>0</v>
      </c>
      <c r="U1071" s="22">
        <v>0</v>
      </c>
      <c r="V1071" s="20" t="s">
        <v>2573</v>
      </c>
      <c r="W1071" s="23" t="s">
        <v>4141</v>
      </c>
      <c r="X1071" s="20" t="s">
        <v>4142</v>
      </c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>
        <v>4200000</v>
      </c>
      <c r="AL1071" s="24">
        <v>4200000</v>
      </c>
      <c r="AM1071" s="24">
        <v>4200000</v>
      </c>
      <c r="AN1071" s="24">
        <v>4200000</v>
      </c>
      <c r="AO1071" s="24">
        <v>4200000</v>
      </c>
      <c r="AP1071" s="24">
        <v>4200000</v>
      </c>
      <c r="AQ1071" s="24">
        <v>4200000</v>
      </c>
      <c r="AR1071" s="24">
        <v>4200000</v>
      </c>
      <c r="AS1071" s="24">
        <v>4200000</v>
      </c>
      <c r="AT1071" s="24">
        <v>4200000</v>
      </c>
      <c r="AU1071" s="24">
        <v>4200000</v>
      </c>
      <c r="AV1071" s="24">
        <v>4200000</v>
      </c>
      <c r="AW1071" s="24">
        <f t="shared" si="65"/>
        <v>0</v>
      </c>
      <c r="AX1071" s="24">
        <f t="shared" si="66"/>
        <v>50400000</v>
      </c>
      <c r="AY1071" s="25">
        <f t="shared" si="67"/>
        <v>12</v>
      </c>
      <c r="AZ1071" s="26" t="s">
        <v>5495</v>
      </c>
      <c r="BA1071" s="4" t="s">
        <v>5726</v>
      </c>
      <c r="BB1071" s="22"/>
      <c r="BC1071" s="3"/>
      <c r="BD1071" s="24"/>
    </row>
    <row r="1072" spans="1:56" ht="16.8" customHeight="1">
      <c r="A1072" s="1">
        <v>1071</v>
      </c>
      <c r="B1072" s="1" t="s">
        <v>3175</v>
      </c>
      <c r="C1072" s="1" t="s">
        <v>3176</v>
      </c>
      <c r="D1072" s="1" t="s">
        <v>4143</v>
      </c>
      <c r="E1072" s="1" t="s">
        <v>4143</v>
      </c>
      <c r="F1072" s="1" t="s">
        <v>4144</v>
      </c>
      <c r="G1072" s="1" t="s">
        <v>4145</v>
      </c>
      <c r="H1072" s="1" t="s">
        <v>4720</v>
      </c>
      <c r="I1072" s="18" t="s">
        <v>5225</v>
      </c>
      <c r="J1072" s="18" t="s">
        <v>5225</v>
      </c>
      <c r="K1072" s="18" t="s">
        <v>4748</v>
      </c>
      <c r="L1072" s="18" t="s">
        <v>4734</v>
      </c>
      <c r="M1072" s="2">
        <v>3000000</v>
      </c>
      <c r="N1072" s="2">
        <v>3000000</v>
      </c>
      <c r="O1072" s="2"/>
      <c r="P1072" s="2" t="str">
        <f t="shared" si="64"/>
        <v/>
      </c>
      <c r="Q1072" s="2"/>
      <c r="R1072" s="2"/>
      <c r="S1072" s="48"/>
      <c r="T1072" s="2">
        <v>30000000</v>
      </c>
      <c r="U1072" s="2">
        <v>6000000</v>
      </c>
      <c r="V1072" s="1" t="s">
        <v>4146</v>
      </c>
      <c r="W1072" s="6" t="s">
        <v>4147</v>
      </c>
      <c r="X1072" s="1" t="s">
        <v>3288</v>
      </c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>
        <v>3000000</v>
      </c>
      <c r="AJ1072" s="3">
        <v>3000000</v>
      </c>
      <c r="AK1072" s="3">
        <v>3000000</v>
      </c>
      <c r="AL1072" s="3">
        <v>3000000</v>
      </c>
      <c r="AM1072" s="3">
        <v>3000000</v>
      </c>
      <c r="AN1072" s="3">
        <v>3000000</v>
      </c>
      <c r="AO1072" s="3">
        <v>3000000</v>
      </c>
      <c r="AP1072" s="3">
        <v>3000000</v>
      </c>
      <c r="AQ1072" s="3">
        <v>3000000</v>
      </c>
      <c r="AR1072" s="3">
        <v>3000000</v>
      </c>
      <c r="AS1072" s="3">
        <v>3000000</v>
      </c>
      <c r="AT1072" s="3">
        <v>3000000</v>
      </c>
      <c r="AU1072" s="3">
        <v>3000000</v>
      </c>
      <c r="AV1072" s="3">
        <v>3000000</v>
      </c>
      <c r="AW1072" s="3">
        <f t="shared" si="65"/>
        <v>6000000</v>
      </c>
      <c r="AX1072" s="3">
        <f t="shared" si="66"/>
        <v>36000000</v>
      </c>
      <c r="AY1072" s="4">
        <f t="shared" si="67"/>
        <v>14</v>
      </c>
      <c r="AZ1072" s="8">
        <v>0</v>
      </c>
      <c r="BA1072" s="4" t="s">
        <v>5709</v>
      </c>
      <c r="BB1072" s="2"/>
      <c r="BC1072" s="3"/>
      <c r="BD1072" s="3"/>
    </row>
    <row r="1073" spans="1:56" ht="16.8" customHeight="1">
      <c r="A1073" s="1">
        <v>1072</v>
      </c>
      <c r="B1073" s="1" t="s">
        <v>3175</v>
      </c>
      <c r="C1073" s="1" t="s">
        <v>3176</v>
      </c>
      <c r="D1073" s="1" t="s">
        <v>4148</v>
      </c>
      <c r="E1073" s="1" t="s">
        <v>4148</v>
      </c>
      <c r="F1073" s="1" t="s">
        <v>4149</v>
      </c>
      <c r="G1073" s="1" t="s">
        <v>3374</v>
      </c>
      <c r="H1073" s="1" t="s">
        <v>5043</v>
      </c>
      <c r="I1073" s="18"/>
      <c r="J1073" s="18"/>
      <c r="K1073" s="18"/>
      <c r="L1073" s="18"/>
      <c r="M1073" s="2">
        <v>4500000</v>
      </c>
      <c r="N1073" s="2">
        <v>4500000</v>
      </c>
      <c r="O1073" s="2"/>
      <c r="P1073" s="2" t="str">
        <f t="shared" si="64"/>
        <v/>
      </c>
      <c r="Q1073" s="2"/>
      <c r="R1073" s="2"/>
      <c r="S1073" s="48"/>
      <c r="T1073" s="2">
        <v>0</v>
      </c>
      <c r="U1073" s="2">
        <v>0</v>
      </c>
      <c r="V1073" s="1"/>
      <c r="W1073" s="6"/>
      <c r="X1073" s="1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>
        <f t="shared" si="65"/>
        <v>0</v>
      </c>
      <c r="AX1073" s="3">
        <f t="shared" si="66"/>
        <v>0</v>
      </c>
      <c r="AY1073" s="4">
        <f t="shared" si="67"/>
        <v>0</v>
      </c>
      <c r="BA1073" s="4" t="s">
        <v>5726</v>
      </c>
      <c r="BB1073" s="2"/>
      <c r="BC1073" s="3"/>
      <c r="BD1073" s="4"/>
    </row>
    <row r="1074" spans="1:56" ht="16.8" customHeight="1">
      <c r="A1074" s="1">
        <v>1073</v>
      </c>
      <c r="B1074" s="1" t="s">
        <v>3175</v>
      </c>
      <c r="C1074" s="1" t="s">
        <v>3176</v>
      </c>
      <c r="D1074" s="1" t="s">
        <v>4150</v>
      </c>
      <c r="E1074" s="1" t="s">
        <v>4150</v>
      </c>
      <c r="F1074" s="1" t="s">
        <v>4151</v>
      </c>
      <c r="G1074" s="1" t="s">
        <v>4152</v>
      </c>
      <c r="H1074" s="1" t="s">
        <v>5043</v>
      </c>
      <c r="I1074" s="18"/>
      <c r="J1074" s="18"/>
      <c r="K1074" s="18"/>
      <c r="L1074" s="18"/>
      <c r="M1074" s="2">
        <v>7100000</v>
      </c>
      <c r="N1074" s="2">
        <v>7100000</v>
      </c>
      <c r="O1074" s="2"/>
      <c r="P1074" s="2" t="str">
        <f t="shared" si="64"/>
        <v/>
      </c>
      <c r="Q1074" s="2"/>
      <c r="R1074" s="2"/>
      <c r="S1074" s="48"/>
      <c r="T1074" s="2">
        <v>0</v>
      </c>
      <c r="U1074" s="2">
        <v>0</v>
      </c>
      <c r="V1074" s="1"/>
      <c r="W1074" s="6"/>
      <c r="X1074" s="1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>
        <f t="shared" si="65"/>
        <v>0</v>
      </c>
      <c r="AX1074" s="3">
        <f t="shared" si="66"/>
        <v>0</v>
      </c>
      <c r="AY1074" s="4">
        <f t="shared" si="67"/>
        <v>0</v>
      </c>
      <c r="BA1074" s="4" t="s">
        <v>5726</v>
      </c>
      <c r="BB1074" s="2"/>
      <c r="BC1074" s="3"/>
      <c r="BD1074" s="4"/>
    </row>
    <row r="1075" spans="1:56" ht="16.8" customHeight="1">
      <c r="A1075" s="1">
        <v>1074</v>
      </c>
      <c r="B1075" s="1" t="s">
        <v>3175</v>
      </c>
      <c r="C1075" s="1" t="s">
        <v>3176</v>
      </c>
      <c r="D1075" s="1" t="s">
        <v>4153</v>
      </c>
      <c r="E1075" s="1" t="s">
        <v>4153</v>
      </c>
      <c r="F1075" s="1" t="s">
        <v>4154</v>
      </c>
      <c r="G1075" s="1" t="s">
        <v>4155</v>
      </c>
      <c r="H1075" s="1" t="s">
        <v>4721</v>
      </c>
      <c r="I1075" s="18" t="s">
        <v>4783</v>
      </c>
      <c r="J1075" s="18" t="s">
        <v>5132</v>
      </c>
      <c r="K1075" s="18" t="s">
        <v>4777</v>
      </c>
      <c r="L1075" s="18" t="s">
        <v>4734</v>
      </c>
      <c r="M1075" s="2">
        <v>3600000</v>
      </c>
      <c r="N1075" s="2">
        <v>3600000</v>
      </c>
      <c r="O1075" s="2"/>
      <c r="P1075" s="2" t="str">
        <f t="shared" si="64"/>
        <v/>
      </c>
      <c r="Q1075" s="2"/>
      <c r="R1075" s="2"/>
      <c r="S1075" s="48"/>
      <c r="T1075" s="2">
        <v>21600000</v>
      </c>
      <c r="U1075" s="2">
        <v>0</v>
      </c>
      <c r="V1075" s="1" t="s">
        <v>4155</v>
      </c>
      <c r="W1075" s="6" t="s">
        <v>4156</v>
      </c>
      <c r="X1075" s="1" t="s">
        <v>4157</v>
      </c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>
        <v>3600000</v>
      </c>
      <c r="AL1075" s="3">
        <v>3600000</v>
      </c>
      <c r="AM1075" s="3">
        <v>3600000</v>
      </c>
      <c r="AN1075" s="3">
        <v>3600000</v>
      </c>
      <c r="AO1075" s="3">
        <v>3600000</v>
      </c>
      <c r="AP1075" s="3">
        <v>3600000</v>
      </c>
      <c r="AQ1075" s="3">
        <v>3600000</v>
      </c>
      <c r="AR1075" s="3">
        <v>3600000</v>
      </c>
      <c r="AS1075" s="3">
        <v>3600000</v>
      </c>
      <c r="AT1075" s="3">
        <v>3600000</v>
      </c>
      <c r="AU1075" s="3">
        <v>3600000</v>
      </c>
      <c r="AV1075" s="3">
        <v>3600000</v>
      </c>
      <c r="AW1075" s="3">
        <f t="shared" si="65"/>
        <v>0</v>
      </c>
      <c r="AX1075" s="3">
        <f t="shared" si="66"/>
        <v>43200000</v>
      </c>
      <c r="AY1075" s="4">
        <f t="shared" si="67"/>
        <v>12</v>
      </c>
      <c r="AZ1075" s="8" t="s">
        <v>5643</v>
      </c>
      <c r="BA1075" s="4" t="s">
        <v>5709</v>
      </c>
      <c r="BB1075" s="2"/>
      <c r="BC1075" s="3"/>
      <c r="BD1075" s="4"/>
    </row>
    <row r="1076" spans="1:56" ht="16.8" customHeight="1">
      <c r="A1076" s="1">
        <v>1075</v>
      </c>
      <c r="B1076" s="1" t="s">
        <v>3175</v>
      </c>
      <c r="C1076" s="1" t="s">
        <v>3176</v>
      </c>
      <c r="D1076" s="1" t="s">
        <v>4158</v>
      </c>
      <c r="E1076" s="1" t="s">
        <v>4158</v>
      </c>
      <c r="F1076" s="1" t="s">
        <v>4159</v>
      </c>
      <c r="G1076" s="1" t="s">
        <v>4160</v>
      </c>
      <c r="H1076" s="1" t="s">
        <v>5376</v>
      </c>
      <c r="I1076" s="18" t="s">
        <v>4783</v>
      </c>
      <c r="J1076" s="18" t="s">
        <v>4783</v>
      </c>
      <c r="K1076" s="18" t="s">
        <v>4785</v>
      </c>
      <c r="L1076" s="18" t="s">
        <v>4734</v>
      </c>
      <c r="M1076" s="2">
        <v>5000000</v>
      </c>
      <c r="N1076" s="2">
        <v>5000000</v>
      </c>
      <c r="O1076" s="2"/>
      <c r="P1076" s="2" t="str">
        <f t="shared" si="64"/>
        <v/>
      </c>
      <c r="Q1076" s="2"/>
      <c r="R1076" s="2"/>
      <c r="S1076" s="48"/>
      <c r="T1076" s="2">
        <v>15000000</v>
      </c>
      <c r="U1076" s="2">
        <v>0</v>
      </c>
      <c r="V1076" s="1" t="s">
        <v>4161</v>
      </c>
      <c r="W1076" s="6" t="s">
        <v>4162</v>
      </c>
      <c r="X1076" s="1" t="s">
        <v>4163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>
        <f t="shared" si="65"/>
        <v>0</v>
      </c>
      <c r="AX1076" s="3">
        <f t="shared" si="66"/>
        <v>0</v>
      </c>
      <c r="AY1076" s="4">
        <f t="shared" si="67"/>
        <v>0</v>
      </c>
      <c r="AZ1076" s="8" t="s">
        <v>5643</v>
      </c>
      <c r="BA1076" s="4" t="s">
        <v>5726</v>
      </c>
      <c r="BB1076" s="2"/>
      <c r="BC1076" s="3"/>
      <c r="BD1076" s="4"/>
    </row>
    <row r="1077" spans="1:56" s="33" customFormat="1" ht="16.8" customHeight="1">
      <c r="A1077" s="29">
        <v>1076</v>
      </c>
      <c r="B1077" s="29" t="s">
        <v>3175</v>
      </c>
      <c r="C1077" s="29" t="s">
        <v>3176</v>
      </c>
      <c r="D1077" s="29" t="s">
        <v>4164</v>
      </c>
      <c r="E1077" s="29" t="s">
        <v>4164</v>
      </c>
      <c r="F1077" s="1" t="s">
        <v>4165</v>
      </c>
      <c r="G1077" s="1" t="s">
        <v>4166</v>
      </c>
      <c r="H1077" s="1" t="s">
        <v>5377</v>
      </c>
      <c r="I1077" s="18" t="s">
        <v>4783</v>
      </c>
      <c r="J1077" s="18" t="s">
        <v>5132</v>
      </c>
      <c r="K1077" s="18" t="s">
        <v>4733</v>
      </c>
      <c r="L1077" s="18" t="s">
        <v>4734</v>
      </c>
      <c r="M1077" s="30">
        <v>3000000</v>
      </c>
      <c r="N1077" s="30">
        <v>3500000</v>
      </c>
      <c r="O1077" s="30">
        <v>3500000</v>
      </c>
      <c r="P1077" s="2">
        <f t="shared" si="64"/>
        <v>500000</v>
      </c>
      <c r="Q1077" s="2"/>
      <c r="R1077" s="2"/>
      <c r="S1077" s="48"/>
      <c r="T1077" s="2">
        <v>18000000</v>
      </c>
      <c r="U1077" s="2">
        <v>0</v>
      </c>
      <c r="V1077" s="1" t="s">
        <v>4166</v>
      </c>
      <c r="W1077" s="6" t="s">
        <v>4167</v>
      </c>
      <c r="X1077" s="1" t="s">
        <v>4168</v>
      </c>
      <c r="Y1077" s="3"/>
      <c r="Z1077" s="3"/>
      <c r="AA1077" s="3"/>
      <c r="AB1077" s="3"/>
      <c r="AC1077" s="3"/>
      <c r="AD1077" s="3"/>
      <c r="AE1077" s="3">
        <v>3000000</v>
      </c>
      <c r="AF1077" s="3">
        <v>3000000</v>
      </c>
      <c r="AG1077" s="3">
        <v>3000000</v>
      </c>
      <c r="AH1077" s="3">
        <v>3000000</v>
      </c>
      <c r="AI1077" s="3">
        <v>3000000</v>
      </c>
      <c r="AJ1077" s="3">
        <v>3000000</v>
      </c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>
        <f t="shared" si="65"/>
        <v>18000000</v>
      </c>
      <c r="AX1077" s="31">
        <f t="shared" si="66"/>
        <v>0</v>
      </c>
      <c r="AY1077" s="32">
        <f t="shared" si="67"/>
        <v>6</v>
      </c>
      <c r="AZ1077" s="33" t="s">
        <v>5644</v>
      </c>
      <c r="BA1077" s="4" t="s">
        <v>5726</v>
      </c>
      <c r="BB1077" s="30"/>
      <c r="BC1077" s="3"/>
      <c r="BD1077" s="32"/>
    </row>
    <row r="1078" spans="1:56" ht="16.8" customHeight="1">
      <c r="A1078" s="1">
        <v>1077</v>
      </c>
      <c r="B1078" s="1" t="s">
        <v>3175</v>
      </c>
      <c r="C1078" s="1" t="s">
        <v>3176</v>
      </c>
      <c r="D1078" s="1" t="s">
        <v>4169</v>
      </c>
      <c r="E1078" s="1" t="s">
        <v>4169</v>
      </c>
      <c r="F1078" s="1" t="s">
        <v>4170</v>
      </c>
      <c r="G1078" s="1" t="s">
        <v>4171</v>
      </c>
      <c r="H1078" s="1" t="s">
        <v>5378</v>
      </c>
      <c r="I1078" s="18" t="s">
        <v>5018</v>
      </c>
      <c r="J1078" s="18" t="s">
        <v>5018</v>
      </c>
      <c r="K1078" s="18" t="s">
        <v>5003</v>
      </c>
      <c r="L1078" s="18" t="s">
        <v>4734</v>
      </c>
      <c r="M1078" s="2">
        <v>2000000</v>
      </c>
      <c r="N1078" s="2">
        <v>2500000</v>
      </c>
      <c r="O1078" s="2">
        <v>2500000</v>
      </c>
      <c r="P1078" s="2">
        <f t="shared" si="64"/>
        <v>500000</v>
      </c>
      <c r="Q1078" s="2"/>
      <c r="R1078" s="2"/>
      <c r="S1078" s="48"/>
      <c r="T1078" s="2">
        <v>12000000</v>
      </c>
      <c r="U1078" s="2">
        <v>0</v>
      </c>
      <c r="V1078" s="1" t="s">
        <v>4172</v>
      </c>
      <c r="W1078" s="6" t="s">
        <v>4173</v>
      </c>
      <c r="X1078" s="1" t="s">
        <v>101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>
        <v>2500000</v>
      </c>
      <c r="AL1078" s="3">
        <v>2500000</v>
      </c>
      <c r="AM1078" s="3">
        <v>2500000</v>
      </c>
      <c r="AN1078" s="3">
        <v>2500000</v>
      </c>
      <c r="AO1078" s="3">
        <v>2500000</v>
      </c>
      <c r="AP1078" s="3">
        <v>2500000</v>
      </c>
      <c r="AQ1078" s="3">
        <v>2500000</v>
      </c>
      <c r="AR1078" s="3">
        <v>2500000</v>
      </c>
      <c r="AS1078" s="3">
        <v>2500000</v>
      </c>
      <c r="AT1078" s="3">
        <v>2500000</v>
      </c>
      <c r="AU1078" s="3">
        <v>2500000</v>
      </c>
      <c r="AV1078" s="3">
        <v>2500000</v>
      </c>
      <c r="AW1078" s="3">
        <f t="shared" si="65"/>
        <v>0</v>
      </c>
      <c r="AX1078" s="3">
        <f t="shared" si="66"/>
        <v>30000000</v>
      </c>
      <c r="AY1078" s="4">
        <f t="shared" si="67"/>
        <v>12</v>
      </c>
      <c r="AZ1078" s="8" t="s">
        <v>5645</v>
      </c>
      <c r="BA1078" s="4" t="s">
        <v>5709</v>
      </c>
      <c r="BB1078" s="2"/>
      <c r="BC1078" s="3"/>
      <c r="BD1078" s="4"/>
    </row>
    <row r="1079" spans="1:56" ht="16.8" customHeight="1">
      <c r="A1079" s="1">
        <v>1078</v>
      </c>
      <c r="B1079" s="1" t="s">
        <v>3175</v>
      </c>
      <c r="C1079" s="1" t="s">
        <v>3176</v>
      </c>
      <c r="D1079" s="1" t="s">
        <v>4174</v>
      </c>
      <c r="E1079" s="1" t="s">
        <v>4174</v>
      </c>
      <c r="F1079" s="1" t="s">
        <v>4175</v>
      </c>
      <c r="G1079" s="1" t="s">
        <v>2494</v>
      </c>
      <c r="H1079" s="1" t="s">
        <v>5379</v>
      </c>
      <c r="I1079" s="18" t="s">
        <v>4783</v>
      </c>
      <c r="J1079" s="18" t="s">
        <v>5018</v>
      </c>
      <c r="K1079" s="18" t="s">
        <v>5003</v>
      </c>
      <c r="L1079" s="18"/>
      <c r="M1079" s="2">
        <v>3100000</v>
      </c>
      <c r="N1079" s="2">
        <v>3500000</v>
      </c>
      <c r="O1079" s="2">
        <v>3500000</v>
      </c>
      <c r="P1079" s="2">
        <f t="shared" si="64"/>
        <v>400000</v>
      </c>
      <c r="Q1079" s="2"/>
      <c r="R1079" s="2"/>
      <c r="S1079" s="48"/>
      <c r="T1079" s="2">
        <v>0</v>
      </c>
      <c r="U1079" s="2">
        <v>0</v>
      </c>
      <c r="V1079" s="1"/>
      <c r="W1079" s="6"/>
      <c r="X1079" s="1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>
        <f t="shared" si="65"/>
        <v>0</v>
      </c>
      <c r="AX1079" s="3">
        <f t="shared" si="66"/>
        <v>0</v>
      </c>
      <c r="AY1079" s="4">
        <f t="shared" si="67"/>
        <v>0</v>
      </c>
      <c r="BA1079" s="4" t="s">
        <v>5726</v>
      </c>
      <c r="BB1079" s="2"/>
      <c r="BC1079" s="3"/>
      <c r="BD1079" s="4"/>
    </row>
    <row r="1080" spans="1:56" ht="16.8" customHeight="1">
      <c r="A1080" s="1">
        <v>1079</v>
      </c>
      <c r="B1080" s="1" t="s">
        <v>3175</v>
      </c>
      <c r="C1080" s="1" t="s">
        <v>3176</v>
      </c>
      <c r="D1080" s="1" t="s">
        <v>4174</v>
      </c>
      <c r="E1080" s="1" t="s">
        <v>4174</v>
      </c>
      <c r="F1080" s="1" t="s">
        <v>4175</v>
      </c>
      <c r="G1080" s="1" t="s">
        <v>2494</v>
      </c>
      <c r="H1080" s="1" t="s">
        <v>5379</v>
      </c>
      <c r="I1080" s="18" t="s">
        <v>4783</v>
      </c>
      <c r="J1080" s="18" t="s">
        <v>5018</v>
      </c>
      <c r="K1080" s="18" t="s">
        <v>5003</v>
      </c>
      <c r="L1080" s="18"/>
      <c r="M1080" s="2">
        <v>3500000</v>
      </c>
      <c r="N1080" s="2">
        <v>3500000</v>
      </c>
      <c r="O1080" s="2">
        <v>3500000</v>
      </c>
      <c r="P1080" s="2" t="str">
        <f t="shared" si="64"/>
        <v/>
      </c>
      <c r="Q1080" s="2"/>
      <c r="R1080" s="2"/>
      <c r="S1080" s="48"/>
      <c r="T1080" s="2">
        <v>0</v>
      </c>
      <c r="U1080" s="2">
        <v>0</v>
      </c>
      <c r="V1080" s="1"/>
      <c r="W1080" s="6"/>
      <c r="X1080" s="1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>
        <f t="shared" si="65"/>
        <v>0</v>
      </c>
      <c r="AX1080" s="3">
        <f t="shared" si="66"/>
        <v>0</v>
      </c>
      <c r="AY1080" s="4">
        <f t="shared" si="67"/>
        <v>0</v>
      </c>
      <c r="BA1080" s="4" t="s">
        <v>5726</v>
      </c>
      <c r="BB1080" s="2"/>
      <c r="BC1080" s="3"/>
      <c r="BD1080" s="4"/>
    </row>
    <row r="1081" spans="1:56" ht="16.8" customHeight="1">
      <c r="A1081" s="1">
        <v>1080</v>
      </c>
      <c r="B1081" s="1" t="s">
        <v>3175</v>
      </c>
      <c r="C1081" s="1" t="s">
        <v>3176</v>
      </c>
      <c r="D1081" s="1" t="s">
        <v>4176</v>
      </c>
      <c r="E1081" s="1" t="s">
        <v>4176</v>
      </c>
      <c r="F1081" s="1" t="s">
        <v>4177</v>
      </c>
      <c r="G1081" s="1" t="s">
        <v>4178</v>
      </c>
      <c r="H1081" s="1" t="s">
        <v>5380</v>
      </c>
      <c r="I1081" s="18" t="s">
        <v>4783</v>
      </c>
      <c r="J1081" s="18" t="s">
        <v>5018</v>
      </c>
      <c r="K1081" s="18" t="s">
        <v>4742</v>
      </c>
      <c r="L1081" s="18" t="s">
        <v>4734</v>
      </c>
      <c r="M1081" s="2">
        <v>3100000</v>
      </c>
      <c r="N1081" s="2">
        <v>3100000</v>
      </c>
      <c r="O1081" s="2"/>
      <c r="P1081" s="2" t="str">
        <f t="shared" si="64"/>
        <v/>
      </c>
      <c r="Q1081" s="2"/>
      <c r="R1081" s="2"/>
      <c r="S1081" s="48"/>
      <c r="T1081" s="2">
        <v>0</v>
      </c>
      <c r="U1081" s="2">
        <v>0</v>
      </c>
      <c r="V1081" s="1" t="s">
        <v>4040</v>
      </c>
      <c r="W1081" s="6" t="s">
        <v>4179</v>
      </c>
      <c r="X1081" s="1" t="s">
        <v>4180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>
        <v>3100000</v>
      </c>
      <c r="AL1081" s="3">
        <v>3100000</v>
      </c>
      <c r="AM1081" s="3">
        <v>3100000</v>
      </c>
      <c r="AN1081" s="3">
        <v>3100000</v>
      </c>
      <c r="AO1081" s="3">
        <v>3100000</v>
      </c>
      <c r="AP1081" s="3">
        <v>3100000</v>
      </c>
      <c r="AQ1081" s="3"/>
      <c r="AR1081" s="3"/>
      <c r="AS1081" s="3"/>
      <c r="AT1081" s="3"/>
      <c r="AU1081" s="3"/>
      <c r="AV1081" s="3"/>
      <c r="AW1081" s="3">
        <f t="shared" si="65"/>
        <v>0</v>
      </c>
      <c r="AX1081" s="3">
        <f t="shared" si="66"/>
        <v>18600000</v>
      </c>
      <c r="AY1081" s="4">
        <f t="shared" si="67"/>
        <v>6</v>
      </c>
      <c r="AZ1081" s="8" t="s">
        <v>5622</v>
      </c>
      <c r="BA1081" s="4" t="s">
        <v>5726</v>
      </c>
      <c r="BB1081" s="2"/>
      <c r="BC1081" s="3"/>
      <c r="BD1081" s="3"/>
    </row>
    <row r="1082" spans="1:56" ht="16.8" customHeight="1">
      <c r="A1082" s="1">
        <v>1081</v>
      </c>
      <c r="B1082" s="1" t="s">
        <v>3175</v>
      </c>
      <c r="C1082" s="1" t="s">
        <v>3176</v>
      </c>
      <c r="D1082" s="1" t="s">
        <v>4181</v>
      </c>
      <c r="E1082" s="1" t="s">
        <v>4181</v>
      </c>
      <c r="F1082" s="1" t="s">
        <v>4182</v>
      </c>
      <c r="G1082" s="1" t="s">
        <v>4183</v>
      </c>
      <c r="H1082" s="1" t="s">
        <v>5381</v>
      </c>
      <c r="I1082" s="18" t="s">
        <v>5310</v>
      </c>
      <c r="J1082" s="18" t="s">
        <v>5018</v>
      </c>
      <c r="K1082" s="18" t="s">
        <v>4748</v>
      </c>
      <c r="L1082" s="18" t="s">
        <v>4734</v>
      </c>
      <c r="M1082" s="2">
        <v>2000000</v>
      </c>
      <c r="N1082" s="2">
        <v>2000000</v>
      </c>
      <c r="O1082" s="2"/>
      <c r="P1082" s="2" t="str">
        <f t="shared" si="64"/>
        <v/>
      </c>
      <c r="Q1082" s="2"/>
      <c r="R1082" s="2"/>
      <c r="S1082" s="48"/>
      <c r="T1082" s="2">
        <v>12000000</v>
      </c>
      <c r="U1082" s="2">
        <v>6000000</v>
      </c>
      <c r="V1082" s="1" t="s">
        <v>4184</v>
      </c>
      <c r="W1082" s="6" t="s">
        <v>4185</v>
      </c>
      <c r="X1082" s="1" t="s">
        <v>3802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>
        <v>2000000</v>
      </c>
      <c r="AL1082" s="3">
        <v>2000000</v>
      </c>
      <c r="AM1082" s="3">
        <v>2000000</v>
      </c>
      <c r="AN1082" s="3">
        <v>2000000</v>
      </c>
      <c r="AO1082" s="3">
        <v>2000000</v>
      </c>
      <c r="AP1082" s="3">
        <v>2000000</v>
      </c>
      <c r="AQ1082" s="3">
        <v>2000000</v>
      </c>
      <c r="AR1082" s="3">
        <v>2000000</v>
      </c>
      <c r="AS1082" s="3">
        <v>2000000</v>
      </c>
      <c r="AT1082" s="3">
        <v>2000000</v>
      </c>
      <c r="AU1082" s="3">
        <v>2000000</v>
      </c>
      <c r="AV1082" s="3">
        <v>2000000</v>
      </c>
      <c r="AW1082" s="3">
        <f t="shared" si="65"/>
        <v>0</v>
      </c>
      <c r="AX1082" s="3">
        <f t="shared" si="66"/>
        <v>24000000</v>
      </c>
      <c r="AY1082" s="4">
        <f t="shared" si="67"/>
        <v>12</v>
      </c>
      <c r="AZ1082" s="8">
        <v>0</v>
      </c>
      <c r="BA1082" s="4" t="s">
        <v>5726</v>
      </c>
      <c r="BB1082" s="2">
        <v>24000000</v>
      </c>
      <c r="BC1082" s="3"/>
      <c r="BD1082" s="3"/>
    </row>
    <row r="1083" spans="1:56" ht="16.8" customHeight="1">
      <c r="A1083" s="1">
        <v>1082</v>
      </c>
      <c r="B1083" s="1" t="s">
        <v>3175</v>
      </c>
      <c r="C1083" s="1" t="s">
        <v>3176</v>
      </c>
      <c r="D1083" s="1" t="s">
        <v>4186</v>
      </c>
      <c r="E1083" s="1" t="s">
        <v>4186</v>
      </c>
      <c r="F1083" s="1" t="s">
        <v>4187</v>
      </c>
      <c r="G1083" s="1" t="s">
        <v>1356</v>
      </c>
      <c r="H1083" s="1" t="s">
        <v>5382</v>
      </c>
      <c r="I1083" s="18" t="s">
        <v>4783</v>
      </c>
      <c r="J1083" s="18" t="s">
        <v>5132</v>
      </c>
      <c r="K1083" s="18" t="s">
        <v>4752</v>
      </c>
      <c r="L1083" s="18" t="s">
        <v>4734</v>
      </c>
      <c r="M1083" s="2">
        <v>3000000</v>
      </c>
      <c r="N1083" s="2">
        <v>3300000</v>
      </c>
      <c r="O1083" s="2"/>
      <c r="P1083" s="2">
        <f t="shared" si="64"/>
        <v>300000</v>
      </c>
      <c r="Q1083" s="2"/>
      <c r="R1083" s="2"/>
      <c r="S1083" s="48"/>
      <c r="T1083" s="2">
        <v>18000000</v>
      </c>
      <c r="U1083" s="2">
        <v>0</v>
      </c>
      <c r="V1083" s="1"/>
      <c r="W1083" s="6"/>
      <c r="X1083" s="1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>
        <v>3300000</v>
      </c>
      <c r="AL1083" s="3">
        <v>3300000</v>
      </c>
      <c r="AM1083" s="3">
        <v>3300000</v>
      </c>
      <c r="AN1083" s="3">
        <v>3300000</v>
      </c>
      <c r="AO1083" s="3">
        <v>3300000</v>
      </c>
      <c r="AP1083" s="3">
        <v>3300000</v>
      </c>
      <c r="AQ1083" s="3">
        <v>3300000</v>
      </c>
      <c r="AR1083" s="3">
        <v>3300000</v>
      </c>
      <c r="AS1083" s="3">
        <v>3300000</v>
      </c>
      <c r="AT1083" s="3">
        <v>3300000</v>
      </c>
      <c r="AU1083" s="3">
        <v>3300000</v>
      </c>
      <c r="AV1083" s="3">
        <v>3300000</v>
      </c>
      <c r="AW1083" s="3">
        <f t="shared" si="65"/>
        <v>0</v>
      </c>
      <c r="AX1083" s="3">
        <f t="shared" si="66"/>
        <v>39600000</v>
      </c>
      <c r="AY1083" s="4">
        <f t="shared" si="67"/>
        <v>12</v>
      </c>
      <c r="AZ1083" s="8" t="s">
        <v>5642</v>
      </c>
      <c r="BA1083" s="4" t="s">
        <v>5709</v>
      </c>
      <c r="BB1083" s="2"/>
      <c r="BC1083" s="3"/>
      <c r="BD1083" s="3"/>
    </row>
    <row r="1084" spans="1:56" ht="16.8" customHeight="1">
      <c r="A1084" s="1">
        <v>1083</v>
      </c>
      <c r="B1084" s="1" t="s">
        <v>3175</v>
      </c>
      <c r="C1084" s="1" t="s">
        <v>3176</v>
      </c>
      <c r="D1084" s="1" t="s">
        <v>4188</v>
      </c>
      <c r="E1084" s="1" t="s">
        <v>4188</v>
      </c>
      <c r="F1084" s="1" t="s">
        <v>4189</v>
      </c>
      <c r="G1084" s="1" t="s">
        <v>4190</v>
      </c>
      <c r="H1084" s="1" t="s">
        <v>4722</v>
      </c>
      <c r="I1084" s="18" t="s">
        <v>4783</v>
      </c>
      <c r="J1084" s="18" t="s">
        <v>5132</v>
      </c>
      <c r="K1084" s="18" t="s">
        <v>4752</v>
      </c>
      <c r="L1084" s="18" t="s">
        <v>4734</v>
      </c>
      <c r="M1084" s="2">
        <v>3000000</v>
      </c>
      <c r="N1084" s="2">
        <v>3300000</v>
      </c>
      <c r="O1084" s="2">
        <v>3300000</v>
      </c>
      <c r="P1084" s="2">
        <f t="shared" si="64"/>
        <v>300000</v>
      </c>
      <c r="Q1084" s="2"/>
      <c r="R1084" s="2"/>
      <c r="S1084" s="48"/>
      <c r="T1084" s="2">
        <v>18000000</v>
      </c>
      <c r="U1084" s="2">
        <v>0</v>
      </c>
      <c r="V1084" s="1" t="s">
        <v>4190</v>
      </c>
      <c r="W1084" s="6" t="s">
        <v>4191</v>
      </c>
      <c r="X1084" s="1" t="s">
        <v>333</v>
      </c>
      <c r="Y1084" s="3"/>
      <c r="Z1084" s="3"/>
      <c r="AA1084" s="3"/>
      <c r="AB1084" s="3"/>
      <c r="AC1084" s="3"/>
      <c r="AD1084" s="3"/>
      <c r="AE1084" s="3">
        <v>3000000</v>
      </c>
      <c r="AF1084" s="3">
        <v>3000000</v>
      </c>
      <c r="AG1084" s="3">
        <v>3000000</v>
      </c>
      <c r="AH1084" s="3">
        <v>3000000</v>
      </c>
      <c r="AI1084" s="3">
        <v>3000000</v>
      </c>
      <c r="AJ1084" s="3">
        <v>3000000</v>
      </c>
      <c r="AK1084" s="3">
        <v>3300000</v>
      </c>
      <c r="AL1084" s="3">
        <v>3300000</v>
      </c>
      <c r="AM1084" s="3">
        <v>3300000</v>
      </c>
      <c r="AN1084" s="3">
        <v>3300000</v>
      </c>
      <c r="AO1084" s="3">
        <v>3300000</v>
      </c>
      <c r="AP1084" s="3">
        <v>3300000</v>
      </c>
      <c r="AQ1084" s="3"/>
      <c r="AR1084" s="3"/>
      <c r="AS1084" s="3"/>
      <c r="AT1084" s="3"/>
      <c r="AU1084" s="3"/>
      <c r="AV1084" s="3"/>
      <c r="AW1084" s="3">
        <f t="shared" si="65"/>
        <v>18000000</v>
      </c>
      <c r="AX1084" s="3">
        <f t="shared" si="66"/>
        <v>19800000</v>
      </c>
      <c r="AY1084" s="4">
        <f t="shared" si="67"/>
        <v>12</v>
      </c>
      <c r="AZ1084" s="8" t="s">
        <v>5606</v>
      </c>
      <c r="BA1084" s="4" t="s">
        <v>5726</v>
      </c>
      <c r="BB1084" s="2"/>
      <c r="BC1084" s="3"/>
      <c r="BD1084" s="3"/>
    </row>
    <row r="1085" spans="1:56" ht="16.8" customHeight="1">
      <c r="A1085" s="1">
        <v>1084</v>
      </c>
      <c r="B1085" s="1" t="s">
        <v>3175</v>
      </c>
      <c r="C1085" s="1" t="s">
        <v>3176</v>
      </c>
      <c r="D1085" s="1" t="s">
        <v>4192</v>
      </c>
      <c r="E1085" s="1" t="s">
        <v>4192</v>
      </c>
      <c r="F1085" s="1" t="s">
        <v>4193</v>
      </c>
      <c r="G1085" s="1" t="s">
        <v>4194</v>
      </c>
      <c r="H1085" s="1" t="s">
        <v>4723</v>
      </c>
      <c r="I1085" s="18" t="s">
        <v>4783</v>
      </c>
      <c r="J1085" s="18" t="s">
        <v>5132</v>
      </c>
      <c r="K1085" s="18" t="s">
        <v>4752</v>
      </c>
      <c r="L1085" s="18" t="s">
        <v>4734</v>
      </c>
      <c r="M1085" s="2">
        <v>3100000</v>
      </c>
      <c r="N1085" s="2">
        <v>3100000</v>
      </c>
      <c r="O1085" s="2"/>
      <c r="P1085" s="2" t="str">
        <f t="shared" si="64"/>
        <v/>
      </c>
      <c r="Q1085" s="2"/>
      <c r="R1085" s="2"/>
      <c r="S1085" s="48"/>
      <c r="T1085" s="2">
        <v>18600000</v>
      </c>
      <c r="U1085" s="2">
        <v>0</v>
      </c>
      <c r="V1085" s="1" t="s">
        <v>4194</v>
      </c>
      <c r="W1085" s="6" t="s">
        <v>4195</v>
      </c>
      <c r="X1085" s="1" t="s">
        <v>3435</v>
      </c>
      <c r="Y1085" s="3"/>
      <c r="Z1085" s="3"/>
      <c r="AA1085" s="3"/>
      <c r="AB1085" s="3"/>
      <c r="AC1085" s="3"/>
      <c r="AD1085" s="3"/>
      <c r="AE1085" s="3">
        <v>3100000</v>
      </c>
      <c r="AF1085" s="3">
        <v>3100000</v>
      </c>
      <c r="AG1085" s="3">
        <v>3100000</v>
      </c>
      <c r="AH1085" s="3">
        <v>3100000</v>
      </c>
      <c r="AI1085" s="3">
        <v>3100000</v>
      </c>
      <c r="AJ1085" s="3">
        <v>3100000</v>
      </c>
      <c r="AK1085" s="3">
        <v>3100000</v>
      </c>
      <c r="AL1085" s="3">
        <v>3100000</v>
      </c>
      <c r="AM1085" s="3">
        <v>3100000</v>
      </c>
      <c r="AN1085" s="3">
        <v>3100000</v>
      </c>
      <c r="AO1085" s="3">
        <v>3100000</v>
      </c>
      <c r="AP1085" s="3">
        <v>3100000</v>
      </c>
      <c r="AQ1085" s="3">
        <v>3100000</v>
      </c>
      <c r="AR1085" s="3">
        <v>3100000</v>
      </c>
      <c r="AS1085" s="3">
        <v>3100000</v>
      </c>
      <c r="AT1085" s="3">
        <v>3100000</v>
      </c>
      <c r="AU1085" s="3">
        <v>3100000</v>
      </c>
      <c r="AV1085" s="3">
        <v>3100000</v>
      </c>
      <c r="AW1085" s="3">
        <f t="shared" si="65"/>
        <v>18600000</v>
      </c>
      <c r="AX1085" s="3">
        <f t="shared" si="66"/>
        <v>37200000</v>
      </c>
      <c r="AY1085" s="4">
        <f t="shared" si="67"/>
        <v>18</v>
      </c>
      <c r="AZ1085" s="8" t="s">
        <v>5646</v>
      </c>
      <c r="BA1085" s="4" t="s">
        <v>5709</v>
      </c>
      <c r="BB1085" s="2"/>
      <c r="BC1085" s="3"/>
      <c r="BD1085" s="3"/>
    </row>
    <row r="1086" spans="1:56" ht="16.8" customHeight="1">
      <c r="A1086" s="1">
        <v>1085</v>
      </c>
      <c r="B1086" s="1" t="s">
        <v>3175</v>
      </c>
      <c r="C1086" s="1" t="s">
        <v>3176</v>
      </c>
      <c r="D1086" s="1" t="s">
        <v>4196</v>
      </c>
      <c r="E1086" s="1" t="s">
        <v>4196</v>
      </c>
      <c r="F1086" s="1" t="s">
        <v>4197</v>
      </c>
      <c r="G1086" s="1" t="s">
        <v>4198</v>
      </c>
      <c r="H1086" s="1" t="s">
        <v>5043</v>
      </c>
      <c r="I1086" s="18"/>
      <c r="J1086" s="18"/>
      <c r="K1086" s="18"/>
      <c r="L1086" s="18"/>
      <c r="M1086" s="2">
        <v>5000000</v>
      </c>
      <c r="N1086" s="2">
        <v>5000000</v>
      </c>
      <c r="O1086" s="2"/>
      <c r="P1086" s="2" t="str">
        <f t="shared" si="64"/>
        <v/>
      </c>
      <c r="Q1086" s="2"/>
      <c r="R1086" s="2"/>
      <c r="S1086" s="48"/>
      <c r="T1086" s="2">
        <v>0</v>
      </c>
      <c r="U1086" s="2">
        <v>0</v>
      </c>
      <c r="V1086" s="1"/>
      <c r="W1086" s="6"/>
      <c r="X1086" s="1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>
        <f t="shared" si="65"/>
        <v>0</v>
      </c>
      <c r="AX1086" s="3">
        <f t="shared" si="66"/>
        <v>0</v>
      </c>
      <c r="AY1086" s="4">
        <f t="shared" si="67"/>
        <v>0</v>
      </c>
      <c r="BA1086" s="4" t="s">
        <v>5726</v>
      </c>
      <c r="BB1086" s="2"/>
      <c r="BC1086" s="3"/>
      <c r="BD1086" s="4"/>
    </row>
    <row r="1087" spans="1:56" ht="16.8" customHeight="1">
      <c r="A1087" s="1">
        <v>1086</v>
      </c>
      <c r="B1087" s="1" t="s">
        <v>3175</v>
      </c>
      <c r="C1087" s="1" t="s">
        <v>3176</v>
      </c>
      <c r="D1087" s="1" t="s">
        <v>4199</v>
      </c>
      <c r="E1087" s="1" t="s">
        <v>4199</v>
      </c>
      <c r="F1087" s="1" t="s">
        <v>4200</v>
      </c>
      <c r="G1087" s="1" t="s">
        <v>4201</v>
      </c>
      <c r="H1087" s="1" t="s">
        <v>4724</v>
      </c>
      <c r="I1087" s="18" t="s">
        <v>4783</v>
      </c>
      <c r="J1087" s="18" t="s">
        <v>5018</v>
      </c>
      <c r="K1087" s="18" t="s">
        <v>5383</v>
      </c>
      <c r="L1087" s="18" t="s">
        <v>4734</v>
      </c>
      <c r="M1087" s="2">
        <v>4400000</v>
      </c>
      <c r="N1087" s="2">
        <v>4400000</v>
      </c>
      <c r="O1087" s="2"/>
      <c r="P1087" s="2" t="str">
        <f t="shared" si="64"/>
        <v/>
      </c>
      <c r="Q1087" s="2"/>
      <c r="R1087" s="2"/>
      <c r="S1087" s="48"/>
      <c r="T1087" s="2">
        <v>26400000</v>
      </c>
      <c r="U1087" s="2">
        <v>0</v>
      </c>
      <c r="V1087" s="1" t="s">
        <v>4202</v>
      </c>
      <c r="W1087" s="6" t="s">
        <v>4203</v>
      </c>
      <c r="X1087" s="1" t="s">
        <v>3435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>
        <f t="shared" si="65"/>
        <v>0</v>
      </c>
      <c r="AX1087" s="3">
        <f t="shared" si="66"/>
        <v>0</v>
      </c>
      <c r="AY1087" s="4">
        <f t="shared" si="67"/>
        <v>0</v>
      </c>
      <c r="AZ1087" s="8" t="s">
        <v>5642</v>
      </c>
      <c r="BA1087" s="4" t="s">
        <v>5726</v>
      </c>
      <c r="BB1087" s="2"/>
      <c r="BC1087" s="3"/>
      <c r="BD1087" s="4"/>
    </row>
    <row r="1088" spans="1:56" ht="16.8" customHeight="1">
      <c r="A1088" s="1">
        <v>1087</v>
      </c>
      <c r="B1088" s="1" t="s">
        <v>3175</v>
      </c>
      <c r="C1088" s="1" t="s">
        <v>3176</v>
      </c>
      <c r="D1088" s="1" t="s">
        <v>4204</v>
      </c>
      <c r="E1088" s="1" t="s">
        <v>4204</v>
      </c>
      <c r="F1088" s="1" t="s">
        <v>4205</v>
      </c>
      <c r="G1088" s="1" t="s">
        <v>4206</v>
      </c>
      <c r="H1088" s="1" t="s">
        <v>5384</v>
      </c>
      <c r="I1088" s="18" t="s">
        <v>4783</v>
      </c>
      <c r="J1088" s="18" t="s">
        <v>5132</v>
      </c>
      <c r="K1088" s="18" t="s">
        <v>4733</v>
      </c>
      <c r="L1088" s="18" t="s">
        <v>4734</v>
      </c>
      <c r="M1088" s="2">
        <v>2000000</v>
      </c>
      <c r="N1088" s="2">
        <v>2000000</v>
      </c>
      <c r="O1088" s="2"/>
      <c r="P1088" s="2" t="str">
        <f t="shared" si="64"/>
        <v/>
      </c>
      <c r="Q1088" s="2"/>
      <c r="R1088" s="2"/>
      <c r="S1088" s="48"/>
      <c r="T1088" s="2">
        <v>12000000</v>
      </c>
      <c r="U1088" s="2">
        <v>0</v>
      </c>
      <c r="V1088" s="1" t="s">
        <v>4206</v>
      </c>
      <c r="W1088" s="6" t="s">
        <v>4207</v>
      </c>
      <c r="X1088" s="1" t="s">
        <v>333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>
        <v>2000000</v>
      </c>
      <c r="AL1088" s="3">
        <v>2000000</v>
      </c>
      <c r="AM1088" s="3">
        <v>2000000</v>
      </c>
      <c r="AN1088" s="3">
        <v>2000000</v>
      </c>
      <c r="AO1088" s="3">
        <v>2000000</v>
      </c>
      <c r="AP1088" s="3">
        <v>2000000</v>
      </c>
      <c r="AQ1088" s="3"/>
      <c r="AR1088" s="3"/>
      <c r="AS1088" s="3"/>
      <c r="AT1088" s="3"/>
      <c r="AU1088" s="3"/>
      <c r="AV1088" s="3"/>
      <c r="AW1088" s="3">
        <f t="shared" si="65"/>
        <v>0</v>
      </c>
      <c r="AX1088" s="3">
        <f t="shared" si="66"/>
        <v>12000000</v>
      </c>
      <c r="AY1088" s="4">
        <f t="shared" si="67"/>
        <v>6</v>
      </c>
      <c r="AZ1088" s="8">
        <v>0</v>
      </c>
      <c r="BA1088" s="4" t="s">
        <v>5726</v>
      </c>
      <c r="BB1088" s="2"/>
      <c r="BC1088" s="3"/>
      <c r="BD1088" s="3"/>
    </row>
    <row r="1089" spans="1:56" ht="16.8" customHeight="1">
      <c r="A1089" s="1">
        <v>1088</v>
      </c>
      <c r="B1089" s="1" t="s">
        <v>3175</v>
      </c>
      <c r="C1089" s="1" t="s">
        <v>3176</v>
      </c>
      <c r="D1089" s="1" t="s">
        <v>4208</v>
      </c>
      <c r="E1089" s="1" t="s">
        <v>4208</v>
      </c>
      <c r="F1089" s="1" t="s">
        <v>4209</v>
      </c>
      <c r="G1089" s="1" t="s">
        <v>3775</v>
      </c>
      <c r="H1089" s="1" t="s">
        <v>5385</v>
      </c>
      <c r="I1089" s="18" t="s">
        <v>4783</v>
      </c>
      <c r="J1089" s="18" t="s">
        <v>5018</v>
      </c>
      <c r="K1089" s="18" t="s">
        <v>4748</v>
      </c>
      <c r="L1089" s="18" t="s">
        <v>4734</v>
      </c>
      <c r="M1089" s="2">
        <v>2000000</v>
      </c>
      <c r="N1089" s="2">
        <v>2000000</v>
      </c>
      <c r="O1089" s="2"/>
      <c r="P1089" s="2" t="str">
        <f t="shared" si="64"/>
        <v/>
      </c>
      <c r="Q1089" s="2"/>
      <c r="R1089" s="2"/>
      <c r="S1089" s="48"/>
      <c r="T1089" s="2">
        <v>0</v>
      </c>
      <c r="U1089" s="2">
        <v>0</v>
      </c>
      <c r="V1089" s="1" t="s">
        <v>3775</v>
      </c>
      <c r="W1089" s="6" t="s">
        <v>4210</v>
      </c>
      <c r="X1089" s="1" t="s">
        <v>4091</v>
      </c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>
        <v>2000000</v>
      </c>
      <c r="AL1089" s="3">
        <v>2000000</v>
      </c>
      <c r="AM1089" s="3">
        <v>2000000</v>
      </c>
      <c r="AN1089" s="3">
        <v>2000000</v>
      </c>
      <c r="AO1089" s="3">
        <v>2000000</v>
      </c>
      <c r="AP1089" s="3">
        <v>2000000</v>
      </c>
      <c r="AQ1089" s="3">
        <v>2000000</v>
      </c>
      <c r="AR1089" s="3">
        <v>2000000</v>
      </c>
      <c r="AS1089" s="3">
        <v>2000000</v>
      </c>
      <c r="AT1089" s="3">
        <v>2000000</v>
      </c>
      <c r="AU1089" s="3">
        <v>2000000</v>
      </c>
      <c r="AV1089" s="3">
        <v>2000000</v>
      </c>
      <c r="AW1089" s="3">
        <f t="shared" si="65"/>
        <v>0</v>
      </c>
      <c r="AX1089" s="3">
        <f t="shared" si="66"/>
        <v>24000000</v>
      </c>
      <c r="AY1089" s="4">
        <f t="shared" si="67"/>
        <v>12</v>
      </c>
      <c r="AZ1089" s="8" t="s">
        <v>5647</v>
      </c>
      <c r="BA1089" s="4" t="s">
        <v>5709</v>
      </c>
      <c r="BB1089" s="2"/>
      <c r="BC1089" s="3"/>
      <c r="BD1089" s="4"/>
    </row>
    <row r="1090" spans="1:56" ht="16.8" customHeight="1">
      <c r="A1090" s="1">
        <v>1089</v>
      </c>
      <c r="B1090" s="1" t="s">
        <v>3175</v>
      </c>
      <c r="C1090" s="1" t="s">
        <v>3176</v>
      </c>
      <c r="D1090" s="1" t="s">
        <v>4211</v>
      </c>
      <c r="E1090" s="1" t="s">
        <v>4211</v>
      </c>
      <c r="F1090" s="1" t="s">
        <v>4212</v>
      </c>
      <c r="G1090" s="1" t="s">
        <v>4213</v>
      </c>
      <c r="H1090" s="1" t="s">
        <v>4725</v>
      </c>
      <c r="I1090" s="18" t="s">
        <v>4783</v>
      </c>
      <c r="J1090" s="18" t="s">
        <v>5132</v>
      </c>
      <c r="K1090" s="18" t="s">
        <v>4795</v>
      </c>
      <c r="L1090" s="18" t="s">
        <v>4734</v>
      </c>
      <c r="M1090" s="2">
        <v>3100000</v>
      </c>
      <c r="N1090" s="2">
        <v>3100000</v>
      </c>
      <c r="O1090" s="2"/>
      <c r="P1090" s="2" t="str">
        <f t="shared" ref="P1090:P1153" si="68">IF(OR(M1090="",N1090="",M1090=N1090),"",N1090-M1090)</f>
        <v/>
      </c>
      <c r="Q1090" s="2"/>
      <c r="R1090" s="2"/>
      <c r="S1090" s="48"/>
      <c r="T1090" s="2">
        <v>18600000</v>
      </c>
      <c r="U1090" s="2">
        <v>0</v>
      </c>
      <c r="V1090" s="1" t="s">
        <v>2188</v>
      </c>
      <c r="W1090" s="6" t="s">
        <v>4214</v>
      </c>
      <c r="X1090" s="1" t="s">
        <v>3346</v>
      </c>
      <c r="Y1090" s="3"/>
      <c r="Z1090" s="3"/>
      <c r="AA1090" s="3"/>
      <c r="AB1090" s="3"/>
      <c r="AC1090" s="3"/>
      <c r="AD1090" s="3"/>
      <c r="AE1090" s="3">
        <v>3100000</v>
      </c>
      <c r="AF1090" s="3">
        <v>3100000</v>
      </c>
      <c r="AG1090" s="3">
        <v>3100000</v>
      </c>
      <c r="AH1090" s="3">
        <v>3100000</v>
      </c>
      <c r="AI1090" s="3">
        <v>3100000</v>
      </c>
      <c r="AJ1090" s="3">
        <v>3100000</v>
      </c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>
        <f t="shared" ref="AW1090:AW1153" si="69">SUM(Y1090:AJ1090)</f>
        <v>18600000</v>
      </c>
      <c r="AX1090" s="3">
        <f t="shared" ref="AX1090:AX1153" si="70">SUM(AK1090:AV1090)</f>
        <v>0</v>
      </c>
      <c r="AY1090" s="4">
        <f t="shared" ref="AY1090:AY1153" si="71">COUNT(Y1090:AV1090)</f>
        <v>6</v>
      </c>
      <c r="AZ1090" s="8" t="s">
        <v>5648</v>
      </c>
      <c r="BA1090" s="4" t="s">
        <v>5726</v>
      </c>
      <c r="BB1090" s="2"/>
      <c r="BC1090" s="3"/>
      <c r="BD1090" s="4"/>
    </row>
    <row r="1091" spans="1:56" ht="16.8" customHeight="1">
      <c r="A1091" s="1">
        <v>1090</v>
      </c>
      <c r="B1091" s="1" t="s">
        <v>3175</v>
      </c>
      <c r="C1091" s="1" t="s">
        <v>3176</v>
      </c>
      <c r="D1091" s="1" t="s">
        <v>4215</v>
      </c>
      <c r="E1091" s="1" t="s">
        <v>4215</v>
      </c>
      <c r="F1091" s="1" t="s">
        <v>4216</v>
      </c>
      <c r="G1091" s="1" t="s">
        <v>4217</v>
      </c>
      <c r="H1091" s="1" t="s">
        <v>5043</v>
      </c>
      <c r="I1091" s="18"/>
      <c r="J1091" s="18"/>
      <c r="K1091" s="18"/>
      <c r="L1091" s="18"/>
      <c r="M1091" s="2">
        <v>5000000</v>
      </c>
      <c r="N1091" s="2">
        <v>5000000</v>
      </c>
      <c r="O1091" s="2"/>
      <c r="P1091" s="2" t="str">
        <f t="shared" si="68"/>
        <v/>
      </c>
      <c r="Q1091" s="2"/>
      <c r="R1091" s="2"/>
      <c r="S1091" s="48"/>
      <c r="T1091" s="2">
        <v>0</v>
      </c>
      <c r="U1091" s="2">
        <v>30000000</v>
      </c>
      <c r="V1091" s="1"/>
      <c r="W1091" s="6"/>
      <c r="X1091" s="1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>
        <f t="shared" si="69"/>
        <v>0</v>
      </c>
      <c r="AX1091" s="3">
        <f t="shared" si="70"/>
        <v>0</v>
      </c>
      <c r="AY1091" s="4">
        <f t="shared" si="71"/>
        <v>0</v>
      </c>
      <c r="BA1091" s="4" t="s">
        <v>5726</v>
      </c>
      <c r="BB1091" s="2"/>
      <c r="BC1091" s="3"/>
      <c r="BD1091" s="4"/>
    </row>
    <row r="1092" spans="1:56" ht="16.8" customHeight="1">
      <c r="A1092" s="1">
        <v>1091</v>
      </c>
      <c r="B1092" s="1" t="s">
        <v>3175</v>
      </c>
      <c r="C1092" s="1" t="s">
        <v>3176</v>
      </c>
      <c r="D1092" s="1" t="s">
        <v>4218</v>
      </c>
      <c r="E1092" s="1" t="s">
        <v>4218</v>
      </c>
      <c r="F1092" s="1" t="s">
        <v>4219</v>
      </c>
      <c r="G1092" s="1" t="s">
        <v>4220</v>
      </c>
      <c r="H1092" s="1" t="s">
        <v>5386</v>
      </c>
      <c r="I1092" s="18" t="s">
        <v>4783</v>
      </c>
      <c r="J1092" s="18" t="s">
        <v>4783</v>
      </c>
      <c r="K1092" s="18" t="s">
        <v>4785</v>
      </c>
      <c r="L1092" s="18" t="s">
        <v>4734</v>
      </c>
      <c r="M1092" s="2">
        <v>3690000</v>
      </c>
      <c r="N1092" s="2">
        <v>4000000</v>
      </c>
      <c r="O1092" s="2">
        <v>4000000</v>
      </c>
      <c r="P1092" s="2">
        <f t="shared" si="68"/>
        <v>310000</v>
      </c>
      <c r="Q1092" s="2"/>
      <c r="R1092" s="2"/>
      <c r="S1092" s="48"/>
      <c r="T1092" s="2">
        <v>0</v>
      </c>
      <c r="U1092" s="2">
        <v>0</v>
      </c>
      <c r="V1092" s="1" t="s">
        <v>4220</v>
      </c>
      <c r="W1092" s="6" t="s">
        <v>4221</v>
      </c>
      <c r="X1092" s="1" t="s">
        <v>3629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>
        <v>4000000</v>
      </c>
      <c r="AL1092" s="3">
        <v>4000000</v>
      </c>
      <c r="AM1092" s="3">
        <v>4000000</v>
      </c>
      <c r="AN1092" s="3">
        <v>4000000</v>
      </c>
      <c r="AO1092" s="3">
        <v>4000000</v>
      </c>
      <c r="AP1092" s="3">
        <v>4000000</v>
      </c>
      <c r="AQ1092" s="3">
        <v>4000000</v>
      </c>
      <c r="AR1092" s="3">
        <v>4000000</v>
      </c>
      <c r="AS1092" s="3">
        <v>4000000</v>
      </c>
      <c r="AT1092" s="3">
        <v>4000000</v>
      </c>
      <c r="AU1092" s="3">
        <v>4000000</v>
      </c>
      <c r="AV1092" s="3">
        <v>4000000</v>
      </c>
      <c r="AW1092" s="3">
        <f t="shared" si="69"/>
        <v>0</v>
      </c>
      <c r="AX1092" s="3">
        <f t="shared" si="70"/>
        <v>48000000</v>
      </c>
      <c r="AY1092" s="4">
        <f t="shared" si="71"/>
        <v>12</v>
      </c>
      <c r="AZ1092" s="8" t="s">
        <v>5495</v>
      </c>
      <c r="BA1092" s="4" t="s">
        <v>5726</v>
      </c>
      <c r="BB1092" s="2"/>
      <c r="BC1092" s="3"/>
      <c r="BD1092" s="3"/>
    </row>
    <row r="1093" spans="1:56" ht="16.8" customHeight="1">
      <c r="A1093" s="1">
        <v>1092</v>
      </c>
      <c r="B1093" s="1" t="s">
        <v>3175</v>
      </c>
      <c r="C1093" s="1" t="s">
        <v>3176</v>
      </c>
      <c r="D1093" s="1" t="s">
        <v>4222</v>
      </c>
      <c r="E1093" s="1" t="s">
        <v>4222</v>
      </c>
      <c r="F1093" s="1" t="s">
        <v>4223</v>
      </c>
      <c r="G1093" s="1" t="s">
        <v>4224</v>
      </c>
      <c r="H1093" s="1" t="s">
        <v>4726</v>
      </c>
      <c r="I1093" s="18" t="s">
        <v>4783</v>
      </c>
      <c r="J1093" s="18" t="s">
        <v>5132</v>
      </c>
      <c r="K1093" s="18" t="s">
        <v>4884</v>
      </c>
      <c r="L1093" s="18" t="s">
        <v>4734</v>
      </c>
      <c r="M1093" s="2">
        <v>2100000</v>
      </c>
      <c r="N1093" s="2">
        <v>2100000</v>
      </c>
      <c r="O1093" s="2"/>
      <c r="P1093" s="2" t="str">
        <f t="shared" si="68"/>
        <v/>
      </c>
      <c r="Q1093" s="2"/>
      <c r="R1093" s="2"/>
      <c r="S1093" s="48"/>
      <c r="T1093" s="2">
        <v>12600000</v>
      </c>
      <c r="U1093" s="2">
        <v>0</v>
      </c>
      <c r="V1093" s="1" t="s">
        <v>4224</v>
      </c>
      <c r="W1093" s="6" t="s">
        <v>4225</v>
      </c>
      <c r="X1093" s="1" t="s">
        <v>3288</v>
      </c>
      <c r="Y1093" s="3"/>
      <c r="Z1093" s="3"/>
      <c r="AA1093" s="3"/>
      <c r="AB1093" s="3"/>
      <c r="AC1093" s="3"/>
      <c r="AD1093" s="3"/>
      <c r="AE1093" s="3">
        <v>2100000</v>
      </c>
      <c r="AF1093" s="3">
        <v>2100000</v>
      </c>
      <c r="AG1093" s="3">
        <v>2100000</v>
      </c>
      <c r="AH1093" s="3">
        <v>2100000</v>
      </c>
      <c r="AI1093" s="3">
        <v>2100000</v>
      </c>
      <c r="AJ1093" s="3">
        <v>2100000</v>
      </c>
      <c r="AK1093" s="3">
        <v>2100000</v>
      </c>
      <c r="AL1093" s="3">
        <v>2100000</v>
      </c>
      <c r="AM1093" s="3">
        <v>2100000</v>
      </c>
      <c r="AN1093" s="3">
        <v>2100000</v>
      </c>
      <c r="AO1093" s="3">
        <v>2100000</v>
      </c>
      <c r="AP1093" s="3"/>
      <c r="AQ1093" s="3"/>
      <c r="AR1093" s="3"/>
      <c r="AS1093" s="3"/>
      <c r="AT1093" s="3"/>
      <c r="AU1093" s="3"/>
      <c r="AV1093" s="3"/>
      <c r="AW1093" s="3">
        <f t="shared" si="69"/>
        <v>12600000</v>
      </c>
      <c r="AX1093" s="3">
        <f t="shared" si="70"/>
        <v>10500000</v>
      </c>
      <c r="AY1093" s="4">
        <f t="shared" si="71"/>
        <v>11</v>
      </c>
      <c r="AZ1093" s="8" t="s">
        <v>5649</v>
      </c>
      <c r="BA1093" s="4" t="s">
        <v>5711</v>
      </c>
      <c r="BB1093" s="2">
        <v>12600000</v>
      </c>
      <c r="BC1093" s="3"/>
      <c r="BD1093" s="3"/>
    </row>
    <row r="1094" spans="1:56" ht="16.8" customHeight="1">
      <c r="A1094" s="1">
        <v>1093</v>
      </c>
      <c r="B1094" s="1" t="s">
        <v>3175</v>
      </c>
      <c r="C1094" s="1" t="s">
        <v>3176</v>
      </c>
      <c r="D1094" s="1" t="s">
        <v>4226</v>
      </c>
      <c r="E1094" s="1" t="s">
        <v>4226</v>
      </c>
      <c r="F1094" s="1" t="s">
        <v>4227</v>
      </c>
      <c r="G1094" s="1" t="s">
        <v>4228</v>
      </c>
      <c r="H1094" s="1" t="s">
        <v>5387</v>
      </c>
      <c r="I1094" s="18" t="s">
        <v>4783</v>
      </c>
      <c r="J1094" s="18" t="s">
        <v>4783</v>
      </c>
      <c r="K1094" s="18" t="s">
        <v>4770</v>
      </c>
      <c r="L1094" s="18" t="s">
        <v>4734</v>
      </c>
      <c r="M1094" s="2">
        <v>4500000</v>
      </c>
      <c r="N1094" s="2">
        <v>4500000</v>
      </c>
      <c r="O1094" s="2"/>
      <c r="P1094" s="2" t="str">
        <f t="shared" si="68"/>
        <v/>
      </c>
      <c r="Q1094" s="2"/>
      <c r="R1094" s="2"/>
      <c r="S1094" s="48"/>
      <c r="T1094" s="2">
        <v>54000000</v>
      </c>
      <c r="U1094" s="2">
        <v>0</v>
      </c>
      <c r="V1094" s="1"/>
      <c r="W1094" s="6"/>
      <c r="X1094" s="1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>
        <f t="shared" si="69"/>
        <v>0</v>
      </c>
      <c r="AX1094" s="3">
        <f t="shared" si="70"/>
        <v>0</v>
      </c>
      <c r="AY1094" s="4">
        <f t="shared" si="71"/>
        <v>0</v>
      </c>
      <c r="AZ1094" s="8">
        <v>0</v>
      </c>
      <c r="BA1094" s="4" t="s">
        <v>5726</v>
      </c>
      <c r="BB1094" s="2"/>
      <c r="BC1094" s="3"/>
      <c r="BD1094" s="4"/>
    </row>
    <row r="1095" spans="1:56" ht="16.8" customHeight="1">
      <c r="A1095" s="1">
        <v>1094</v>
      </c>
      <c r="B1095" s="1" t="s">
        <v>3175</v>
      </c>
      <c r="C1095" s="1" t="s">
        <v>3654</v>
      </c>
      <c r="D1095" s="1" t="s">
        <v>4229</v>
      </c>
      <c r="E1095" s="1" t="s">
        <v>4229</v>
      </c>
      <c r="F1095" s="1" t="s">
        <v>4230</v>
      </c>
      <c r="G1095" s="1" t="s">
        <v>4231</v>
      </c>
      <c r="H1095" s="1" t="s">
        <v>5388</v>
      </c>
      <c r="I1095" s="18" t="s">
        <v>4783</v>
      </c>
      <c r="J1095" s="18" t="s">
        <v>4783</v>
      </c>
      <c r="K1095" s="18" t="s">
        <v>4752</v>
      </c>
      <c r="L1095" s="18" t="s">
        <v>4734</v>
      </c>
      <c r="M1095" s="2">
        <v>3000000</v>
      </c>
      <c r="N1095" s="2">
        <v>3000000</v>
      </c>
      <c r="O1095" s="2"/>
      <c r="P1095" s="2" t="str">
        <f t="shared" si="68"/>
        <v/>
      </c>
      <c r="Q1095" s="2"/>
      <c r="R1095" s="2"/>
      <c r="S1095" s="48"/>
      <c r="T1095" s="2">
        <v>0</v>
      </c>
      <c r="U1095" s="2">
        <v>0</v>
      </c>
      <c r="V1095" s="1"/>
      <c r="W1095" s="6"/>
      <c r="X1095" s="1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>
        <f t="shared" si="69"/>
        <v>0</v>
      </c>
      <c r="AX1095" s="3">
        <f t="shared" si="70"/>
        <v>0</v>
      </c>
      <c r="AY1095" s="4">
        <f t="shared" si="71"/>
        <v>0</v>
      </c>
      <c r="AZ1095" s="8" t="s">
        <v>5553</v>
      </c>
      <c r="BA1095" s="4" t="s">
        <v>5726</v>
      </c>
      <c r="BB1095" s="2"/>
      <c r="BC1095" s="3"/>
      <c r="BD1095" s="4"/>
    </row>
    <row r="1096" spans="1:56" ht="16.8" customHeight="1">
      <c r="A1096" s="1">
        <v>1095</v>
      </c>
      <c r="B1096" s="1" t="s">
        <v>3175</v>
      </c>
      <c r="C1096" s="1" t="s">
        <v>3176</v>
      </c>
      <c r="D1096" s="1" t="s">
        <v>4232</v>
      </c>
      <c r="E1096" s="1" t="s">
        <v>4232</v>
      </c>
      <c r="F1096" s="1" t="s">
        <v>4233</v>
      </c>
      <c r="G1096" s="1" t="s">
        <v>4234</v>
      </c>
      <c r="H1096" s="1" t="s">
        <v>5389</v>
      </c>
      <c r="I1096" s="18" t="s">
        <v>4783</v>
      </c>
      <c r="J1096" s="18" t="s">
        <v>4783</v>
      </c>
      <c r="K1096" s="18" t="s">
        <v>4742</v>
      </c>
      <c r="L1096" s="18" t="s">
        <v>4734</v>
      </c>
      <c r="M1096" s="2">
        <v>6000000</v>
      </c>
      <c r="N1096" s="2">
        <v>6000000</v>
      </c>
      <c r="O1096" s="2"/>
      <c r="P1096" s="2" t="str">
        <f t="shared" si="68"/>
        <v/>
      </c>
      <c r="Q1096" s="2"/>
      <c r="R1096" s="2"/>
      <c r="S1096" s="48"/>
      <c r="T1096" s="2">
        <v>0</v>
      </c>
      <c r="U1096" s="2">
        <v>0</v>
      </c>
      <c r="V1096" s="1"/>
      <c r="W1096" s="6"/>
      <c r="X1096" s="1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>
        <v>6000000</v>
      </c>
      <c r="AL1096" s="3">
        <v>6000000</v>
      </c>
      <c r="AM1096" s="3">
        <v>6000000</v>
      </c>
      <c r="AN1096" s="3">
        <v>6000000</v>
      </c>
      <c r="AO1096" s="3">
        <v>6000000</v>
      </c>
      <c r="AP1096" s="3">
        <v>6000000</v>
      </c>
      <c r="AQ1096" s="3">
        <v>6000000</v>
      </c>
      <c r="AR1096" s="3">
        <v>6000000</v>
      </c>
      <c r="AS1096" s="3">
        <v>6000000</v>
      </c>
      <c r="AT1096" s="3">
        <v>6000000</v>
      </c>
      <c r="AU1096" s="3">
        <v>6000000</v>
      </c>
      <c r="AV1096" s="3">
        <v>6000000</v>
      </c>
      <c r="AW1096" s="3">
        <f t="shared" si="69"/>
        <v>0</v>
      </c>
      <c r="AX1096" s="3">
        <f t="shared" si="70"/>
        <v>72000000</v>
      </c>
      <c r="AY1096" s="4">
        <f t="shared" si="71"/>
        <v>12</v>
      </c>
      <c r="AZ1096" s="8">
        <v>0</v>
      </c>
      <c r="BA1096" s="4" t="s">
        <v>5726</v>
      </c>
      <c r="BB1096" s="2">
        <v>68000000</v>
      </c>
      <c r="BC1096" s="3"/>
      <c r="BD1096" s="3"/>
    </row>
    <row r="1097" spans="1:56" ht="16.8" customHeight="1">
      <c r="A1097" s="1">
        <v>1096</v>
      </c>
      <c r="B1097" s="1" t="s">
        <v>3175</v>
      </c>
      <c r="C1097" s="1" t="s">
        <v>3389</v>
      </c>
      <c r="D1097" s="1" t="s">
        <v>4235</v>
      </c>
      <c r="E1097" s="1" t="s">
        <v>4235</v>
      </c>
      <c r="F1097" s="1" t="s">
        <v>4236</v>
      </c>
      <c r="G1097" s="1" t="s">
        <v>336</v>
      </c>
      <c r="H1097" s="1" t="s">
        <v>5390</v>
      </c>
      <c r="I1097" s="18" t="s">
        <v>5391</v>
      </c>
      <c r="J1097" s="18" t="s">
        <v>5392</v>
      </c>
      <c r="K1097" s="18" t="s">
        <v>5393</v>
      </c>
      <c r="L1097" s="18" t="s">
        <v>4734</v>
      </c>
      <c r="M1097" s="2">
        <v>3600000</v>
      </c>
      <c r="N1097" s="2">
        <v>3600000</v>
      </c>
      <c r="O1097" s="2"/>
      <c r="P1097" s="2" t="str">
        <f t="shared" si="68"/>
        <v/>
      </c>
      <c r="Q1097" s="2"/>
      <c r="R1097" s="2"/>
      <c r="S1097" s="48"/>
      <c r="T1097" s="2">
        <v>0</v>
      </c>
      <c r="U1097" s="2">
        <v>0</v>
      </c>
      <c r="V1097" s="1"/>
      <c r="W1097" s="6"/>
      <c r="X1097" s="1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28">
        <v>3600000</v>
      </c>
      <c r="AL1097" s="28">
        <v>3600000</v>
      </c>
      <c r="AM1097" s="28">
        <v>3600000</v>
      </c>
      <c r="AN1097" s="28">
        <v>3600000</v>
      </c>
      <c r="AO1097" s="28">
        <v>3600000</v>
      </c>
      <c r="AP1097" s="28">
        <v>3600000</v>
      </c>
      <c r="AQ1097" s="28">
        <v>3600000</v>
      </c>
      <c r="AR1097" s="28">
        <v>3600000</v>
      </c>
      <c r="AS1097" s="28">
        <v>3600000</v>
      </c>
      <c r="AT1097" s="28">
        <v>3600000</v>
      </c>
      <c r="AU1097" s="28">
        <v>3600000</v>
      </c>
      <c r="AV1097" s="28">
        <v>3600000</v>
      </c>
      <c r="AW1097" s="3">
        <f t="shared" si="69"/>
        <v>0</v>
      </c>
      <c r="AX1097" s="3">
        <f t="shared" si="70"/>
        <v>43200000</v>
      </c>
      <c r="AY1097" s="4">
        <f t="shared" si="71"/>
        <v>12</v>
      </c>
      <c r="AZ1097" s="8" t="s">
        <v>5650</v>
      </c>
      <c r="BA1097" s="4" t="s">
        <v>5726</v>
      </c>
      <c r="BB1097" s="2"/>
      <c r="BC1097" s="3"/>
      <c r="BD1097" s="3"/>
    </row>
    <row r="1098" spans="1:56" ht="16.8" customHeight="1">
      <c r="A1098" s="1">
        <v>1097</v>
      </c>
      <c r="B1098" s="1" t="s">
        <v>3175</v>
      </c>
      <c r="C1098" s="1" t="s">
        <v>3389</v>
      </c>
      <c r="D1098" s="1" t="s">
        <v>4237</v>
      </c>
      <c r="E1098" s="1" t="s">
        <v>4237</v>
      </c>
      <c r="F1098" s="1" t="s">
        <v>4238</v>
      </c>
      <c r="G1098" s="1" t="s">
        <v>3490</v>
      </c>
      <c r="H1098" s="1" t="s">
        <v>5394</v>
      </c>
      <c r="I1098" s="18" t="s">
        <v>5395</v>
      </c>
      <c r="J1098" s="18" t="s">
        <v>5392</v>
      </c>
      <c r="K1098" s="18" t="s">
        <v>5396</v>
      </c>
      <c r="L1098" s="18" t="s">
        <v>4734</v>
      </c>
      <c r="M1098" s="2">
        <v>4000000</v>
      </c>
      <c r="N1098" s="2">
        <v>4000000</v>
      </c>
      <c r="O1098" s="2"/>
      <c r="P1098" s="2" t="str">
        <f t="shared" si="68"/>
        <v/>
      </c>
      <c r="Q1098" s="2"/>
      <c r="R1098" s="2"/>
      <c r="S1098" s="48"/>
      <c r="T1098" s="2">
        <v>0</v>
      </c>
      <c r="U1098" s="2">
        <v>0</v>
      </c>
      <c r="V1098" s="1" t="s">
        <v>3490</v>
      </c>
      <c r="W1098" s="6" t="s">
        <v>3491</v>
      </c>
      <c r="X1098" s="1" t="s">
        <v>2921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>
        <v>4000000</v>
      </c>
      <c r="AJ1098" s="3">
        <v>4000000</v>
      </c>
      <c r="AK1098" s="3">
        <v>4000000</v>
      </c>
      <c r="AL1098" s="3">
        <v>4000000</v>
      </c>
      <c r="AM1098" s="3">
        <v>4000000</v>
      </c>
      <c r="AN1098" s="3">
        <v>4000000</v>
      </c>
      <c r="AO1098" s="3">
        <v>4000000</v>
      </c>
      <c r="AP1098" s="3">
        <v>4000000</v>
      </c>
      <c r="AQ1098" s="3">
        <v>4000000</v>
      </c>
      <c r="AR1098" s="3">
        <v>4000000</v>
      </c>
      <c r="AS1098" s="3">
        <v>4000000</v>
      </c>
      <c r="AT1098" s="3">
        <v>4000000</v>
      </c>
      <c r="AU1098" s="3">
        <v>4000000</v>
      </c>
      <c r="AV1098" s="3">
        <v>4000000</v>
      </c>
      <c r="AW1098" s="3">
        <f t="shared" si="69"/>
        <v>8000000</v>
      </c>
      <c r="AX1098" s="3">
        <f t="shared" si="70"/>
        <v>48000000</v>
      </c>
      <c r="AY1098" s="4">
        <f t="shared" si="71"/>
        <v>14</v>
      </c>
      <c r="AZ1098" s="8" t="s">
        <v>5651</v>
      </c>
      <c r="BA1098" s="4" t="s">
        <v>5726</v>
      </c>
      <c r="BB1098" s="2"/>
      <c r="BC1098" s="3"/>
      <c r="BD1098" s="3"/>
    </row>
    <row r="1099" spans="1:56" ht="16.8" customHeight="1">
      <c r="A1099" s="1">
        <v>1098</v>
      </c>
      <c r="B1099" s="1" t="s">
        <v>3175</v>
      </c>
      <c r="C1099" s="1" t="s">
        <v>3389</v>
      </c>
      <c r="D1099" s="1" t="s">
        <v>4239</v>
      </c>
      <c r="E1099" s="1" t="s">
        <v>4239</v>
      </c>
      <c r="F1099" s="1" t="s">
        <v>4240</v>
      </c>
      <c r="G1099" s="1" t="s">
        <v>4241</v>
      </c>
      <c r="H1099" s="1" t="s">
        <v>5397</v>
      </c>
      <c r="I1099" s="18" t="s">
        <v>5398</v>
      </c>
      <c r="J1099" s="18" t="s">
        <v>5392</v>
      </c>
      <c r="K1099" s="18" t="s">
        <v>5399</v>
      </c>
      <c r="L1099" s="18" t="s">
        <v>4734</v>
      </c>
      <c r="M1099" s="2">
        <v>4000000</v>
      </c>
      <c r="N1099" s="2">
        <v>4000000</v>
      </c>
      <c r="O1099" s="2"/>
      <c r="P1099" s="2" t="str">
        <f t="shared" si="68"/>
        <v/>
      </c>
      <c r="Q1099" s="2"/>
      <c r="R1099" s="2"/>
      <c r="S1099" s="48"/>
      <c r="T1099" s="2">
        <v>0</v>
      </c>
      <c r="U1099" s="2">
        <v>0</v>
      </c>
      <c r="V1099" s="1" t="s">
        <v>4241</v>
      </c>
      <c r="W1099" s="6" t="s">
        <v>4242</v>
      </c>
      <c r="X1099" s="1" t="s">
        <v>3394</v>
      </c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>
        <v>4000000</v>
      </c>
      <c r="AJ1099" s="3">
        <v>4000000</v>
      </c>
      <c r="AK1099" s="3">
        <v>4000000</v>
      </c>
      <c r="AL1099" s="3">
        <v>4000000</v>
      </c>
      <c r="AM1099" s="3">
        <v>4000000</v>
      </c>
      <c r="AN1099" s="3">
        <v>4000000</v>
      </c>
      <c r="AO1099" s="3">
        <v>4000000</v>
      </c>
      <c r="AP1099" s="3">
        <v>4000000</v>
      </c>
      <c r="AQ1099" s="3">
        <v>4000000</v>
      </c>
      <c r="AR1099" s="3">
        <v>4000000</v>
      </c>
      <c r="AS1099" s="3">
        <v>4000000</v>
      </c>
      <c r="AT1099" s="3">
        <v>4000000</v>
      </c>
      <c r="AU1099" s="3">
        <v>4000000</v>
      </c>
      <c r="AV1099" s="3">
        <v>4000000</v>
      </c>
      <c r="AW1099" s="3">
        <f t="shared" si="69"/>
        <v>8000000</v>
      </c>
      <c r="AX1099" s="3">
        <f t="shared" si="70"/>
        <v>48000000</v>
      </c>
      <c r="AY1099" s="4">
        <f t="shared" si="71"/>
        <v>14</v>
      </c>
      <c r="AZ1099" s="8">
        <v>0</v>
      </c>
      <c r="BA1099" s="4" t="s">
        <v>5726</v>
      </c>
      <c r="BB1099" s="2"/>
      <c r="BC1099" s="3"/>
      <c r="BD1099" s="3"/>
    </row>
    <row r="1100" spans="1:56" ht="16.8" customHeight="1">
      <c r="A1100" s="1">
        <v>1099</v>
      </c>
      <c r="B1100" s="1" t="s">
        <v>3175</v>
      </c>
      <c r="C1100" s="1" t="s">
        <v>3389</v>
      </c>
      <c r="D1100" s="1" t="s">
        <v>4243</v>
      </c>
      <c r="E1100" s="1" t="s">
        <v>4243</v>
      </c>
      <c r="F1100" s="1" t="s">
        <v>4244</v>
      </c>
      <c r="G1100" s="1" t="s">
        <v>4245</v>
      </c>
      <c r="H1100" s="1" t="s">
        <v>4474</v>
      </c>
      <c r="I1100" s="18" t="s">
        <v>5400</v>
      </c>
      <c r="J1100" s="18" t="s">
        <v>5392</v>
      </c>
      <c r="K1100" s="18" t="s">
        <v>5401</v>
      </c>
      <c r="L1100" s="18" t="s">
        <v>4734</v>
      </c>
      <c r="M1100" s="2">
        <v>3500000</v>
      </c>
      <c r="N1100" s="2">
        <v>3500000</v>
      </c>
      <c r="O1100" s="2"/>
      <c r="P1100" s="2" t="str">
        <f t="shared" si="68"/>
        <v/>
      </c>
      <c r="Q1100" s="2"/>
      <c r="R1100" s="2"/>
      <c r="S1100" s="48"/>
      <c r="T1100" s="2">
        <v>0</v>
      </c>
      <c r="U1100" s="2">
        <v>0</v>
      </c>
      <c r="V1100" s="1"/>
      <c r="W1100" s="6"/>
      <c r="X1100" s="1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>
        <v>3500000</v>
      </c>
      <c r="AJ1100" s="3">
        <v>3500000</v>
      </c>
      <c r="AK1100" s="3">
        <v>3500000</v>
      </c>
      <c r="AL1100" s="3">
        <v>3500000</v>
      </c>
      <c r="AM1100" s="3">
        <v>3500000</v>
      </c>
      <c r="AN1100" s="3">
        <v>3500000</v>
      </c>
      <c r="AO1100" s="3">
        <v>3500000</v>
      </c>
      <c r="AP1100" s="3">
        <v>3500000</v>
      </c>
      <c r="AQ1100" s="3">
        <v>3500000</v>
      </c>
      <c r="AR1100" s="3">
        <v>3500000</v>
      </c>
      <c r="AS1100" s="3">
        <v>3500000</v>
      </c>
      <c r="AT1100" s="3">
        <v>3500000</v>
      </c>
      <c r="AU1100" s="3">
        <v>3500000</v>
      </c>
      <c r="AV1100" s="3">
        <v>3500000</v>
      </c>
      <c r="AW1100" s="3">
        <f t="shared" si="69"/>
        <v>7000000</v>
      </c>
      <c r="AX1100" s="3">
        <f t="shared" si="70"/>
        <v>42000000</v>
      </c>
      <c r="AY1100" s="4">
        <f t="shared" si="71"/>
        <v>14</v>
      </c>
      <c r="AZ1100" s="8" t="s">
        <v>5651</v>
      </c>
      <c r="BA1100" s="4" t="s">
        <v>5739</v>
      </c>
      <c r="BB1100" s="2"/>
      <c r="BC1100" s="3"/>
      <c r="BD1100" s="3"/>
    </row>
    <row r="1101" spans="1:56" ht="16.8" customHeight="1">
      <c r="A1101" s="1">
        <v>1100</v>
      </c>
      <c r="B1101" s="1" t="s">
        <v>3175</v>
      </c>
      <c r="C1101" s="1" t="s">
        <v>3654</v>
      </c>
      <c r="D1101" s="1" t="s">
        <v>4246</v>
      </c>
      <c r="E1101" s="1" t="s">
        <v>4246</v>
      </c>
      <c r="F1101" s="1" t="s">
        <v>4247</v>
      </c>
      <c r="G1101" s="1" t="s">
        <v>3405</v>
      </c>
      <c r="H1101" s="1" t="s">
        <v>5402</v>
      </c>
      <c r="I1101" s="18" t="s">
        <v>4783</v>
      </c>
      <c r="J1101" s="18" t="s">
        <v>5392</v>
      </c>
      <c r="K1101" s="18" t="s">
        <v>4742</v>
      </c>
      <c r="L1101" s="18" t="s">
        <v>4734</v>
      </c>
      <c r="M1101" s="2">
        <v>2500000</v>
      </c>
      <c r="N1101" s="2">
        <v>2500000</v>
      </c>
      <c r="O1101" s="2"/>
      <c r="P1101" s="2" t="str">
        <f t="shared" si="68"/>
        <v/>
      </c>
      <c r="Q1101" s="2"/>
      <c r="R1101" s="2"/>
      <c r="S1101" s="48"/>
      <c r="T1101" s="2">
        <v>0</v>
      </c>
      <c r="U1101" s="2">
        <v>0</v>
      </c>
      <c r="V1101" s="1" t="s">
        <v>3405</v>
      </c>
      <c r="W1101" s="6" t="s">
        <v>4248</v>
      </c>
      <c r="X1101" s="1" t="s">
        <v>3394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>
        <v>2500000</v>
      </c>
      <c r="AI1101" s="3">
        <v>2500000</v>
      </c>
      <c r="AJ1101" s="3">
        <v>2500000</v>
      </c>
      <c r="AK1101" s="3">
        <v>2500000</v>
      </c>
      <c r="AL1101" s="3">
        <v>2500000</v>
      </c>
      <c r="AM1101" s="3">
        <v>2500000</v>
      </c>
      <c r="AN1101" s="3">
        <v>2500000</v>
      </c>
      <c r="AO1101" s="3">
        <v>2500000</v>
      </c>
      <c r="AP1101" s="3">
        <v>2500000</v>
      </c>
      <c r="AQ1101" s="3"/>
      <c r="AR1101" s="3"/>
      <c r="AS1101" s="3"/>
      <c r="AT1101" s="3"/>
      <c r="AU1101" s="3"/>
      <c r="AV1101" s="3"/>
      <c r="AW1101" s="3">
        <f t="shared" si="69"/>
        <v>7500000</v>
      </c>
      <c r="AX1101" s="3">
        <f t="shared" si="70"/>
        <v>15000000</v>
      </c>
      <c r="AY1101" s="4">
        <f t="shared" si="71"/>
        <v>9</v>
      </c>
      <c r="AZ1101" s="8">
        <v>0</v>
      </c>
      <c r="BA1101" s="4" t="s">
        <v>5726</v>
      </c>
      <c r="BB1101" s="2"/>
      <c r="BC1101" s="3"/>
      <c r="BD1101" s="3"/>
    </row>
    <row r="1102" spans="1:56" ht="16.8" customHeight="1">
      <c r="A1102" s="1">
        <v>1101</v>
      </c>
      <c r="B1102" s="1" t="s">
        <v>3175</v>
      </c>
      <c r="C1102" s="1" t="s">
        <v>3654</v>
      </c>
      <c r="D1102" s="1" t="s">
        <v>4249</v>
      </c>
      <c r="E1102" s="1" t="s">
        <v>4249</v>
      </c>
      <c r="F1102" s="1" t="s">
        <v>4250</v>
      </c>
      <c r="G1102" s="1" t="s">
        <v>4251</v>
      </c>
      <c r="H1102" s="1" t="s">
        <v>5403</v>
      </c>
      <c r="I1102" s="18" t="s">
        <v>4783</v>
      </c>
      <c r="J1102" s="18" t="s">
        <v>5392</v>
      </c>
      <c r="K1102" s="18" t="s">
        <v>4742</v>
      </c>
      <c r="L1102" s="18" t="s">
        <v>4734</v>
      </c>
      <c r="M1102" s="2">
        <v>2500000</v>
      </c>
      <c r="N1102" s="2">
        <v>2500000</v>
      </c>
      <c r="O1102" s="2"/>
      <c r="P1102" s="2" t="str">
        <f t="shared" si="68"/>
        <v/>
      </c>
      <c r="Q1102" s="2"/>
      <c r="R1102" s="2"/>
      <c r="S1102" s="48"/>
      <c r="T1102" s="2">
        <v>0</v>
      </c>
      <c r="U1102" s="2">
        <v>0</v>
      </c>
      <c r="V1102" s="1" t="s">
        <v>4251</v>
      </c>
      <c r="W1102" s="6" t="s">
        <v>4252</v>
      </c>
      <c r="X1102" s="1" t="s">
        <v>101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>
        <v>2500000</v>
      </c>
      <c r="AL1102" s="3">
        <v>2500000</v>
      </c>
      <c r="AM1102" s="3">
        <v>2500000</v>
      </c>
      <c r="AN1102" s="3">
        <v>2500000</v>
      </c>
      <c r="AO1102" s="3">
        <v>2500000</v>
      </c>
      <c r="AP1102" s="3">
        <v>2500000</v>
      </c>
      <c r="AQ1102" s="3"/>
      <c r="AR1102" s="3"/>
      <c r="AS1102" s="3"/>
      <c r="AT1102" s="3"/>
      <c r="AU1102" s="3"/>
      <c r="AV1102" s="3"/>
      <c r="AW1102" s="3">
        <f t="shared" si="69"/>
        <v>0</v>
      </c>
      <c r="AX1102" s="3">
        <f t="shared" si="70"/>
        <v>15000000</v>
      </c>
      <c r="AY1102" s="4">
        <f t="shared" si="71"/>
        <v>6</v>
      </c>
      <c r="AZ1102" s="8" t="s">
        <v>5652</v>
      </c>
      <c r="BA1102" s="4" t="s">
        <v>5726</v>
      </c>
      <c r="BB1102" s="2"/>
      <c r="BC1102" s="3"/>
      <c r="BD1102" s="3"/>
    </row>
    <row r="1103" spans="1:56" ht="16.8" customHeight="1">
      <c r="A1103" s="1">
        <v>1102</v>
      </c>
      <c r="B1103" s="1" t="s">
        <v>3175</v>
      </c>
      <c r="C1103" s="1" t="s">
        <v>3654</v>
      </c>
      <c r="D1103" s="1" t="s">
        <v>4253</v>
      </c>
      <c r="E1103" s="1" t="s">
        <v>4253</v>
      </c>
      <c r="F1103" s="1" t="s">
        <v>4254</v>
      </c>
      <c r="G1103" s="1" t="s">
        <v>4255</v>
      </c>
      <c r="H1103" s="1" t="s">
        <v>5404</v>
      </c>
      <c r="I1103" s="18" t="s">
        <v>5405</v>
      </c>
      <c r="J1103" s="18" t="s">
        <v>5392</v>
      </c>
      <c r="K1103" s="18" t="s">
        <v>5406</v>
      </c>
      <c r="L1103" s="18" t="s">
        <v>4734</v>
      </c>
      <c r="M1103" s="2">
        <v>3000000</v>
      </c>
      <c r="N1103" s="2">
        <v>3000000</v>
      </c>
      <c r="O1103" s="2"/>
      <c r="P1103" s="2" t="str">
        <f t="shared" si="68"/>
        <v/>
      </c>
      <c r="Q1103" s="2"/>
      <c r="R1103" s="2"/>
      <c r="S1103" s="48"/>
      <c r="T1103" s="2">
        <v>0</v>
      </c>
      <c r="U1103" s="2">
        <v>0</v>
      </c>
      <c r="V1103" s="1" t="s">
        <v>4256</v>
      </c>
      <c r="W1103" s="6" t="s">
        <v>4257</v>
      </c>
      <c r="X1103" s="1" t="s">
        <v>4258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>
        <v>3000000</v>
      </c>
      <c r="AK1103" s="3">
        <v>3000000</v>
      </c>
      <c r="AL1103" s="3">
        <v>3000000</v>
      </c>
      <c r="AM1103" s="3">
        <v>3000000</v>
      </c>
      <c r="AN1103" s="3">
        <v>3000000</v>
      </c>
      <c r="AO1103" s="3">
        <v>3000000</v>
      </c>
      <c r="AP1103" s="3">
        <v>3000000</v>
      </c>
      <c r="AQ1103" s="3"/>
      <c r="AR1103" s="3"/>
      <c r="AS1103" s="3"/>
      <c r="AT1103" s="3"/>
      <c r="AU1103" s="3"/>
      <c r="AV1103" s="3"/>
      <c r="AW1103" s="3">
        <f t="shared" si="69"/>
        <v>3000000</v>
      </c>
      <c r="AX1103" s="3">
        <f t="shared" si="70"/>
        <v>18000000</v>
      </c>
      <c r="AY1103" s="4">
        <f t="shared" si="71"/>
        <v>7</v>
      </c>
      <c r="AZ1103" s="8">
        <v>0</v>
      </c>
      <c r="BA1103" s="4" t="s">
        <v>5726</v>
      </c>
      <c r="BB1103" s="2"/>
      <c r="BC1103" s="3"/>
      <c r="BD1103" s="3"/>
    </row>
    <row r="1104" spans="1:56" ht="16.8" customHeight="1">
      <c r="A1104" s="1">
        <v>1103</v>
      </c>
      <c r="B1104" s="1" t="s">
        <v>3175</v>
      </c>
      <c r="C1104" s="1" t="s">
        <v>3176</v>
      </c>
      <c r="D1104" s="1" t="s">
        <v>4259</v>
      </c>
      <c r="E1104" s="1" t="s">
        <v>4259</v>
      </c>
      <c r="F1104" s="1" t="s">
        <v>4260</v>
      </c>
      <c r="G1104" s="1" t="s">
        <v>4261</v>
      </c>
      <c r="H1104" s="1" t="s">
        <v>5407</v>
      </c>
      <c r="I1104" s="18" t="s">
        <v>5405</v>
      </c>
      <c r="J1104" s="18" t="s">
        <v>5392</v>
      </c>
      <c r="K1104" s="18" t="s">
        <v>5273</v>
      </c>
      <c r="L1104" s="18" t="s">
        <v>4734</v>
      </c>
      <c r="M1104" s="2">
        <v>3000000</v>
      </c>
      <c r="N1104" s="2">
        <v>3000000</v>
      </c>
      <c r="O1104" s="2"/>
      <c r="P1104" s="2" t="str">
        <f t="shared" si="68"/>
        <v/>
      </c>
      <c r="Q1104" s="2"/>
      <c r="R1104" s="2"/>
      <c r="S1104" s="48"/>
      <c r="T1104" s="2">
        <v>0</v>
      </c>
      <c r="U1104" s="2">
        <v>0</v>
      </c>
      <c r="V1104" s="1"/>
      <c r="W1104" s="6"/>
      <c r="X1104" s="1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>
        <v>3000000</v>
      </c>
      <c r="AJ1104" s="3">
        <v>3000000</v>
      </c>
      <c r="AK1104" s="3">
        <v>3000000</v>
      </c>
      <c r="AL1104" s="3">
        <v>3000000</v>
      </c>
      <c r="AM1104" s="3">
        <v>3000000</v>
      </c>
      <c r="AN1104" s="3">
        <v>3000000</v>
      </c>
      <c r="AO1104" s="3">
        <v>3000000</v>
      </c>
      <c r="AP1104" s="3">
        <v>3000000</v>
      </c>
      <c r="AQ1104" s="3">
        <v>3000000</v>
      </c>
      <c r="AR1104" s="3">
        <v>3000000</v>
      </c>
      <c r="AS1104" s="3">
        <v>3000000</v>
      </c>
      <c r="AT1104" s="3">
        <v>3000000</v>
      </c>
      <c r="AU1104" s="3">
        <v>3000000</v>
      </c>
      <c r="AV1104" s="3">
        <v>3000000</v>
      </c>
      <c r="AW1104" s="3">
        <f t="shared" si="69"/>
        <v>6000000</v>
      </c>
      <c r="AX1104" s="3">
        <f t="shared" si="70"/>
        <v>36000000</v>
      </c>
      <c r="AY1104" s="4">
        <f t="shared" si="71"/>
        <v>14</v>
      </c>
      <c r="AZ1104" s="8">
        <v>0</v>
      </c>
      <c r="BA1104" s="4" t="s">
        <v>5740</v>
      </c>
      <c r="BB1104" s="2"/>
      <c r="BC1104" s="3"/>
      <c r="BD1104" s="3"/>
    </row>
    <row r="1105" spans="1:56" ht="16.8" customHeight="1">
      <c r="A1105" s="1">
        <v>1104</v>
      </c>
      <c r="B1105" s="1" t="s">
        <v>3175</v>
      </c>
      <c r="C1105" s="1" t="s">
        <v>3176</v>
      </c>
      <c r="D1105" s="1" t="s">
        <v>4262</v>
      </c>
      <c r="E1105" s="1" t="s">
        <v>4262</v>
      </c>
      <c r="F1105" s="1" t="s">
        <v>4263</v>
      </c>
      <c r="G1105" s="1" t="s">
        <v>4264</v>
      </c>
      <c r="H1105" s="1" t="s">
        <v>5408</v>
      </c>
      <c r="I1105" s="18" t="s">
        <v>5405</v>
      </c>
      <c r="J1105" s="18" t="s">
        <v>5392</v>
      </c>
      <c r="K1105" s="18" t="s">
        <v>5409</v>
      </c>
      <c r="L1105" s="18" t="s">
        <v>4734</v>
      </c>
      <c r="M1105" s="2">
        <v>3000000</v>
      </c>
      <c r="N1105" s="2">
        <v>3000000</v>
      </c>
      <c r="O1105" s="2"/>
      <c r="P1105" s="2" t="str">
        <f t="shared" si="68"/>
        <v/>
      </c>
      <c r="Q1105" s="2"/>
      <c r="R1105" s="2"/>
      <c r="S1105" s="48"/>
      <c r="T1105" s="2">
        <v>0</v>
      </c>
      <c r="U1105" s="2">
        <v>0</v>
      </c>
      <c r="V1105" s="1" t="s">
        <v>4264</v>
      </c>
      <c r="W1105" s="6" t="s">
        <v>4265</v>
      </c>
      <c r="X1105" s="1" t="s">
        <v>4266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>
        <v>3000000</v>
      </c>
      <c r="AJ1105" s="3">
        <v>3000000</v>
      </c>
      <c r="AK1105" s="3">
        <v>3000000</v>
      </c>
      <c r="AL1105" s="3">
        <v>3000000</v>
      </c>
      <c r="AM1105" s="3">
        <v>3000000</v>
      </c>
      <c r="AN1105" s="3">
        <v>3000000</v>
      </c>
      <c r="AO1105" s="3">
        <v>3000000</v>
      </c>
      <c r="AP1105" s="3">
        <v>3000000</v>
      </c>
      <c r="AQ1105" s="3"/>
      <c r="AR1105" s="3"/>
      <c r="AS1105" s="3"/>
      <c r="AT1105" s="3"/>
      <c r="AU1105" s="3"/>
      <c r="AV1105" s="3"/>
      <c r="AW1105" s="3">
        <f t="shared" si="69"/>
        <v>6000000</v>
      </c>
      <c r="AX1105" s="3">
        <f t="shared" si="70"/>
        <v>18000000</v>
      </c>
      <c r="AY1105" s="4">
        <f t="shared" si="71"/>
        <v>8</v>
      </c>
      <c r="AZ1105" s="8">
        <v>0</v>
      </c>
      <c r="BA1105" s="4" t="s">
        <v>5726</v>
      </c>
      <c r="BB1105" s="2"/>
      <c r="BC1105" s="3"/>
      <c r="BD1105" s="3"/>
    </row>
    <row r="1106" spans="1:56" ht="16.8" customHeight="1">
      <c r="A1106" s="1">
        <v>1105</v>
      </c>
      <c r="B1106" s="1" t="s">
        <v>3175</v>
      </c>
      <c r="C1106" s="1" t="s">
        <v>3176</v>
      </c>
      <c r="D1106" s="1" t="s">
        <v>4267</v>
      </c>
      <c r="E1106" s="1" t="s">
        <v>4267</v>
      </c>
      <c r="F1106" s="1" t="s">
        <v>4268</v>
      </c>
      <c r="G1106" s="1" t="s">
        <v>4269</v>
      </c>
      <c r="H1106" s="1" t="s">
        <v>5410</v>
      </c>
      <c r="I1106" s="18" t="s">
        <v>4783</v>
      </c>
      <c r="J1106" s="18" t="s">
        <v>5411</v>
      </c>
      <c r="K1106" s="18" t="s">
        <v>4742</v>
      </c>
      <c r="L1106" s="18" t="s">
        <v>4734</v>
      </c>
      <c r="M1106" s="2">
        <v>3000000</v>
      </c>
      <c r="N1106" s="2">
        <v>3000000</v>
      </c>
      <c r="O1106" s="2"/>
      <c r="P1106" s="2" t="str">
        <f t="shared" si="68"/>
        <v/>
      </c>
      <c r="Q1106" s="2"/>
      <c r="R1106" s="2"/>
      <c r="S1106" s="48"/>
      <c r="T1106" s="2">
        <v>0</v>
      </c>
      <c r="U1106" s="2">
        <v>0</v>
      </c>
      <c r="V1106" s="1" t="s">
        <v>3106</v>
      </c>
      <c r="W1106" s="6" t="s">
        <v>4270</v>
      </c>
      <c r="X1106" s="1" t="s">
        <v>4271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>
        <v>3000000</v>
      </c>
      <c r="AJ1106" s="3">
        <v>3000000</v>
      </c>
      <c r="AK1106" s="3">
        <v>3000000</v>
      </c>
      <c r="AL1106" s="3">
        <v>3000000</v>
      </c>
      <c r="AM1106" s="3">
        <v>3000000</v>
      </c>
      <c r="AN1106" s="3">
        <v>3000000</v>
      </c>
      <c r="AO1106" s="3">
        <v>3000000</v>
      </c>
      <c r="AP1106" s="3">
        <v>3000000</v>
      </c>
      <c r="AQ1106" s="3"/>
      <c r="AR1106" s="3"/>
      <c r="AS1106" s="3"/>
      <c r="AT1106" s="3"/>
      <c r="AU1106" s="3"/>
      <c r="AV1106" s="3"/>
      <c r="AW1106" s="3">
        <f t="shared" si="69"/>
        <v>6000000</v>
      </c>
      <c r="AX1106" s="3">
        <f t="shared" si="70"/>
        <v>18000000</v>
      </c>
      <c r="AY1106" s="4">
        <f t="shared" si="71"/>
        <v>8</v>
      </c>
      <c r="AZ1106" s="8">
        <v>0</v>
      </c>
      <c r="BA1106" s="4" t="s">
        <v>5726</v>
      </c>
      <c r="BB1106" s="2"/>
      <c r="BC1106" s="3"/>
      <c r="BD1106" s="3"/>
    </row>
    <row r="1107" spans="1:56" ht="16.8" customHeight="1">
      <c r="A1107" s="1">
        <v>1106</v>
      </c>
      <c r="B1107" s="1" t="s">
        <v>3175</v>
      </c>
      <c r="C1107" s="1" t="s">
        <v>3176</v>
      </c>
      <c r="D1107" s="1" t="s">
        <v>4272</v>
      </c>
      <c r="E1107" s="1" t="s">
        <v>4272</v>
      </c>
      <c r="F1107" s="1" t="s">
        <v>4273</v>
      </c>
      <c r="G1107" s="1" t="s">
        <v>4274</v>
      </c>
      <c r="H1107" s="1" t="s">
        <v>5412</v>
      </c>
      <c r="I1107" s="18" t="s">
        <v>5225</v>
      </c>
      <c r="J1107" s="18" t="s">
        <v>5392</v>
      </c>
      <c r="K1107" s="18" t="s">
        <v>4935</v>
      </c>
      <c r="L1107" s="18" t="s">
        <v>4734</v>
      </c>
      <c r="M1107" s="2">
        <v>3500000</v>
      </c>
      <c r="N1107" s="2">
        <v>3500000</v>
      </c>
      <c r="O1107" s="2"/>
      <c r="P1107" s="2" t="str">
        <f t="shared" si="68"/>
        <v/>
      </c>
      <c r="Q1107" s="2"/>
      <c r="R1107" s="2"/>
      <c r="S1107" s="48"/>
      <c r="T1107" s="2">
        <v>0</v>
      </c>
      <c r="U1107" s="2">
        <v>0</v>
      </c>
      <c r="V1107" s="1" t="s">
        <v>4274</v>
      </c>
      <c r="W1107" s="6" t="s">
        <v>4275</v>
      </c>
      <c r="X1107" s="1" t="s">
        <v>3330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>
        <v>3500000</v>
      </c>
      <c r="AK1107" s="3">
        <v>3500000</v>
      </c>
      <c r="AL1107" s="3">
        <v>3500000</v>
      </c>
      <c r="AM1107" s="3">
        <v>3500000</v>
      </c>
      <c r="AN1107" s="3">
        <v>3500000</v>
      </c>
      <c r="AO1107" s="3">
        <v>3500000</v>
      </c>
      <c r="AP1107" s="3">
        <v>3500000</v>
      </c>
      <c r="AQ1107" s="3"/>
      <c r="AR1107" s="3"/>
      <c r="AS1107" s="3"/>
      <c r="AT1107" s="3"/>
      <c r="AU1107" s="3"/>
      <c r="AV1107" s="3"/>
      <c r="AW1107" s="3">
        <f t="shared" si="69"/>
        <v>3500000</v>
      </c>
      <c r="AX1107" s="3">
        <f t="shared" si="70"/>
        <v>21000000</v>
      </c>
      <c r="AY1107" s="4">
        <f t="shared" si="71"/>
        <v>7</v>
      </c>
      <c r="AZ1107" s="8">
        <v>0</v>
      </c>
      <c r="BA1107" s="4" t="s">
        <v>5726</v>
      </c>
      <c r="BB1107" s="2"/>
      <c r="BC1107" s="3"/>
      <c r="BD1107" s="3"/>
    </row>
    <row r="1108" spans="1:56" ht="16.8" customHeight="1">
      <c r="A1108" s="1">
        <v>1107</v>
      </c>
      <c r="B1108" s="1" t="s">
        <v>3175</v>
      </c>
      <c r="C1108" s="1" t="s">
        <v>3176</v>
      </c>
      <c r="D1108" s="1" t="s">
        <v>4276</v>
      </c>
      <c r="E1108" s="1" t="s">
        <v>4276</v>
      </c>
      <c r="F1108" s="1" t="s">
        <v>4277</v>
      </c>
      <c r="G1108" s="1" t="s">
        <v>4278</v>
      </c>
      <c r="H1108" s="1" t="s">
        <v>5413</v>
      </c>
      <c r="I1108" s="18" t="s">
        <v>5405</v>
      </c>
      <c r="J1108" s="18" t="s">
        <v>5225</v>
      </c>
      <c r="K1108" s="18" t="s">
        <v>5414</v>
      </c>
      <c r="L1108" s="18" t="s">
        <v>4734</v>
      </c>
      <c r="M1108" s="2">
        <v>3000000</v>
      </c>
      <c r="N1108" s="2">
        <v>3000000</v>
      </c>
      <c r="O1108" s="2"/>
      <c r="P1108" s="2" t="str">
        <f t="shared" si="68"/>
        <v/>
      </c>
      <c r="Q1108" s="2"/>
      <c r="R1108" s="2"/>
      <c r="S1108" s="48"/>
      <c r="T1108" s="2">
        <v>0</v>
      </c>
      <c r="U1108" s="2">
        <v>6000000</v>
      </c>
      <c r="V1108" s="1"/>
      <c r="W1108" s="6"/>
      <c r="X1108" s="1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>
        <f t="shared" si="69"/>
        <v>0</v>
      </c>
      <c r="AX1108" s="3">
        <f t="shared" si="70"/>
        <v>0</v>
      </c>
      <c r="AY1108" s="4">
        <f t="shared" si="71"/>
        <v>0</v>
      </c>
      <c r="AZ1108" s="8" t="s">
        <v>5653</v>
      </c>
      <c r="BA1108" s="4" t="s">
        <v>5726</v>
      </c>
      <c r="BB1108" s="2"/>
      <c r="BC1108" s="3"/>
      <c r="BD1108" s="4"/>
    </row>
    <row r="1109" spans="1:56" ht="16.8" customHeight="1">
      <c r="A1109" s="1">
        <v>1108</v>
      </c>
      <c r="B1109" s="1" t="s">
        <v>3175</v>
      </c>
      <c r="C1109" s="1" t="s">
        <v>3176</v>
      </c>
      <c r="D1109" s="1" t="s">
        <v>4279</v>
      </c>
      <c r="E1109" s="1" t="s">
        <v>4279</v>
      </c>
      <c r="F1109" s="1" t="s">
        <v>4280</v>
      </c>
      <c r="G1109" s="1" t="s">
        <v>4281</v>
      </c>
      <c r="H1109" s="1" t="s">
        <v>5415</v>
      </c>
      <c r="I1109" s="18" t="s">
        <v>5416</v>
      </c>
      <c r="J1109" s="18" t="s">
        <v>5392</v>
      </c>
      <c r="K1109" s="18" t="s">
        <v>5417</v>
      </c>
      <c r="L1109" s="18"/>
      <c r="M1109" s="2">
        <v>3000000</v>
      </c>
      <c r="N1109" s="2">
        <v>3000000</v>
      </c>
      <c r="O1109" s="2"/>
      <c r="P1109" s="2" t="str">
        <f t="shared" si="68"/>
        <v/>
      </c>
      <c r="Q1109" s="2"/>
      <c r="R1109" s="2"/>
      <c r="S1109" s="48"/>
      <c r="T1109" s="2">
        <v>0</v>
      </c>
      <c r="U1109" s="2">
        <v>0</v>
      </c>
      <c r="V1109" s="1"/>
      <c r="W1109" s="6"/>
      <c r="X1109" s="1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>
        <f t="shared" si="69"/>
        <v>0</v>
      </c>
      <c r="AX1109" s="3">
        <f t="shared" si="70"/>
        <v>0</v>
      </c>
      <c r="AY1109" s="4">
        <f t="shared" si="71"/>
        <v>0</v>
      </c>
      <c r="BA1109" s="4" t="s">
        <v>5726</v>
      </c>
      <c r="BB1109" s="2"/>
      <c r="BC1109" s="3"/>
      <c r="BD1109" s="4"/>
    </row>
    <row r="1110" spans="1:56" ht="16.8" customHeight="1">
      <c r="A1110" s="1">
        <v>1109</v>
      </c>
      <c r="B1110" s="1" t="s">
        <v>3175</v>
      </c>
      <c r="C1110" s="1" t="s">
        <v>3389</v>
      </c>
      <c r="D1110" s="1" t="s">
        <v>4282</v>
      </c>
      <c r="E1110" s="1" t="s">
        <v>4282</v>
      </c>
      <c r="F1110" s="1" t="s">
        <v>4283</v>
      </c>
      <c r="G1110" s="1" t="s">
        <v>4284</v>
      </c>
      <c r="H1110" s="1" t="s">
        <v>4651</v>
      </c>
      <c r="I1110" s="18" t="s">
        <v>5400</v>
      </c>
      <c r="J1110" s="18" t="s">
        <v>5392</v>
      </c>
      <c r="K1110" s="18" t="s">
        <v>5418</v>
      </c>
      <c r="L1110" s="18" t="s">
        <v>4734</v>
      </c>
      <c r="M1110" s="2">
        <v>4000000</v>
      </c>
      <c r="N1110" s="2">
        <v>4000000</v>
      </c>
      <c r="O1110" s="2"/>
      <c r="P1110" s="2" t="str">
        <f t="shared" si="68"/>
        <v/>
      </c>
      <c r="Q1110" s="2"/>
      <c r="R1110" s="2"/>
      <c r="S1110" s="48"/>
      <c r="T1110" s="2">
        <v>0</v>
      </c>
      <c r="U1110" s="2">
        <v>0</v>
      </c>
      <c r="V1110" s="1"/>
      <c r="W1110" s="6"/>
      <c r="X1110" s="1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>
        <f t="shared" si="69"/>
        <v>0</v>
      </c>
      <c r="AX1110" s="3">
        <f t="shared" si="70"/>
        <v>0</v>
      </c>
      <c r="AY1110" s="4">
        <f t="shared" si="71"/>
        <v>0</v>
      </c>
      <c r="AZ1110" s="8" t="s">
        <v>5654</v>
      </c>
      <c r="BA1110" s="4" t="s">
        <v>5726</v>
      </c>
      <c r="BB1110" s="2"/>
      <c r="BC1110" s="3"/>
      <c r="BD1110" s="4"/>
    </row>
    <row r="1111" spans="1:56" ht="16.8" customHeight="1">
      <c r="A1111" s="1">
        <v>1110</v>
      </c>
      <c r="B1111" s="1" t="s">
        <v>3175</v>
      </c>
      <c r="C1111" s="1" t="s">
        <v>3654</v>
      </c>
      <c r="D1111" s="1" t="s">
        <v>4285</v>
      </c>
      <c r="E1111" s="1" t="s">
        <v>4285</v>
      </c>
      <c r="F1111" s="1" t="s">
        <v>4286</v>
      </c>
      <c r="G1111" s="1" t="s">
        <v>4287</v>
      </c>
      <c r="H1111" s="1" t="s">
        <v>5419</v>
      </c>
      <c r="I1111" s="18" t="s">
        <v>5420</v>
      </c>
      <c r="J1111" s="18" t="s">
        <v>5392</v>
      </c>
      <c r="K1111" s="18" t="s">
        <v>5421</v>
      </c>
      <c r="L1111" s="18" t="s">
        <v>4734</v>
      </c>
      <c r="M1111" s="2">
        <v>2000000</v>
      </c>
      <c r="N1111" s="2">
        <v>2000000</v>
      </c>
      <c r="O1111" s="2"/>
      <c r="P1111" s="2" t="str">
        <f t="shared" si="68"/>
        <v/>
      </c>
      <c r="Q1111" s="2"/>
      <c r="R1111" s="2"/>
      <c r="S1111" s="48"/>
      <c r="T1111" s="2">
        <v>0</v>
      </c>
      <c r="U1111" s="2">
        <v>0</v>
      </c>
      <c r="V1111" s="1"/>
      <c r="W1111" s="6"/>
      <c r="X1111" s="1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>
        <f t="shared" si="69"/>
        <v>0</v>
      </c>
      <c r="AX1111" s="3">
        <f t="shared" si="70"/>
        <v>0</v>
      </c>
      <c r="AY1111" s="4">
        <f t="shared" si="71"/>
        <v>0</v>
      </c>
      <c r="AZ1111" s="8" t="s">
        <v>5655</v>
      </c>
      <c r="BA1111" s="4" t="s">
        <v>5726</v>
      </c>
      <c r="BB1111" s="2"/>
      <c r="BC1111" s="3"/>
      <c r="BD1111" s="4"/>
    </row>
    <row r="1112" spans="1:56" ht="16.8" customHeight="1">
      <c r="A1112" s="1">
        <v>1111</v>
      </c>
      <c r="B1112" s="1" t="s">
        <v>3175</v>
      </c>
      <c r="C1112" s="1" t="s">
        <v>3176</v>
      </c>
      <c r="D1112" s="1" t="s">
        <v>4288</v>
      </c>
      <c r="E1112" s="1" t="s">
        <v>4288</v>
      </c>
      <c r="F1112" s="1" t="s">
        <v>4289</v>
      </c>
      <c r="G1112" s="1" t="s">
        <v>4290</v>
      </c>
      <c r="H1112" s="1" t="s">
        <v>5422</v>
      </c>
      <c r="I1112" s="18" t="s">
        <v>5423</v>
      </c>
      <c r="J1112" s="18" t="s">
        <v>5392</v>
      </c>
      <c r="K1112" s="18" t="s">
        <v>5424</v>
      </c>
      <c r="L1112" s="18" t="s">
        <v>4734</v>
      </c>
      <c r="M1112" s="2">
        <v>3500000</v>
      </c>
      <c r="N1112" s="2">
        <v>3500000</v>
      </c>
      <c r="O1112" s="2"/>
      <c r="P1112" s="2" t="str">
        <f t="shared" si="68"/>
        <v/>
      </c>
      <c r="Q1112" s="2"/>
      <c r="R1112" s="2"/>
      <c r="S1112" s="48"/>
      <c r="T1112" s="2">
        <v>0</v>
      </c>
      <c r="U1112" s="2">
        <v>0</v>
      </c>
      <c r="V1112" s="1"/>
      <c r="W1112" s="6"/>
      <c r="X1112" s="1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>
        <f t="shared" si="69"/>
        <v>0</v>
      </c>
      <c r="AX1112" s="3">
        <f t="shared" si="70"/>
        <v>0</v>
      </c>
      <c r="AY1112" s="4">
        <f t="shared" si="71"/>
        <v>0</v>
      </c>
      <c r="AZ1112" s="8">
        <v>0</v>
      </c>
      <c r="BA1112" s="4" t="s">
        <v>5726</v>
      </c>
      <c r="BB1112" s="2"/>
      <c r="BC1112" s="3"/>
      <c r="BD1112" s="4"/>
    </row>
    <row r="1113" spans="1:56" ht="16.8" customHeight="1">
      <c r="A1113" s="1">
        <v>1112</v>
      </c>
      <c r="B1113" s="1" t="s">
        <v>3175</v>
      </c>
      <c r="C1113" s="1" t="s">
        <v>3654</v>
      </c>
      <c r="D1113" s="1" t="s">
        <v>4291</v>
      </c>
      <c r="E1113" s="1" t="s">
        <v>4291</v>
      </c>
      <c r="F1113" s="1" t="s">
        <v>4292</v>
      </c>
      <c r="G1113" s="1" t="s">
        <v>4293</v>
      </c>
      <c r="H1113" s="1" t="s">
        <v>5425</v>
      </c>
      <c r="I1113" s="18" t="s">
        <v>4783</v>
      </c>
      <c r="J1113" s="18" t="s">
        <v>5392</v>
      </c>
      <c r="K1113" s="18" t="s">
        <v>4742</v>
      </c>
      <c r="L1113" s="18" t="s">
        <v>4734</v>
      </c>
      <c r="M1113" s="2">
        <v>1000000</v>
      </c>
      <c r="N1113" s="2">
        <v>1000000</v>
      </c>
      <c r="O1113" s="2"/>
      <c r="P1113" s="2" t="str">
        <f t="shared" si="68"/>
        <v/>
      </c>
      <c r="Q1113" s="2"/>
      <c r="R1113" s="2"/>
      <c r="S1113" s="48"/>
      <c r="T1113" s="2">
        <v>0</v>
      </c>
      <c r="U1113" s="2">
        <v>0</v>
      </c>
      <c r="V1113" s="1"/>
      <c r="W1113" s="6"/>
      <c r="X1113" s="1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>
        <f t="shared" si="69"/>
        <v>0</v>
      </c>
      <c r="AX1113" s="3">
        <f t="shared" si="70"/>
        <v>0</v>
      </c>
      <c r="AY1113" s="4">
        <f t="shared" si="71"/>
        <v>0</v>
      </c>
      <c r="AZ1113" s="8">
        <v>0</v>
      </c>
      <c r="BA1113" s="4" t="s">
        <v>5726</v>
      </c>
      <c r="BB1113" s="2"/>
      <c r="BC1113" s="3"/>
      <c r="BD1113" s="4"/>
    </row>
    <row r="1114" spans="1:56" ht="16.8" customHeight="1">
      <c r="A1114" s="1">
        <v>1113</v>
      </c>
      <c r="B1114" s="1" t="s">
        <v>3175</v>
      </c>
      <c r="C1114" s="1" t="s">
        <v>3654</v>
      </c>
      <c r="D1114" s="1" t="s">
        <v>4294</v>
      </c>
      <c r="E1114" s="1" t="s">
        <v>4294</v>
      </c>
      <c r="F1114" s="1" t="s">
        <v>4295</v>
      </c>
      <c r="G1114" s="1" t="s">
        <v>4296</v>
      </c>
      <c r="H1114" s="1" t="s">
        <v>5426</v>
      </c>
      <c r="I1114" s="18" t="s">
        <v>4783</v>
      </c>
      <c r="J1114" s="18" t="s">
        <v>5392</v>
      </c>
      <c r="K1114" s="18" t="s">
        <v>4753</v>
      </c>
      <c r="L1114" s="18" t="s">
        <v>4734</v>
      </c>
      <c r="M1114" s="2">
        <v>1000000</v>
      </c>
      <c r="N1114" s="2">
        <v>1000000</v>
      </c>
      <c r="O1114" s="2"/>
      <c r="P1114" s="2" t="str">
        <f t="shared" si="68"/>
        <v/>
      </c>
      <c r="Q1114" s="2"/>
      <c r="R1114" s="2"/>
      <c r="S1114" s="48"/>
      <c r="T1114" s="2">
        <v>0</v>
      </c>
      <c r="U1114" s="2">
        <v>0</v>
      </c>
      <c r="V1114" s="1"/>
      <c r="W1114" s="6"/>
      <c r="X1114" s="1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>
        <f t="shared" si="69"/>
        <v>0</v>
      </c>
      <c r="AX1114" s="3">
        <f t="shared" si="70"/>
        <v>0</v>
      </c>
      <c r="AY1114" s="4">
        <f t="shared" si="71"/>
        <v>0</v>
      </c>
      <c r="AZ1114" s="8" t="s">
        <v>5511</v>
      </c>
      <c r="BA1114" s="4" t="s">
        <v>5726</v>
      </c>
      <c r="BB1114" s="2"/>
      <c r="BC1114" s="3"/>
      <c r="BD1114" s="4"/>
    </row>
    <row r="1115" spans="1:56" ht="16.8" customHeight="1">
      <c r="A1115" s="1">
        <v>1114</v>
      </c>
      <c r="B1115" s="1" t="s">
        <v>3175</v>
      </c>
      <c r="C1115" s="1" t="s">
        <v>3654</v>
      </c>
      <c r="D1115" s="1" t="s">
        <v>4297</v>
      </c>
      <c r="E1115" s="1" t="s">
        <v>4297</v>
      </c>
      <c r="F1115" s="1" t="s">
        <v>4298</v>
      </c>
      <c r="G1115" s="1" t="s">
        <v>4299</v>
      </c>
      <c r="H1115" s="1" t="s">
        <v>5427</v>
      </c>
      <c r="I1115" s="18" t="s">
        <v>4783</v>
      </c>
      <c r="J1115" s="18" t="s">
        <v>5392</v>
      </c>
      <c r="K1115" s="18" t="s">
        <v>4752</v>
      </c>
      <c r="L1115" s="18" t="s">
        <v>4734</v>
      </c>
      <c r="M1115" s="2">
        <v>1000000</v>
      </c>
      <c r="N1115" s="2">
        <v>1000000</v>
      </c>
      <c r="O1115" s="2"/>
      <c r="P1115" s="2" t="str">
        <f t="shared" si="68"/>
        <v/>
      </c>
      <c r="Q1115" s="2"/>
      <c r="R1115" s="2"/>
      <c r="S1115" s="48"/>
      <c r="T1115" s="2">
        <v>0</v>
      </c>
      <c r="U1115" s="2">
        <v>0</v>
      </c>
      <c r="V1115" s="1"/>
      <c r="W1115" s="6"/>
      <c r="X1115" s="1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>
        <f t="shared" si="69"/>
        <v>0</v>
      </c>
      <c r="AX1115" s="3">
        <f t="shared" si="70"/>
        <v>0</v>
      </c>
      <c r="AY1115" s="4">
        <f t="shared" si="71"/>
        <v>0</v>
      </c>
      <c r="AZ1115" s="8">
        <v>0</v>
      </c>
      <c r="BA1115" s="4" t="s">
        <v>5726</v>
      </c>
      <c r="BB1115" s="2"/>
      <c r="BC1115" s="3"/>
      <c r="BD1115" s="4"/>
    </row>
    <row r="1116" spans="1:56" ht="16.8" customHeight="1">
      <c r="A1116" s="1">
        <v>1115</v>
      </c>
      <c r="B1116" s="1" t="s">
        <v>3175</v>
      </c>
      <c r="C1116" s="1" t="s">
        <v>3654</v>
      </c>
      <c r="D1116" s="1" t="s">
        <v>4300</v>
      </c>
      <c r="E1116" s="1" t="s">
        <v>4300</v>
      </c>
      <c r="F1116" s="1" t="s">
        <v>4301</v>
      </c>
      <c r="G1116" s="1" t="s">
        <v>4302</v>
      </c>
      <c r="H1116" s="1" t="s">
        <v>5428</v>
      </c>
      <c r="I1116" s="18" t="s">
        <v>5429</v>
      </c>
      <c r="J1116" s="18" t="s">
        <v>4783</v>
      </c>
      <c r="K1116" s="18" t="s">
        <v>4752</v>
      </c>
      <c r="L1116" s="18" t="s">
        <v>4734</v>
      </c>
      <c r="M1116" s="2">
        <v>1000000</v>
      </c>
      <c r="N1116" s="2">
        <v>1000000</v>
      </c>
      <c r="O1116" s="2"/>
      <c r="P1116" s="2" t="str">
        <f t="shared" si="68"/>
        <v/>
      </c>
      <c r="Q1116" s="2"/>
      <c r="R1116" s="2"/>
      <c r="S1116" s="48"/>
      <c r="T1116" s="2">
        <v>0</v>
      </c>
      <c r="U1116" s="2">
        <v>0</v>
      </c>
      <c r="V1116" s="1"/>
      <c r="W1116" s="6"/>
      <c r="X1116" s="1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>
        <f t="shared" si="69"/>
        <v>0</v>
      </c>
      <c r="AX1116" s="3">
        <f t="shared" si="70"/>
        <v>0</v>
      </c>
      <c r="AY1116" s="4">
        <f t="shared" si="71"/>
        <v>0</v>
      </c>
      <c r="AZ1116" s="8">
        <v>0</v>
      </c>
      <c r="BA1116" s="4" t="s">
        <v>5726</v>
      </c>
      <c r="BB1116" s="2"/>
      <c r="BC1116" s="3"/>
      <c r="BD1116" s="4"/>
    </row>
    <row r="1117" spans="1:56" ht="16.8" customHeight="1">
      <c r="A1117" s="1">
        <v>1116</v>
      </c>
      <c r="B1117" s="1" t="s">
        <v>3175</v>
      </c>
      <c r="C1117" s="1" t="s">
        <v>3389</v>
      </c>
      <c r="D1117" s="1" t="s">
        <v>4303</v>
      </c>
      <c r="E1117" s="1" t="s">
        <v>4303</v>
      </c>
      <c r="F1117" s="1" t="s">
        <v>4304</v>
      </c>
      <c r="G1117" s="1" t="s">
        <v>4305</v>
      </c>
      <c r="H1117" s="1" t="s">
        <v>5430</v>
      </c>
      <c r="I1117" s="18" t="s">
        <v>5391</v>
      </c>
      <c r="J1117" s="18" t="s">
        <v>5392</v>
      </c>
      <c r="K1117" s="18" t="s">
        <v>5431</v>
      </c>
      <c r="L1117" s="18" t="s">
        <v>4734</v>
      </c>
      <c r="M1117" s="2">
        <v>1500000</v>
      </c>
      <c r="N1117" s="2">
        <v>1500000</v>
      </c>
      <c r="O1117" s="2"/>
      <c r="P1117" s="2" t="str">
        <f t="shared" si="68"/>
        <v/>
      </c>
      <c r="Q1117" s="2"/>
      <c r="R1117" s="2"/>
      <c r="S1117" s="48"/>
      <c r="T1117" s="2">
        <v>0</v>
      </c>
      <c r="U1117" s="2">
        <v>0</v>
      </c>
      <c r="V1117" s="1"/>
      <c r="W1117" s="6"/>
      <c r="X1117" s="1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>
        <v>1500000</v>
      </c>
      <c r="AJ1117" s="3">
        <v>1500000</v>
      </c>
      <c r="AK1117" s="3">
        <v>1500000</v>
      </c>
      <c r="AL1117" s="3">
        <v>1500000</v>
      </c>
      <c r="AM1117" s="3">
        <v>1500000</v>
      </c>
      <c r="AN1117" s="3">
        <v>1500000</v>
      </c>
      <c r="AO1117" s="3">
        <v>1500000</v>
      </c>
      <c r="AP1117" s="3">
        <v>1500000</v>
      </c>
      <c r="AQ1117" s="3">
        <v>1500000</v>
      </c>
      <c r="AR1117" s="3">
        <v>1500000</v>
      </c>
      <c r="AS1117" s="3">
        <v>1500000</v>
      </c>
      <c r="AT1117" s="3">
        <v>1500000</v>
      </c>
      <c r="AU1117" s="3">
        <v>1500000</v>
      </c>
      <c r="AV1117" s="3">
        <v>1500000</v>
      </c>
      <c r="AW1117" s="3">
        <f t="shared" si="69"/>
        <v>3000000</v>
      </c>
      <c r="AX1117" s="3">
        <f t="shared" si="70"/>
        <v>18000000</v>
      </c>
      <c r="AY1117" s="4">
        <f t="shared" si="71"/>
        <v>14</v>
      </c>
      <c r="AZ1117" s="8">
        <v>0</v>
      </c>
      <c r="BA1117" s="4" t="s">
        <v>5740</v>
      </c>
      <c r="BB1117" s="2"/>
      <c r="BC1117" s="3"/>
      <c r="BD1117" s="3"/>
    </row>
    <row r="1118" spans="1:56" ht="16.8" customHeight="1">
      <c r="A1118" s="1">
        <v>1117</v>
      </c>
      <c r="B1118" s="1" t="s">
        <v>3175</v>
      </c>
      <c r="C1118" s="1" t="s">
        <v>3654</v>
      </c>
      <c r="D1118" s="1" t="s">
        <v>4306</v>
      </c>
      <c r="E1118" s="1" t="s">
        <v>4306</v>
      </c>
      <c r="F1118" s="1" t="s">
        <v>4307</v>
      </c>
      <c r="G1118" s="1" t="s">
        <v>479</v>
      </c>
      <c r="H1118" s="1" t="s">
        <v>5432</v>
      </c>
      <c r="I1118" s="18" t="s">
        <v>5433</v>
      </c>
      <c r="J1118" s="18" t="s">
        <v>5225</v>
      </c>
      <c r="K1118" s="18" t="s">
        <v>4935</v>
      </c>
      <c r="L1118" s="18" t="s">
        <v>4734</v>
      </c>
      <c r="M1118" s="2">
        <v>1200000</v>
      </c>
      <c r="N1118" s="2">
        <v>1200000</v>
      </c>
      <c r="O1118" s="2"/>
      <c r="P1118" s="2" t="str">
        <f t="shared" si="68"/>
        <v/>
      </c>
      <c r="Q1118" s="2"/>
      <c r="R1118" s="2"/>
      <c r="S1118" s="48"/>
      <c r="T1118" s="2">
        <v>0</v>
      </c>
      <c r="U1118" s="2">
        <v>0</v>
      </c>
      <c r="V1118" s="1" t="s">
        <v>479</v>
      </c>
      <c r="W1118" s="6" t="s">
        <v>4308</v>
      </c>
      <c r="X1118" s="1" t="s">
        <v>4309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>
        <v>1200000</v>
      </c>
      <c r="AJ1118" s="3">
        <v>1200000</v>
      </c>
      <c r="AK1118" s="3">
        <v>1200000</v>
      </c>
      <c r="AL1118" s="3">
        <v>1200000</v>
      </c>
      <c r="AM1118" s="3">
        <v>1200000</v>
      </c>
      <c r="AN1118" s="3">
        <v>1200000</v>
      </c>
      <c r="AO1118" s="3">
        <v>1200000</v>
      </c>
      <c r="AP1118" s="3">
        <v>1200000</v>
      </c>
      <c r="AQ1118" s="3">
        <v>1200000</v>
      </c>
      <c r="AR1118" s="3">
        <v>1200000</v>
      </c>
      <c r="AS1118" s="3">
        <v>1200000</v>
      </c>
      <c r="AT1118" s="3">
        <v>1200000</v>
      </c>
      <c r="AU1118" s="3">
        <v>1200000</v>
      </c>
      <c r="AV1118" s="3">
        <v>1200000</v>
      </c>
      <c r="AW1118" s="3">
        <f t="shared" si="69"/>
        <v>2400000</v>
      </c>
      <c r="AX1118" s="3">
        <f t="shared" si="70"/>
        <v>14400000</v>
      </c>
      <c r="AY1118" s="4">
        <f t="shared" si="71"/>
        <v>14</v>
      </c>
      <c r="AZ1118" s="8">
        <v>0</v>
      </c>
      <c r="BA1118" s="4" t="s">
        <v>5726</v>
      </c>
      <c r="BB1118" s="2"/>
      <c r="BC1118" s="3"/>
      <c r="BD1118" s="3"/>
    </row>
    <row r="1119" spans="1:56" ht="16.8" customHeight="1">
      <c r="A1119" s="1">
        <v>1118</v>
      </c>
      <c r="B1119" s="1" t="s">
        <v>3175</v>
      </c>
      <c r="C1119" s="1" t="s">
        <v>3654</v>
      </c>
      <c r="D1119" s="1" t="s">
        <v>4310</v>
      </c>
      <c r="E1119" s="1" t="s">
        <v>4310</v>
      </c>
      <c r="F1119" s="1" t="s">
        <v>4311</v>
      </c>
      <c r="G1119" s="1" t="s">
        <v>4312</v>
      </c>
      <c r="H1119" s="1" t="s">
        <v>5434</v>
      </c>
      <c r="I1119" s="18" t="s">
        <v>4783</v>
      </c>
      <c r="J1119" s="18" t="s">
        <v>5392</v>
      </c>
      <c r="K1119" s="18" t="s">
        <v>4752</v>
      </c>
      <c r="L1119" s="18" t="s">
        <v>4734</v>
      </c>
      <c r="M1119" s="2">
        <v>1000000</v>
      </c>
      <c r="N1119" s="2">
        <v>1000000</v>
      </c>
      <c r="O1119" s="2"/>
      <c r="P1119" s="2" t="str">
        <f t="shared" si="68"/>
        <v/>
      </c>
      <c r="Q1119" s="2"/>
      <c r="R1119" s="2"/>
      <c r="S1119" s="48"/>
      <c r="T1119" s="2">
        <v>0</v>
      </c>
      <c r="U1119" s="2">
        <v>0</v>
      </c>
      <c r="V1119" s="1"/>
      <c r="W1119" s="6"/>
      <c r="X1119" s="1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>
        <f t="shared" si="69"/>
        <v>0</v>
      </c>
      <c r="AX1119" s="3">
        <f t="shared" si="70"/>
        <v>0</v>
      </c>
      <c r="AY1119" s="4">
        <f t="shared" si="71"/>
        <v>0</v>
      </c>
      <c r="AZ1119" s="8">
        <v>0</v>
      </c>
      <c r="BA1119" s="4" t="s">
        <v>5726</v>
      </c>
      <c r="BB1119" s="2"/>
      <c r="BC1119" s="3"/>
      <c r="BD1119" s="4"/>
    </row>
    <row r="1120" spans="1:56" ht="16.8" customHeight="1">
      <c r="A1120" s="1">
        <v>1119</v>
      </c>
      <c r="B1120" s="1" t="s">
        <v>3175</v>
      </c>
      <c r="C1120" s="1" t="s">
        <v>3654</v>
      </c>
      <c r="D1120" s="1" t="s">
        <v>4313</v>
      </c>
      <c r="E1120" s="1" t="s">
        <v>4313</v>
      </c>
      <c r="F1120" s="1" t="s">
        <v>4314</v>
      </c>
      <c r="G1120" s="1" t="s">
        <v>4315</v>
      </c>
      <c r="H1120" s="1" t="s">
        <v>4459</v>
      </c>
      <c r="I1120" s="18" t="s">
        <v>4783</v>
      </c>
      <c r="J1120" s="18" t="s">
        <v>5392</v>
      </c>
      <c r="K1120" s="18" t="s">
        <v>4752</v>
      </c>
      <c r="L1120" s="18" t="s">
        <v>4734</v>
      </c>
      <c r="M1120" s="2">
        <v>1000000</v>
      </c>
      <c r="N1120" s="2">
        <v>1000000</v>
      </c>
      <c r="O1120" s="2"/>
      <c r="P1120" s="2" t="str">
        <f t="shared" si="68"/>
        <v/>
      </c>
      <c r="Q1120" s="2"/>
      <c r="R1120" s="2"/>
      <c r="S1120" s="48"/>
      <c r="T1120" s="2">
        <v>0</v>
      </c>
      <c r="U1120" s="2">
        <v>0</v>
      </c>
      <c r="V1120" s="1"/>
      <c r="W1120" s="6"/>
      <c r="X1120" s="1"/>
      <c r="Y1120" s="3"/>
      <c r="Z1120" s="3"/>
      <c r="AA1120" s="3"/>
      <c r="AB1120" s="3"/>
      <c r="AC1120" s="3"/>
      <c r="AD1120" s="3"/>
      <c r="AE1120" s="3"/>
      <c r="AF1120" s="3"/>
      <c r="AG1120" s="3"/>
      <c r="AH1120" s="3">
        <v>1000000</v>
      </c>
      <c r="AI1120" s="3">
        <v>1000000</v>
      </c>
      <c r="AJ1120" s="3">
        <v>1000000</v>
      </c>
      <c r="AK1120" s="3">
        <v>1000000</v>
      </c>
      <c r="AL1120" s="3">
        <v>1000000</v>
      </c>
      <c r="AM1120" s="3">
        <v>1000000</v>
      </c>
      <c r="AN1120" s="3">
        <v>1000000</v>
      </c>
      <c r="AO1120" s="3">
        <v>1000000</v>
      </c>
      <c r="AP1120" s="3">
        <v>1000000</v>
      </c>
      <c r="AQ1120" s="3"/>
      <c r="AR1120" s="3"/>
      <c r="AS1120" s="3"/>
      <c r="AT1120" s="3"/>
      <c r="AU1120" s="3"/>
      <c r="AV1120" s="3"/>
      <c r="AW1120" s="3">
        <f t="shared" si="69"/>
        <v>3000000</v>
      </c>
      <c r="AX1120" s="3">
        <f t="shared" si="70"/>
        <v>6000000</v>
      </c>
      <c r="AY1120" s="4">
        <f t="shared" si="71"/>
        <v>9</v>
      </c>
      <c r="AZ1120" s="8" t="s">
        <v>5656</v>
      </c>
      <c r="BA1120" s="4" t="s">
        <v>5735</v>
      </c>
      <c r="BB1120" s="2"/>
      <c r="BC1120" s="3"/>
      <c r="BD1120" s="3"/>
    </row>
    <row r="1121" spans="1:56" ht="16.8" customHeight="1">
      <c r="A1121" s="1">
        <v>1120</v>
      </c>
      <c r="B1121" s="1" t="s">
        <v>3175</v>
      </c>
      <c r="C1121" s="1" t="s">
        <v>3654</v>
      </c>
      <c r="D1121" s="1" t="s">
        <v>4316</v>
      </c>
      <c r="E1121" s="1" t="s">
        <v>4316</v>
      </c>
      <c r="F1121" s="1" t="s">
        <v>4317</v>
      </c>
      <c r="G1121" s="1" t="s">
        <v>4318</v>
      </c>
      <c r="H1121" s="1" t="s">
        <v>5435</v>
      </c>
      <c r="I1121" s="18" t="s">
        <v>4783</v>
      </c>
      <c r="J1121" s="18" t="s">
        <v>5392</v>
      </c>
      <c r="K1121" s="18" t="s">
        <v>4733</v>
      </c>
      <c r="L1121" s="18" t="s">
        <v>4734</v>
      </c>
      <c r="M1121" s="2">
        <v>1000000</v>
      </c>
      <c r="N1121" s="2">
        <v>1000000</v>
      </c>
      <c r="O1121" s="2"/>
      <c r="P1121" s="2" t="str">
        <f t="shared" si="68"/>
        <v/>
      </c>
      <c r="Q1121" s="2"/>
      <c r="R1121" s="2"/>
      <c r="S1121" s="48"/>
      <c r="T1121" s="2">
        <v>0</v>
      </c>
      <c r="U1121" s="2">
        <v>0</v>
      </c>
      <c r="V1121" s="1"/>
      <c r="W1121" s="6"/>
      <c r="X1121" s="1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>
        <f t="shared" si="69"/>
        <v>0</v>
      </c>
      <c r="AX1121" s="3">
        <f t="shared" si="70"/>
        <v>0</v>
      </c>
      <c r="AY1121" s="4">
        <f t="shared" si="71"/>
        <v>0</v>
      </c>
      <c r="AZ1121" s="8">
        <v>0</v>
      </c>
      <c r="BA1121" s="4" t="s">
        <v>5726</v>
      </c>
      <c r="BB1121" s="2"/>
      <c r="BC1121" s="3"/>
      <c r="BD1121" s="4"/>
    </row>
    <row r="1122" spans="1:56" ht="16.8" customHeight="1">
      <c r="A1122" s="1">
        <v>1121</v>
      </c>
      <c r="B1122" s="1" t="s">
        <v>3175</v>
      </c>
      <c r="C1122" s="1" t="s">
        <v>3654</v>
      </c>
      <c r="D1122" s="1" t="s">
        <v>4319</v>
      </c>
      <c r="E1122" s="1" t="s">
        <v>4319</v>
      </c>
      <c r="F1122" s="1" t="s">
        <v>4320</v>
      </c>
      <c r="G1122" s="1" t="s">
        <v>4321</v>
      </c>
      <c r="H1122" s="1" t="s">
        <v>4463</v>
      </c>
      <c r="I1122" s="18" t="s">
        <v>4783</v>
      </c>
      <c r="J1122" s="18" t="s">
        <v>5392</v>
      </c>
      <c r="K1122" s="18" t="s">
        <v>4742</v>
      </c>
      <c r="L1122" s="18" t="s">
        <v>4734</v>
      </c>
      <c r="M1122" s="2">
        <v>1500000</v>
      </c>
      <c r="N1122" s="2">
        <v>1500000</v>
      </c>
      <c r="O1122" s="2"/>
      <c r="P1122" s="2" t="str">
        <f t="shared" si="68"/>
        <v/>
      </c>
      <c r="Q1122" s="2"/>
      <c r="R1122" s="2"/>
      <c r="S1122" s="48"/>
      <c r="T1122" s="2">
        <v>0</v>
      </c>
      <c r="U1122" s="2">
        <v>0</v>
      </c>
      <c r="V1122" s="1" t="s">
        <v>4322</v>
      </c>
      <c r="W1122" s="6" t="s">
        <v>4323</v>
      </c>
      <c r="X1122" s="1" t="s">
        <v>115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>
        <v>1500000</v>
      </c>
      <c r="AI1122" s="3">
        <v>1500000</v>
      </c>
      <c r="AJ1122" s="3">
        <v>1500000</v>
      </c>
      <c r="AK1122" s="3">
        <v>1500000</v>
      </c>
      <c r="AL1122" s="3">
        <v>1500000</v>
      </c>
      <c r="AM1122" s="3">
        <v>1500000</v>
      </c>
      <c r="AN1122" s="3">
        <v>1500000</v>
      </c>
      <c r="AO1122" s="3">
        <v>1500000</v>
      </c>
      <c r="AP1122" s="3">
        <v>1500000</v>
      </c>
      <c r="AQ1122" s="3">
        <v>1500000</v>
      </c>
      <c r="AR1122" s="3">
        <v>1500000</v>
      </c>
      <c r="AS1122" s="3">
        <v>1500000</v>
      </c>
      <c r="AT1122" s="3">
        <v>1500000</v>
      </c>
      <c r="AU1122" s="3">
        <v>1500000</v>
      </c>
      <c r="AV1122" s="3">
        <v>1500000</v>
      </c>
      <c r="AW1122" s="3">
        <f t="shared" si="69"/>
        <v>4500000</v>
      </c>
      <c r="AX1122" s="3">
        <f t="shared" si="70"/>
        <v>18000000</v>
      </c>
      <c r="AY1122" s="4">
        <f t="shared" si="71"/>
        <v>15</v>
      </c>
      <c r="AZ1122" s="8">
        <v>0</v>
      </c>
      <c r="BA1122" s="4" t="s">
        <v>5741</v>
      </c>
      <c r="BB1122" s="2"/>
      <c r="BC1122" s="3"/>
      <c r="BD1122" s="3"/>
    </row>
    <row r="1123" spans="1:56" ht="16.8" customHeight="1">
      <c r="A1123" s="1">
        <v>1122</v>
      </c>
      <c r="B1123" s="1" t="s">
        <v>3175</v>
      </c>
      <c r="C1123" s="1" t="s">
        <v>3176</v>
      </c>
      <c r="D1123" s="1" t="s">
        <v>4324</v>
      </c>
      <c r="E1123" s="1" t="s">
        <v>4324</v>
      </c>
      <c r="F1123" s="1" t="s">
        <v>4325</v>
      </c>
      <c r="G1123" s="1" t="s">
        <v>2455</v>
      </c>
      <c r="H1123" s="1" t="s">
        <v>5436</v>
      </c>
      <c r="I1123" s="18" t="s">
        <v>4783</v>
      </c>
      <c r="J1123" s="18" t="s">
        <v>5392</v>
      </c>
      <c r="K1123" s="18" t="s">
        <v>4742</v>
      </c>
      <c r="L1123" s="18" t="s">
        <v>4734</v>
      </c>
      <c r="M1123" s="2">
        <v>2000000</v>
      </c>
      <c r="N1123" s="2">
        <v>2000000</v>
      </c>
      <c r="O1123" s="2"/>
      <c r="P1123" s="2" t="str">
        <f t="shared" si="68"/>
        <v/>
      </c>
      <c r="Q1123" s="2"/>
      <c r="R1123" s="2"/>
      <c r="S1123" s="48"/>
      <c r="T1123" s="2">
        <v>0</v>
      </c>
      <c r="U1123" s="2">
        <v>0</v>
      </c>
      <c r="V1123" s="1"/>
      <c r="W1123" s="6"/>
      <c r="X1123" s="1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>
        <v>2000000</v>
      </c>
      <c r="AL1123" s="3">
        <v>2000000</v>
      </c>
      <c r="AM1123" s="3">
        <v>2000000</v>
      </c>
      <c r="AN1123" s="3">
        <v>2000000</v>
      </c>
      <c r="AO1123" s="3">
        <v>2000000</v>
      </c>
      <c r="AP1123" s="3">
        <v>2000000</v>
      </c>
      <c r="AQ1123" s="3">
        <v>2000000</v>
      </c>
      <c r="AR1123" s="3">
        <v>2000000</v>
      </c>
      <c r="AS1123" s="3">
        <v>2000000</v>
      </c>
      <c r="AT1123" s="3">
        <v>2000000</v>
      </c>
      <c r="AU1123" s="3">
        <v>2000000</v>
      </c>
      <c r="AV1123" s="3">
        <v>2000000</v>
      </c>
      <c r="AW1123" s="3">
        <f t="shared" si="69"/>
        <v>0</v>
      </c>
      <c r="AX1123" s="3">
        <f t="shared" si="70"/>
        <v>24000000</v>
      </c>
      <c r="AY1123" s="4">
        <f t="shared" si="71"/>
        <v>12</v>
      </c>
      <c r="AZ1123" s="8" t="s">
        <v>5532</v>
      </c>
      <c r="BA1123" s="4" t="s">
        <v>5709</v>
      </c>
      <c r="BB1123" s="2"/>
      <c r="BC1123" s="3"/>
      <c r="BD1123" s="3"/>
    </row>
    <row r="1124" spans="1:56" ht="16.8" customHeight="1">
      <c r="A1124" s="1">
        <v>1123</v>
      </c>
      <c r="B1124" s="1" t="s">
        <v>3175</v>
      </c>
      <c r="C1124" s="1" t="s">
        <v>3654</v>
      </c>
      <c r="D1124" s="1" t="s">
        <v>4326</v>
      </c>
      <c r="E1124" s="1" t="s">
        <v>4326</v>
      </c>
      <c r="F1124" s="1" t="s">
        <v>4327</v>
      </c>
      <c r="G1124" s="1" t="s">
        <v>4328</v>
      </c>
      <c r="H1124" s="1" t="s">
        <v>5437</v>
      </c>
      <c r="I1124" s="18" t="s">
        <v>5405</v>
      </c>
      <c r="J1124" s="18" t="s">
        <v>5392</v>
      </c>
      <c r="K1124" s="18" t="s">
        <v>5406</v>
      </c>
      <c r="L1124" s="18" t="s">
        <v>4734</v>
      </c>
      <c r="M1124" s="2">
        <v>1500000</v>
      </c>
      <c r="N1124" s="2">
        <v>1500000</v>
      </c>
      <c r="O1124" s="2"/>
      <c r="P1124" s="2" t="str">
        <f t="shared" si="68"/>
        <v/>
      </c>
      <c r="Q1124" s="2"/>
      <c r="R1124" s="2"/>
      <c r="S1124" s="48"/>
      <c r="T1124" s="2">
        <v>0</v>
      </c>
      <c r="U1124" s="2">
        <v>0</v>
      </c>
      <c r="V1124" s="1"/>
      <c r="W1124" s="6"/>
      <c r="X1124" s="1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>
        <f t="shared" si="69"/>
        <v>0</v>
      </c>
      <c r="AX1124" s="3">
        <f t="shared" si="70"/>
        <v>0</v>
      </c>
      <c r="AY1124" s="4">
        <f t="shared" si="71"/>
        <v>0</v>
      </c>
      <c r="AZ1124" s="8">
        <v>0</v>
      </c>
      <c r="BA1124" s="4" t="s">
        <v>5726</v>
      </c>
      <c r="BB1124" s="2"/>
      <c r="BC1124" s="3"/>
      <c r="BD1124" s="4"/>
    </row>
    <row r="1125" spans="1:56" ht="16.8" customHeight="1">
      <c r="A1125" s="1">
        <v>1124</v>
      </c>
      <c r="B1125" s="1" t="s">
        <v>3175</v>
      </c>
      <c r="C1125" s="1" t="s">
        <v>3176</v>
      </c>
      <c r="D1125" s="1" t="s">
        <v>4329</v>
      </c>
      <c r="E1125" s="1" t="s">
        <v>4329</v>
      </c>
      <c r="F1125" s="1" t="s">
        <v>4330</v>
      </c>
      <c r="G1125" s="1" t="s">
        <v>4331</v>
      </c>
      <c r="H1125" s="1" t="s">
        <v>5438</v>
      </c>
      <c r="I1125" s="18" t="s">
        <v>4783</v>
      </c>
      <c r="J1125" s="18" t="s">
        <v>5392</v>
      </c>
      <c r="K1125" s="18" t="s">
        <v>4742</v>
      </c>
      <c r="L1125" s="18" t="s">
        <v>4734</v>
      </c>
      <c r="M1125" s="2">
        <v>2000000</v>
      </c>
      <c r="N1125" s="2">
        <v>2000000</v>
      </c>
      <c r="O1125" s="2"/>
      <c r="P1125" s="2" t="str">
        <f t="shared" si="68"/>
        <v/>
      </c>
      <c r="Q1125" s="2"/>
      <c r="R1125" s="2"/>
      <c r="S1125" s="48"/>
      <c r="T1125" s="2">
        <v>0</v>
      </c>
      <c r="U1125" s="2">
        <v>0</v>
      </c>
      <c r="V1125" s="1" t="s">
        <v>4331</v>
      </c>
      <c r="W1125" s="6" t="s">
        <v>4332</v>
      </c>
      <c r="X1125" s="1" t="s">
        <v>333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>
        <v>2000000</v>
      </c>
      <c r="AL1125" s="3">
        <v>2000000</v>
      </c>
      <c r="AM1125" s="3">
        <v>2000000</v>
      </c>
      <c r="AN1125" s="3">
        <v>2000000</v>
      </c>
      <c r="AO1125" s="3">
        <v>2000000</v>
      </c>
      <c r="AP1125" s="3">
        <v>2000000</v>
      </c>
      <c r="AQ1125" s="3">
        <v>2000000</v>
      </c>
      <c r="AR1125" s="3">
        <v>2000000</v>
      </c>
      <c r="AS1125" s="3">
        <v>2000000</v>
      </c>
      <c r="AT1125" s="3">
        <v>2000000</v>
      </c>
      <c r="AU1125" s="3">
        <v>2000000</v>
      </c>
      <c r="AV1125" s="3">
        <v>2000000</v>
      </c>
      <c r="AW1125" s="3">
        <f t="shared" si="69"/>
        <v>0</v>
      </c>
      <c r="AX1125" s="3">
        <f t="shared" si="70"/>
        <v>24000000</v>
      </c>
      <c r="AY1125" s="4">
        <f t="shared" si="71"/>
        <v>12</v>
      </c>
      <c r="AZ1125" s="8">
        <v>0</v>
      </c>
      <c r="BA1125" s="4" t="s">
        <v>5726</v>
      </c>
      <c r="BB1125" s="2"/>
      <c r="BC1125" s="3"/>
      <c r="BD1125" s="3"/>
    </row>
    <row r="1126" spans="1:56" ht="16.8" customHeight="1">
      <c r="A1126" s="1">
        <v>1125</v>
      </c>
      <c r="B1126" s="1" t="s">
        <v>3175</v>
      </c>
      <c r="C1126" s="1" t="s">
        <v>3176</v>
      </c>
      <c r="D1126" s="1" t="s">
        <v>4333</v>
      </c>
      <c r="E1126" s="1" t="s">
        <v>4333</v>
      </c>
      <c r="F1126" s="1" t="s">
        <v>4334</v>
      </c>
      <c r="G1126" s="1" t="s">
        <v>4335</v>
      </c>
      <c r="H1126" s="1" t="s">
        <v>5439</v>
      </c>
      <c r="I1126" s="18" t="s">
        <v>4783</v>
      </c>
      <c r="J1126" s="18" t="s">
        <v>5392</v>
      </c>
      <c r="K1126" s="18" t="s">
        <v>4742</v>
      </c>
      <c r="L1126" s="18" t="s">
        <v>4734</v>
      </c>
      <c r="M1126" s="2">
        <v>2000000</v>
      </c>
      <c r="N1126" s="2">
        <v>2000000</v>
      </c>
      <c r="O1126" s="2"/>
      <c r="P1126" s="2" t="str">
        <f t="shared" si="68"/>
        <v/>
      </c>
      <c r="Q1126" s="2"/>
      <c r="R1126" s="2"/>
      <c r="S1126" s="48"/>
      <c r="T1126" s="2">
        <v>0</v>
      </c>
      <c r="U1126" s="2">
        <v>0</v>
      </c>
      <c r="V1126" s="1"/>
      <c r="W1126" s="6"/>
      <c r="X1126" s="1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>
        <f t="shared" si="69"/>
        <v>0</v>
      </c>
      <c r="AX1126" s="3">
        <f t="shared" si="70"/>
        <v>0</v>
      </c>
      <c r="AY1126" s="4">
        <f t="shared" si="71"/>
        <v>0</v>
      </c>
      <c r="AZ1126" s="8">
        <v>0</v>
      </c>
      <c r="BA1126" s="4" t="s">
        <v>5726</v>
      </c>
      <c r="BB1126" s="2"/>
      <c r="BC1126" s="3"/>
      <c r="BD1126" s="4"/>
    </row>
    <row r="1127" spans="1:56" ht="16.8" customHeight="1">
      <c r="A1127" s="1">
        <v>1126</v>
      </c>
      <c r="B1127" s="1" t="s">
        <v>3175</v>
      </c>
      <c r="C1127" s="1" t="s">
        <v>3176</v>
      </c>
      <c r="D1127" s="1" t="s">
        <v>4336</v>
      </c>
      <c r="E1127" s="1" t="s">
        <v>4336</v>
      </c>
      <c r="F1127" s="1" t="s">
        <v>4337</v>
      </c>
      <c r="G1127" s="1" t="s">
        <v>4338</v>
      </c>
      <c r="H1127" s="1" t="s">
        <v>4612</v>
      </c>
      <c r="I1127" s="18" t="s">
        <v>5416</v>
      </c>
      <c r="J1127" s="18" t="s">
        <v>5018</v>
      </c>
      <c r="K1127" s="18" t="s">
        <v>5440</v>
      </c>
      <c r="L1127" s="18" t="s">
        <v>4734</v>
      </c>
      <c r="M1127" s="2">
        <v>1500000</v>
      </c>
      <c r="N1127" s="2">
        <v>1500000</v>
      </c>
      <c r="O1127" s="2"/>
      <c r="P1127" s="2" t="str">
        <f t="shared" si="68"/>
        <v/>
      </c>
      <c r="Q1127" s="2"/>
      <c r="R1127" s="2"/>
      <c r="S1127" s="48"/>
      <c r="T1127" s="2">
        <v>0</v>
      </c>
      <c r="U1127" s="2">
        <v>0</v>
      </c>
      <c r="V1127" s="1"/>
      <c r="W1127" s="6"/>
      <c r="X1127" s="1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>
        <f t="shared" si="69"/>
        <v>0</v>
      </c>
      <c r="AX1127" s="3">
        <f t="shared" si="70"/>
        <v>0</v>
      </c>
      <c r="AY1127" s="4">
        <f t="shared" si="71"/>
        <v>0</v>
      </c>
      <c r="AZ1127" s="8" t="s">
        <v>5657</v>
      </c>
      <c r="BA1127" s="4" t="s">
        <v>5726</v>
      </c>
      <c r="BB1127" s="2"/>
      <c r="BC1127" s="3"/>
      <c r="BD1127" s="4"/>
    </row>
    <row r="1128" spans="1:56" ht="16.8" customHeight="1">
      <c r="A1128" s="1">
        <v>1127</v>
      </c>
      <c r="B1128" s="1" t="s">
        <v>3175</v>
      </c>
      <c r="C1128" s="1" t="s">
        <v>3176</v>
      </c>
      <c r="D1128" s="1" t="s">
        <v>4339</v>
      </c>
      <c r="E1128" s="1" t="s">
        <v>4339</v>
      </c>
      <c r="F1128" s="1" t="s">
        <v>4340</v>
      </c>
      <c r="G1128" s="1" t="s">
        <v>4341</v>
      </c>
      <c r="H1128" s="1" t="s">
        <v>5441</v>
      </c>
      <c r="I1128" s="18" t="s">
        <v>5398</v>
      </c>
      <c r="J1128" s="18" t="s">
        <v>5392</v>
      </c>
      <c r="K1128" s="18" t="s">
        <v>5442</v>
      </c>
      <c r="L1128" s="18" t="s">
        <v>4734</v>
      </c>
      <c r="M1128" s="2">
        <v>1500000</v>
      </c>
      <c r="N1128" s="2">
        <v>1500000</v>
      </c>
      <c r="O1128" s="2"/>
      <c r="P1128" s="2" t="str">
        <f t="shared" si="68"/>
        <v/>
      </c>
      <c r="Q1128" s="2"/>
      <c r="R1128" s="2"/>
      <c r="S1128" s="48"/>
      <c r="T1128" s="2">
        <v>0</v>
      </c>
      <c r="U1128" s="2">
        <v>0</v>
      </c>
      <c r="V1128" s="1"/>
      <c r="W1128" s="6"/>
      <c r="X1128" s="1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>
        <f t="shared" si="69"/>
        <v>0</v>
      </c>
      <c r="AX1128" s="3">
        <f t="shared" si="70"/>
        <v>0</v>
      </c>
      <c r="AY1128" s="4">
        <f t="shared" si="71"/>
        <v>0</v>
      </c>
      <c r="AZ1128" s="8" t="s">
        <v>5658</v>
      </c>
      <c r="BA1128" s="4" t="s">
        <v>5726</v>
      </c>
      <c r="BB1128" s="2"/>
      <c r="BC1128" s="3"/>
      <c r="BD1128" s="4"/>
    </row>
    <row r="1129" spans="1:56" ht="16.8" customHeight="1">
      <c r="A1129" s="1">
        <v>1128</v>
      </c>
      <c r="B1129" s="1" t="s">
        <v>3175</v>
      </c>
      <c r="C1129" s="1" t="s">
        <v>3654</v>
      </c>
      <c r="D1129" s="1" t="s">
        <v>4342</v>
      </c>
      <c r="E1129" s="1" t="s">
        <v>4342</v>
      </c>
      <c r="F1129" s="1" t="s">
        <v>4343</v>
      </c>
      <c r="G1129" s="1" t="s">
        <v>4344</v>
      </c>
      <c r="H1129" s="1" t="s">
        <v>5443</v>
      </c>
      <c r="I1129" s="18" t="s">
        <v>4783</v>
      </c>
      <c r="J1129" s="18" t="s">
        <v>5392</v>
      </c>
      <c r="K1129" s="18" t="s">
        <v>4742</v>
      </c>
      <c r="L1129" s="18" t="s">
        <v>4734</v>
      </c>
      <c r="M1129" s="2">
        <v>1500000</v>
      </c>
      <c r="N1129" s="2">
        <v>1500000</v>
      </c>
      <c r="O1129" s="2"/>
      <c r="P1129" s="2" t="str">
        <f t="shared" si="68"/>
        <v/>
      </c>
      <c r="Q1129" s="2"/>
      <c r="R1129" s="2"/>
      <c r="S1129" s="48"/>
      <c r="T1129" s="2">
        <v>0</v>
      </c>
      <c r="U1129" s="2">
        <v>0</v>
      </c>
      <c r="V1129" s="1"/>
      <c r="W1129" s="6"/>
      <c r="X1129" s="1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>
        <f t="shared" si="69"/>
        <v>0</v>
      </c>
      <c r="AX1129" s="3">
        <f t="shared" si="70"/>
        <v>0</v>
      </c>
      <c r="AY1129" s="4">
        <f t="shared" si="71"/>
        <v>0</v>
      </c>
      <c r="AZ1129" s="8" t="s">
        <v>5564</v>
      </c>
      <c r="BA1129" s="4" t="s">
        <v>5726</v>
      </c>
      <c r="BB1129" s="2"/>
      <c r="BC1129" s="3"/>
      <c r="BD1129" s="4"/>
    </row>
    <row r="1130" spans="1:56" ht="16.8" customHeight="1">
      <c r="A1130" s="1">
        <v>1129</v>
      </c>
      <c r="B1130" s="1" t="s">
        <v>3175</v>
      </c>
      <c r="C1130" s="1" t="s">
        <v>3389</v>
      </c>
      <c r="D1130" s="1" t="s">
        <v>4345</v>
      </c>
      <c r="E1130" s="1" t="s">
        <v>4345</v>
      </c>
      <c r="F1130" s="1" t="s">
        <v>4346</v>
      </c>
      <c r="G1130" s="1" t="s">
        <v>4347</v>
      </c>
      <c r="H1130" s="1" t="s">
        <v>5444</v>
      </c>
      <c r="I1130" s="18" t="s">
        <v>5398</v>
      </c>
      <c r="J1130" s="18" t="s">
        <v>5392</v>
      </c>
      <c r="K1130" s="18" t="s">
        <v>5399</v>
      </c>
      <c r="L1130" s="18" t="s">
        <v>4734</v>
      </c>
      <c r="M1130" s="2">
        <v>3000000</v>
      </c>
      <c r="N1130" s="2">
        <v>3000000</v>
      </c>
      <c r="O1130" s="2"/>
      <c r="P1130" s="2" t="str">
        <f t="shared" si="68"/>
        <v/>
      </c>
      <c r="Q1130" s="2"/>
      <c r="R1130" s="2"/>
      <c r="S1130" s="48"/>
      <c r="T1130" s="2">
        <v>0</v>
      </c>
      <c r="U1130" s="2">
        <v>0</v>
      </c>
      <c r="V1130" s="1" t="s">
        <v>4347</v>
      </c>
      <c r="W1130" s="6" t="s">
        <v>4348</v>
      </c>
      <c r="X1130" s="1" t="s">
        <v>2090</v>
      </c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>
        <v>3000000</v>
      </c>
      <c r="AJ1130" s="3">
        <v>3000000</v>
      </c>
      <c r="AK1130" s="3">
        <v>3000000</v>
      </c>
      <c r="AL1130" s="3">
        <v>3000000</v>
      </c>
      <c r="AM1130" s="3">
        <v>3000000</v>
      </c>
      <c r="AN1130" s="3">
        <v>3000000</v>
      </c>
      <c r="AO1130" s="3">
        <v>3000000</v>
      </c>
      <c r="AP1130" s="3">
        <v>3000000</v>
      </c>
      <c r="AQ1130" s="3">
        <v>3000000</v>
      </c>
      <c r="AR1130" s="3">
        <v>3000000</v>
      </c>
      <c r="AS1130" s="3">
        <v>3000000</v>
      </c>
      <c r="AT1130" s="3">
        <v>3000000</v>
      </c>
      <c r="AU1130" s="3">
        <v>3000000</v>
      </c>
      <c r="AV1130" s="3">
        <v>3000000</v>
      </c>
      <c r="AW1130" s="3">
        <f t="shared" si="69"/>
        <v>6000000</v>
      </c>
      <c r="AX1130" s="3">
        <f t="shared" si="70"/>
        <v>36000000</v>
      </c>
      <c r="AY1130" s="4">
        <f t="shared" si="71"/>
        <v>14</v>
      </c>
      <c r="AZ1130" s="8">
        <v>0</v>
      </c>
      <c r="BA1130" s="4" t="s">
        <v>5726</v>
      </c>
      <c r="BB1130" s="2"/>
      <c r="BC1130" s="3"/>
      <c r="BD1130" s="3"/>
    </row>
    <row r="1131" spans="1:56" ht="16.8" customHeight="1">
      <c r="A1131" s="1">
        <v>1130</v>
      </c>
      <c r="B1131" s="1" t="s">
        <v>3175</v>
      </c>
      <c r="C1131" s="1" t="s">
        <v>3389</v>
      </c>
      <c r="D1131" s="1" t="s">
        <v>4349</v>
      </c>
      <c r="E1131" s="1" t="s">
        <v>4349</v>
      </c>
      <c r="F1131" s="1" t="s">
        <v>4350</v>
      </c>
      <c r="G1131" s="1" t="s">
        <v>4351</v>
      </c>
      <c r="H1131" s="1" t="s">
        <v>5445</v>
      </c>
      <c r="I1131" s="18" t="s">
        <v>5225</v>
      </c>
      <c r="J1131" s="18" t="s">
        <v>5392</v>
      </c>
      <c r="K1131" s="18" t="s">
        <v>4935</v>
      </c>
      <c r="L1131" s="18" t="s">
        <v>4734</v>
      </c>
      <c r="M1131" s="2">
        <v>6000000</v>
      </c>
      <c r="N1131" s="2">
        <v>6000000</v>
      </c>
      <c r="O1131" s="2"/>
      <c r="P1131" s="2" t="str">
        <f t="shared" si="68"/>
        <v/>
      </c>
      <c r="Q1131" s="2"/>
      <c r="R1131" s="2"/>
      <c r="S1131" s="48"/>
      <c r="T1131" s="2">
        <v>0</v>
      </c>
      <c r="U1131" s="2">
        <v>0</v>
      </c>
      <c r="V1131" s="1"/>
      <c r="W1131" s="6"/>
      <c r="X1131" s="1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>
        <v>6000000</v>
      </c>
      <c r="AJ1131" s="3">
        <v>6000000</v>
      </c>
      <c r="AK1131" s="3">
        <v>6000000</v>
      </c>
      <c r="AL1131" s="3">
        <v>6000000</v>
      </c>
      <c r="AM1131" s="3">
        <v>6000000</v>
      </c>
      <c r="AN1131" s="3">
        <v>6000000</v>
      </c>
      <c r="AO1131" s="3">
        <v>6000000</v>
      </c>
      <c r="AP1131" s="3">
        <v>6000000</v>
      </c>
      <c r="AQ1131" s="3"/>
      <c r="AR1131" s="3"/>
      <c r="AS1131" s="3"/>
      <c r="AT1131" s="3"/>
      <c r="AU1131" s="3"/>
      <c r="AV1131" s="3"/>
      <c r="AW1131" s="3">
        <f t="shared" si="69"/>
        <v>12000000</v>
      </c>
      <c r="AX1131" s="3">
        <f t="shared" si="70"/>
        <v>36000000</v>
      </c>
      <c r="AY1131" s="4">
        <f t="shared" si="71"/>
        <v>8</v>
      </c>
      <c r="AZ1131" s="8" t="s">
        <v>5659</v>
      </c>
      <c r="BA1131" s="4" t="s">
        <v>5742</v>
      </c>
      <c r="BB1131" s="2"/>
      <c r="BC1131" s="3"/>
      <c r="BD1131" s="3"/>
    </row>
    <row r="1132" spans="1:56" ht="16.8" customHeight="1">
      <c r="A1132" s="1">
        <v>1131</v>
      </c>
      <c r="B1132" s="1" t="s">
        <v>3175</v>
      </c>
      <c r="C1132" s="1" t="s">
        <v>3389</v>
      </c>
      <c r="D1132" s="1" t="s">
        <v>4352</v>
      </c>
      <c r="E1132" s="1" t="s">
        <v>4352</v>
      </c>
      <c r="F1132" s="1" t="s">
        <v>4353</v>
      </c>
      <c r="G1132" s="1" t="s">
        <v>4354</v>
      </c>
      <c r="H1132" s="1" t="s">
        <v>5446</v>
      </c>
      <c r="I1132" s="18" t="s">
        <v>5447</v>
      </c>
      <c r="J1132" s="18" t="s">
        <v>5392</v>
      </c>
      <c r="K1132" s="18" t="s">
        <v>5448</v>
      </c>
      <c r="L1132" s="18" t="s">
        <v>4734</v>
      </c>
      <c r="M1132" s="2">
        <v>4000000</v>
      </c>
      <c r="N1132" s="2">
        <v>4000000</v>
      </c>
      <c r="O1132" s="2"/>
      <c r="P1132" s="2" t="str">
        <f t="shared" si="68"/>
        <v/>
      </c>
      <c r="Q1132" s="2"/>
      <c r="R1132" s="2"/>
      <c r="S1132" s="48"/>
      <c r="T1132" s="2">
        <v>0</v>
      </c>
      <c r="U1132" s="2">
        <v>0</v>
      </c>
      <c r="V1132" s="1"/>
      <c r="W1132" s="6"/>
      <c r="X1132" s="1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>
        <f t="shared" si="69"/>
        <v>0</v>
      </c>
      <c r="AX1132" s="3">
        <f t="shared" si="70"/>
        <v>0</v>
      </c>
      <c r="AY1132" s="4">
        <f t="shared" si="71"/>
        <v>0</v>
      </c>
      <c r="AZ1132" s="8">
        <v>0</v>
      </c>
      <c r="BA1132" s="4" t="s">
        <v>5726</v>
      </c>
      <c r="BB1132" s="2"/>
      <c r="BC1132" s="3"/>
      <c r="BD1132" s="4"/>
    </row>
    <row r="1133" spans="1:56" ht="16.8" customHeight="1">
      <c r="A1133" s="1">
        <v>1132</v>
      </c>
      <c r="B1133" s="1" t="s">
        <v>3175</v>
      </c>
      <c r="C1133" s="1" t="s">
        <v>3176</v>
      </c>
      <c r="D1133" s="1" t="s">
        <v>4249</v>
      </c>
      <c r="E1133" s="1" t="s">
        <v>4249</v>
      </c>
      <c r="F1133" s="1" t="s">
        <v>4250</v>
      </c>
      <c r="G1133" s="1" t="s">
        <v>4355</v>
      </c>
      <c r="H1133" s="1" t="s">
        <v>5403</v>
      </c>
      <c r="I1133" s="18" t="s">
        <v>4783</v>
      </c>
      <c r="J1133" s="18" t="s">
        <v>5392</v>
      </c>
      <c r="K1133" s="18" t="s">
        <v>4742</v>
      </c>
      <c r="L1133" s="18" t="s">
        <v>4734</v>
      </c>
      <c r="M1133" s="2">
        <v>2500000</v>
      </c>
      <c r="N1133" s="2">
        <v>2500000</v>
      </c>
      <c r="O1133" s="2"/>
      <c r="P1133" s="2" t="str">
        <f t="shared" si="68"/>
        <v/>
      </c>
      <c r="Q1133" s="2"/>
      <c r="R1133" s="2"/>
      <c r="S1133" s="48"/>
      <c r="T1133" s="2">
        <v>0</v>
      </c>
      <c r="U1133" s="2">
        <v>0</v>
      </c>
      <c r="V1133" s="1"/>
      <c r="W1133" s="6"/>
      <c r="X1133" s="1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>
        <v>2500000</v>
      </c>
      <c r="AL1133" s="3">
        <v>2500000</v>
      </c>
      <c r="AM1133" s="3">
        <v>2500000</v>
      </c>
      <c r="AN1133" s="3">
        <v>2500000</v>
      </c>
      <c r="AO1133" s="3">
        <v>2500000</v>
      </c>
      <c r="AP1133" s="3">
        <v>2500000</v>
      </c>
      <c r="AQ1133" s="3"/>
      <c r="AR1133" s="3"/>
      <c r="AS1133" s="3"/>
      <c r="AT1133" s="3"/>
      <c r="AU1133" s="3"/>
      <c r="AV1133" s="3"/>
      <c r="AW1133" s="3">
        <f t="shared" si="69"/>
        <v>0</v>
      </c>
      <c r="AX1133" s="3">
        <f t="shared" si="70"/>
        <v>15000000</v>
      </c>
      <c r="AY1133" s="4">
        <f t="shared" si="71"/>
        <v>6</v>
      </c>
      <c r="AZ1133" s="8" t="s">
        <v>5652</v>
      </c>
      <c r="BA1133" s="4" t="s">
        <v>5726</v>
      </c>
      <c r="BB1133" s="2"/>
      <c r="BC1133" s="3"/>
      <c r="BD1133" s="3"/>
    </row>
    <row r="1134" spans="1:56" ht="16.8" customHeight="1">
      <c r="A1134" s="1">
        <v>1133</v>
      </c>
      <c r="B1134" s="1" t="s">
        <v>3175</v>
      </c>
      <c r="C1134" s="1" t="s">
        <v>3654</v>
      </c>
      <c r="D1134" s="1" t="s">
        <v>4356</v>
      </c>
      <c r="E1134" s="1" t="s">
        <v>4356</v>
      </c>
      <c r="F1134" s="1" t="s">
        <v>4357</v>
      </c>
      <c r="G1134" s="1" t="s">
        <v>4358</v>
      </c>
      <c r="H1134" s="1" t="s">
        <v>5449</v>
      </c>
      <c r="I1134" s="18" t="s">
        <v>5429</v>
      </c>
      <c r="J1134" s="18" t="s">
        <v>5392</v>
      </c>
      <c r="K1134" s="18" t="s">
        <v>5450</v>
      </c>
      <c r="L1134" s="18" t="s">
        <v>4734</v>
      </c>
      <c r="M1134" s="2">
        <v>1000000</v>
      </c>
      <c r="N1134" s="2">
        <v>1000000</v>
      </c>
      <c r="O1134" s="2"/>
      <c r="P1134" s="2" t="str">
        <f t="shared" si="68"/>
        <v/>
      </c>
      <c r="Q1134" s="2"/>
      <c r="R1134" s="2"/>
      <c r="S1134" s="48"/>
      <c r="T1134" s="2">
        <v>0</v>
      </c>
      <c r="U1134" s="2">
        <v>0</v>
      </c>
      <c r="V1134" s="1"/>
      <c r="W1134" s="6"/>
      <c r="X1134" s="1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>
        <f t="shared" si="69"/>
        <v>0</v>
      </c>
      <c r="AX1134" s="3">
        <f t="shared" si="70"/>
        <v>0</v>
      </c>
      <c r="AY1134" s="4">
        <f t="shared" si="71"/>
        <v>0</v>
      </c>
      <c r="AZ1134" s="8">
        <v>0</v>
      </c>
      <c r="BA1134" s="4" t="s">
        <v>5726</v>
      </c>
      <c r="BB1134" s="2"/>
      <c r="BC1134" s="3"/>
      <c r="BD1134" s="4"/>
    </row>
    <row r="1135" spans="1:56" ht="16.8" customHeight="1">
      <c r="A1135" s="1">
        <v>1134</v>
      </c>
      <c r="B1135" s="1" t="s">
        <v>3175</v>
      </c>
      <c r="C1135" s="1" t="s">
        <v>3176</v>
      </c>
      <c r="D1135" s="1" t="s">
        <v>4359</v>
      </c>
      <c r="E1135" s="1" t="s">
        <v>4359</v>
      </c>
      <c r="F1135" s="1" t="s">
        <v>4360</v>
      </c>
      <c r="G1135" s="1" t="s">
        <v>4361</v>
      </c>
      <c r="H1135" s="1" t="s">
        <v>5451</v>
      </c>
      <c r="I1135" s="18" t="s">
        <v>4783</v>
      </c>
      <c r="J1135" s="18" t="s">
        <v>5392</v>
      </c>
      <c r="K1135" s="18" t="s">
        <v>4742</v>
      </c>
      <c r="L1135" s="18" t="s">
        <v>4734</v>
      </c>
      <c r="M1135" s="2">
        <v>1500000</v>
      </c>
      <c r="N1135" s="2">
        <v>1500000</v>
      </c>
      <c r="O1135" s="2"/>
      <c r="P1135" s="2" t="str">
        <f t="shared" si="68"/>
        <v/>
      </c>
      <c r="Q1135" s="2"/>
      <c r="R1135" s="2"/>
      <c r="S1135" s="48"/>
      <c r="T1135" s="2">
        <v>0</v>
      </c>
      <c r="U1135" s="2">
        <v>0</v>
      </c>
      <c r="V1135" s="1"/>
      <c r="W1135" s="6"/>
      <c r="X1135" s="1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>
        <f t="shared" si="69"/>
        <v>0</v>
      </c>
      <c r="AX1135" s="3">
        <f t="shared" si="70"/>
        <v>0</v>
      </c>
      <c r="AY1135" s="4">
        <f t="shared" si="71"/>
        <v>0</v>
      </c>
      <c r="AZ1135" s="8">
        <v>0</v>
      </c>
      <c r="BA1135" s="4" t="s">
        <v>5726</v>
      </c>
      <c r="BB1135" s="2"/>
      <c r="BC1135" s="3"/>
      <c r="BD1135" s="4"/>
    </row>
    <row r="1136" spans="1:56" ht="16.8" customHeight="1">
      <c r="A1136" s="1">
        <v>1135</v>
      </c>
      <c r="B1136" s="1" t="s">
        <v>3175</v>
      </c>
      <c r="C1136" s="1" t="s">
        <v>3176</v>
      </c>
      <c r="D1136" s="1" t="s">
        <v>4362</v>
      </c>
      <c r="E1136" s="1" t="s">
        <v>4362</v>
      </c>
      <c r="F1136" s="1" t="s">
        <v>4363</v>
      </c>
      <c r="G1136" s="1" t="s">
        <v>4364</v>
      </c>
      <c r="H1136" s="1" t="s">
        <v>5452</v>
      </c>
      <c r="I1136" s="18" t="s">
        <v>5018</v>
      </c>
      <c r="J1136" s="18" t="s">
        <v>5018</v>
      </c>
      <c r="K1136" s="18" t="s">
        <v>5136</v>
      </c>
      <c r="L1136" s="18" t="s">
        <v>4734</v>
      </c>
      <c r="M1136" s="2">
        <v>4167000</v>
      </c>
      <c r="N1136" s="2">
        <v>4167000</v>
      </c>
      <c r="O1136" s="2"/>
      <c r="P1136" s="2" t="str">
        <f t="shared" si="68"/>
        <v/>
      </c>
      <c r="Q1136" s="2"/>
      <c r="R1136" s="2"/>
      <c r="S1136" s="48"/>
      <c r="T1136" s="2">
        <v>0</v>
      </c>
      <c r="U1136" s="2">
        <v>0</v>
      </c>
      <c r="V1136" s="1" t="s">
        <v>4365</v>
      </c>
      <c r="W1136" s="6" t="s">
        <v>4366</v>
      </c>
      <c r="X1136" s="1" t="s">
        <v>3330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>
        <v>4167000</v>
      </c>
      <c r="AL1136" s="3">
        <v>4167000</v>
      </c>
      <c r="AM1136" s="3">
        <v>4167000</v>
      </c>
      <c r="AN1136" s="3">
        <v>4167000</v>
      </c>
      <c r="AO1136" s="3">
        <v>4167000</v>
      </c>
      <c r="AP1136" s="3">
        <v>4167000</v>
      </c>
      <c r="AQ1136" s="3">
        <v>4167000</v>
      </c>
      <c r="AR1136" s="3">
        <v>4167000</v>
      </c>
      <c r="AS1136" s="3">
        <v>4167000</v>
      </c>
      <c r="AT1136" s="3">
        <v>4167000</v>
      </c>
      <c r="AU1136" s="3">
        <v>4167000</v>
      </c>
      <c r="AV1136" s="3">
        <v>4167000</v>
      </c>
      <c r="AW1136" s="3">
        <f t="shared" si="69"/>
        <v>0</v>
      </c>
      <c r="AX1136" s="3">
        <f t="shared" si="70"/>
        <v>50004000</v>
      </c>
      <c r="AY1136" s="4">
        <f t="shared" si="71"/>
        <v>12</v>
      </c>
      <c r="AZ1136" s="8">
        <v>0</v>
      </c>
      <c r="BA1136" s="4" t="s">
        <v>5726</v>
      </c>
      <c r="BB1136" s="2"/>
      <c r="BC1136" s="3"/>
      <c r="BD1136" s="3"/>
    </row>
    <row r="1137" spans="1:56" ht="16.8" customHeight="1">
      <c r="A1137" s="1">
        <v>1136</v>
      </c>
      <c r="B1137" s="1" t="s">
        <v>3175</v>
      </c>
      <c r="C1137" s="1" t="s">
        <v>3389</v>
      </c>
      <c r="D1137" s="1" t="s">
        <v>4367</v>
      </c>
      <c r="E1137" s="1" t="s">
        <v>4367</v>
      </c>
      <c r="F1137" s="1" t="s">
        <v>4368</v>
      </c>
      <c r="G1137" s="1" t="s">
        <v>4369</v>
      </c>
      <c r="H1137" s="1" t="s">
        <v>5453</v>
      </c>
      <c r="I1137" s="18" t="s">
        <v>5454</v>
      </c>
      <c r="J1137" s="18" t="s">
        <v>5454</v>
      </c>
      <c r="K1137" s="18" t="s">
        <v>5455</v>
      </c>
      <c r="L1137" s="18" t="s">
        <v>4734</v>
      </c>
      <c r="M1137" s="2">
        <v>4000000</v>
      </c>
      <c r="N1137" s="2">
        <v>4000000</v>
      </c>
      <c r="O1137" s="2"/>
      <c r="P1137" s="2" t="str">
        <f t="shared" si="68"/>
        <v/>
      </c>
      <c r="Q1137" s="2"/>
      <c r="R1137" s="2"/>
      <c r="S1137" s="48"/>
      <c r="T1137" s="2">
        <v>0</v>
      </c>
      <c r="U1137" s="2">
        <v>0</v>
      </c>
      <c r="V1137" s="1"/>
      <c r="W1137" s="6"/>
      <c r="X1137" s="1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>
        <v>2000000</v>
      </c>
      <c r="AM1137" s="3">
        <v>4000000</v>
      </c>
      <c r="AN1137" s="3">
        <v>4000000</v>
      </c>
      <c r="AO1137" s="3">
        <v>4000000</v>
      </c>
      <c r="AP1137" s="3">
        <v>4000000</v>
      </c>
      <c r="AQ1137" s="3">
        <v>4000000</v>
      </c>
      <c r="AR1137" s="3">
        <v>4000000</v>
      </c>
      <c r="AS1137" s="3">
        <v>4000000</v>
      </c>
      <c r="AT1137" s="3">
        <v>4000000</v>
      </c>
      <c r="AU1137" s="3">
        <v>4000000</v>
      </c>
      <c r="AV1137" s="3">
        <v>4000000</v>
      </c>
      <c r="AW1137" s="3">
        <f t="shared" si="69"/>
        <v>0</v>
      </c>
      <c r="AX1137" s="3">
        <f t="shared" si="70"/>
        <v>42000000</v>
      </c>
      <c r="AY1137" s="4">
        <f t="shared" si="71"/>
        <v>11</v>
      </c>
      <c r="AZ1137" s="8">
        <v>0</v>
      </c>
      <c r="BA1137" s="4" t="s">
        <v>5726</v>
      </c>
      <c r="BB1137" s="2">
        <v>42000000</v>
      </c>
      <c r="BC1137" s="3"/>
      <c r="BD1137" s="3"/>
    </row>
    <row r="1138" spans="1:56" ht="16.8" customHeight="1">
      <c r="A1138" s="1">
        <v>1137</v>
      </c>
      <c r="B1138" s="1" t="s">
        <v>3175</v>
      </c>
      <c r="C1138" s="1" t="s">
        <v>3176</v>
      </c>
      <c r="D1138" s="1" t="s">
        <v>4370</v>
      </c>
      <c r="E1138" s="1" t="s">
        <v>4370</v>
      </c>
      <c r="F1138" s="1" t="s">
        <v>4371</v>
      </c>
      <c r="G1138" s="1" t="s">
        <v>4372</v>
      </c>
      <c r="H1138" s="1" t="s">
        <v>5456</v>
      </c>
      <c r="I1138" s="18" t="s">
        <v>4783</v>
      </c>
      <c r="J1138" s="18" t="s">
        <v>5225</v>
      </c>
      <c r="K1138" s="18" t="s">
        <v>4742</v>
      </c>
      <c r="L1138" s="18" t="s">
        <v>4734</v>
      </c>
      <c r="M1138" s="2">
        <v>4000000</v>
      </c>
      <c r="N1138" s="2">
        <v>4000000</v>
      </c>
      <c r="O1138" s="2"/>
      <c r="P1138" s="2" t="str">
        <f t="shared" si="68"/>
        <v/>
      </c>
      <c r="Q1138" s="2"/>
      <c r="R1138" s="2"/>
      <c r="S1138" s="48"/>
      <c r="T1138" s="2">
        <v>0</v>
      </c>
      <c r="U1138" s="2">
        <v>0</v>
      </c>
      <c r="V1138" s="1"/>
      <c r="W1138" s="6"/>
      <c r="X1138" s="1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>
        <v>4000000</v>
      </c>
      <c r="AL1138" s="3">
        <v>4000000</v>
      </c>
      <c r="AM1138" s="3">
        <v>4000000</v>
      </c>
      <c r="AN1138" s="3">
        <v>4000000</v>
      </c>
      <c r="AO1138" s="3">
        <v>4000000</v>
      </c>
      <c r="AP1138" s="3">
        <v>4000000</v>
      </c>
      <c r="AQ1138" s="3"/>
      <c r="AR1138" s="3"/>
      <c r="AS1138" s="3"/>
      <c r="AT1138" s="3"/>
      <c r="AU1138" s="3"/>
      <c r="AV1138" s="3"/>
      <c r="AW1138" s="3">
        <f t="shared" si="69"/>
        <v>0</v>
      </c>
      <c r="AX1138" s="3">
        <f t="shared" si="70"/>
        <v>24000000</v>
      </c>
      <c r="AY1138" s="4">
        <f t="shared" si="71"/>
        <v>6</v>
      </c>
      <c r="AZ1138" s="8" t="s">
        <v>5684</v>
      </c>
      <c r="BA1138" s="4" t="s">
        <v>5726</v>
      </c>
      <c r="BB1138" s="2">
        <v>24000000</v>
      </c>
      <c r="BC1138" s="3"/>
      <c r="BD1138" s="3"/>
    </row>
    <row r="1139" spans="1:56" ht="16.8" customHeight="1">
      <c r="A1139" s="1">
        <v>1138</v>
      </c>
      <c r="B1139" s="1" t="s">
        <v>3175</v>
      </c>
      <c r="C1139" s="1" t="s">
        <v>3389</v>
      </c>
      <c r="D1139" s="1" t="s">
        <v>4373</v>
      </c>
      <c r="E1139" s="1" t="s">
        <v>4373</v>
      </c>
      <c r="F1139" s="1" t="s">
        <v>4374</v>
      </c>
      <c r="G1139" s="1"/>
      <c r="H1139" s="1"/>
      <c r="I1139" s="18"/>
      <c r="J1139" s="18"/>
      <c r="K1139" s="18"/>
      <c r="L1139" s="18"/>
      <c r="M1139" s="2">
        <v>4000000</v>
      </c>
      <c r="N1139" s="2">
        <v>4000000</v>
      </c>
      <c r="O1139" s="2"/>
      <c r="P1139" s="2" t="str">
        <f t="shared" si="68"/>
        <v/>
      </c>
      <c r="Q1139" s="2"/>
      <c r="R1139" s="2"/>
      <c r="S1139" s="48"/>
      <c r="T1139" s="2">
        <v>0</v>
      </c>
      <c r="U1139" s="2">
        <v>0</v>
      </c>
      <c r="V1139" s="1"/>
      <c r="W1139" s="6"/>
      <c r="X1139" s="1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>
        <f t="shared" si="69"/>
        <v>0</v>
      </c>
      <c r="AX1139" s="3">
        <f t="shared" si="70"/>
        <v>0</v>
      </c>
      <c r="AY1139" s="4">
        <f t="shared" si="71"/>
        <v>0</v>
      </c>
      <c r="BA1139" s="4" t="s">
        <v>5726</v>
      </c>
      <c r="BB1139" s="2"/>
      <c r="BC1139" s="3"/>
      <c r="BD1139" s="4"/>
    </row>
    <row r="1140" spans="1:56" ht="16.8" customHeight="1">
      <c r="A1140" s="1">
        <v>1139</v>
      </c>
      <c r="B1140" s="1" t="s">
        <v>3175</v>
      </c>
      <c r="C1140" s="1" t="s">
        <v>3654</v>
      </c>
      <c r="D1140" s="1" t="s">
        <v>4375</v>
      </c>
      <c r="E1140" s="1" t="s">
        <v>4375</v>
      </c>
      <c r="F1140" s="1" t="s">
        <v>4376</v>
      </c>
      <c r="G1140" s="1" t="s">
        <v>4377</v>
      </c>
      <c r="H1140" s="1" t="s">
        <v>5403</v>
      </c>
      <c r="I1140" s="18" t="s">
        <v>5457</v>
      </c>
      <c r="J1140" s="18" t="s">
        <v>5392</v>
      </c>
      <c r="K1140" s="18" t="s">
        <v>5458</v>
      </c>
      <c r="L1140" s="18" t="s">
        <v>4734</v>
      </c>
      <c r="M1140" s="2">
        <v>3200000</v>
      </c>
      <c r="N1140" s="2">
        <v>3200000</v>
      </c>
      <c r="O1140" s="2"/>
      <c r="P1140" s="2" t="str">
        <f t="shared" si="68"/>
        <v/>
      </c>
      <c r="Q1140" s="2"/>
      <c r="R1140" s="2"/>
      <c r="S1140" s="48"/>
      <c r="T1140" s="2">
        <v>0</v>
      </c>
      <c r="U1140" s="2">
        <v>0</v>
      </c>
      <c r="V1140" s="1" t="s">
        <v>4378</v>
      </c>
      <c r="W1140" s="6" t="s">
        <v>4379</v>
      </c>
      <c r="X1140" s="1" t="s">
        <v>4380</v>
      </c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>
        <v>3200000</v>
      </c>
      <c r="AK1140" s="3">
        <v>3200000</v>
      </c>
      <c r="AL1140" s="3">
        <v>3200000</v>
      </c>
      <c r="AM1140" s="3">
        <v>3200000</v>
      </c>
      <c r="AN1140" s="3">
        <v>3200000</v>
      </c>
      <c r="AO1140" s="3">
        <v>3200000</v>
      </c>
      <c r="AP1140" s="3">
        <v>3200000</v>
      </c>
      <c r="AQ1140" s="3"/>
      <c r="AR1140" s="3"/>
      <c r="AS1140" s="3"/>
      <c r="AT1140" s="3"/>
      <c r="AU1140" s="3"/>
      <c r="AV1140" s="3"/>
      <c r="AW1140" s="3">
        <f t="shared" si="69"/>
        <v>3200000</v>
      </c>
      <c r="AX1140" s="3">
        <f t="shared" si="70"/>
        <v>19200000</v>
      </c>
      <c r="AY1140" s="4">
        <f t="shared" si="71"/>
        <v>7</v>
      </c>
      <c r="AZ1140" s="8" t="s">
        <v>5528</v>
      </c>
      <c r="BA1140" s="4" t="s">
        <v>5726</v>
      </c>
      <c r="BB1140" s="2"/>
      <c r="BC1140" s="3"/>
      <c r="BD1140" s="3"/>
    </row>
    <row r="1141" spans="1:56" ht="16.8" customHeight="1">
      <c r="A1141" s="1">
        <v>1140</v>
      </c>
      <c r="B1141" s="1" t="s">
        <v>3175</v>
      </c>
      <c r="C1141" s="1" t="s">
        <v>3654</v>
      </c>
      <c r="D1141" s="1" t="s">
        <v>4381</v>
      </c>
      <c r="E1141" s="1" t="s">
        <v>4381</v>
      </c>
      <c r="F1141" s="1" t="s">
        <v>4382</v>
      </c>
      <c r="G1141" s="1" t="s">
        <v>4383</v>
      </c>
      <c r="H1141" s="1"/>
      <c r="I1141" s="18"/>
      <c r="J1141" s="18"/>
      <c r="K1141" s="18"/>
      <c r="L1141" s="18"/>
      <c r="M1141" s="2">
        <v>3000000</v>
      </c>
      <c r="N1141" s="2">
        <v>3000000</v>
      </c>
      <c r="O1141" s="2"/>
      <c r="P1141" s="2" t="str">
        <f t="shared" si="68"/>
        <v/>
      </c>
      <c r="Q1141" s="2"/>
      <c r="R1141" s="2"/>
      <c r="S1141" s="48"/>
      <c r="T1141" s="2">
        <v>0</v>
      </c>
      <c r="U1141" s="2">
        <v>0</v>
      </c>
      <c r="V1141" s="1"/>
      <c r="W1141" s="6"/>
      <c r="X1141" s="1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>
        <f t="shared" si="69"/>
        <v>0</v>
      </c>
      <c r="AX1141" s="3">
        <f t="shared" si="70"/>
        <v>0</v>
      </c>
      <c r="AY1141" s="4">
        <f t="shared" si="71"/>
        <v>0</v>
      </c>
      <c r="BA1141" s="4" t="s">
        <v>5726</v>
      </c>
      <c r="BB1141" s="2"/>
      <c r="BC1141" s="3"/>
      <c r="BD1141" s="4"/>
    </row>
    <row r="1142" spans="1:56" ht="16.8" customHeight="1">
      <c r="A1142" s="1">
        <v>1141</v>
      </c>
      <c r="B1142" s="1" t="s">
        <v>3175</v>
      </c>
      <c r="C1142" s="1" t="s">
        <v>3176</v>
      </c>
      <c r="D1142" s="1" t="s">
        <v>4384</v>
      </c>
      <c r="E1142" s="1" t="s">
        <v>4384</v>
      </c>
      <c r="F1142" s="1" t="s">
        <v>4385</v>
      </c>
      <c r="G1142" s="1" t="s">
        <v>4386</v>
      </c>
      <c r="H1142" s="1"/>
      <c r="I1142" s="18"/>
      <c r="J1142" s="18"/>
      <c r="K1142" s="18"/>
      <c r="L1142" s="18"/>
      <c r="M1142" s="2">
        <v>3000000</v>
      </c>
      <c r="N1142" s="2">
        <v>3000000</v>
      </c>
      <c r="O1142" s="2"/>
      <c r="P1142" s="2" t="str">
        <f t="shared" si="68"/>
        <v/>
      </c>
      <c r="Q1142" s="2"/>
      <c r="R1142" s="2"/>
      <c r="S1142" s="48"/>
      <c r="T1142" s="2">
        <v>0</v>
      </c>
      <c r="U1142" s="2">
        <v>0</v>
      </c>
      <c r="V1142" s="1"/>
      <c r="W1142" s="6"/>
      <c r="X1142" s="1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>
        <f t="shared" si="69"/>
        <v>0</v>
      </c>
      <c r="AX1142" s="3">
        <f t="shared" si="70"/>
        <v>0</v>
      </c>
      <c r="AY1142" s="4">
        <f t="shared" si="71"/>
        <v>0</v>
      </c>
      <c r="BA1142" s="4" t="s">
        <v>5726</v>
      </c>
      <c r="BB1142" s="2"/>
      <c r="BC1142" s="3"/>
      <c r="BD1142" s="4"/>
    </row>
    <row r="1143" spans="1:56" ht="16.8" customHeight="1">
      <c r="A1143" s="1">
        <v>1142</v>
      </c>
      <c r="B1143" s="1" t="s">
        <v>3175</v>
      </c>
      <c r="C1143" s="1" t="s">
        <v>3176</v>
      </c>
      <c r="D1143" s="1" t="s">
        <v>4387</v>
      </c>
      <c r="E1143" s="1" t="s">
        <v>4387</v>
      </c>
      <c r="F1143" s="1" t="s">
        <v>4388</v>
      </c>
      <c r="G1143" s="1"/>
      <c r="H1143" s="1"/>
      <c r="I1143" s="18"/>
      <c r="J1143" s="18"/>
      <c r="K1143" s="18"/>
      <c r="L1143" s="18"/>
      <c r="M1143" s="2">
        <v>5000000</v>
      </c>
      <c r="N1143" s="2">
        <v>5000000</v>
      </c>
      <c r="O1143" s="2"/>
      <c r="P1143" s="2" t="str">
        <f t="shared" si="68"/>
        <v/>
      </c>
      <c r="Q1143" s="2"/>
      <c r="R1143" s="2"/>
      <c r="S1143" s="48"/>
      <c r="T1143" s="2">
        <v>0</v>
      </c>
      <c r="U1143" s="2">
        <v>0</v>
      </c>
      <c r="V1143" s="1"/>
      <c r="W1143" s="6"/>
      <c r="X1143" s="1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>
        <f t="shared" si="69"/>
        <v>0</v>
      </c>
      <c r="AX1143" s="3">
        <f t="shared" si="70"/>
        <v>0</v>
      </c>
      <c r="AY1143" s="4">
        <f t="shared" si="71"/>
        <v>0</v>
      </c>
      <c r="BA1143" s="4" t="s">
        <v>5726</v>
      </c>
      <c r="BB1143" s="2"/>
      <c r="BC1143" s="3"/>
      <c r="BD1143" s="4"/>
    </row>
    <row r="1144" spans="1:56" ht="16.8" customHeight="1">
      <c r="A1144" s="1">
        <v>1143</v>
      </c>
      <c r="B1144" s="1" t="s">
        <v>3175</v>
      </c>
      <c r="C1144" s="1" t="s">
        <v>3176</v>
      </c>
      <c r="D1144" s="1" t="s">
        <v>4389</v>
      </c>
      <c r="E1144" s="1" t="s">
        <v>4389</v>
      </c>
      <c r="F1144" s="1" t="s">
        <v>4388</v>
      </c>
      <c r="G1144" s="1" t="s">
        <v>4390</v>
      </c>
      <c r="H1144" s="1"/>
      <c r="I1144" s="18"/>
      <c r="J1144" s="18"/>
      <c r="K1144" s="18"/>
      <c r="L1144" s="18"/>
      <c r="M1144" s="2">
        <v>4000000</v>
      </c>
      <c r="N1144" s="2">
        <v>4000000</v>
      </c>
      <c r="O1144" s="2"/>
      <c r="P1144" s="2" t="str">
        <f t="shared" si="68"/>
        <v/>
      </c>
      <c r="Q1144" s="2"/>
      <c r="R1144" s="2"/>
      <c r="S1144" s="48"/>
      <c r="T1144" s="2">
        <v>0</v>
      </c>
      <c r="U1144" s="2">
        <v>0</v>
      </c>
      <c r="V1144" s="1"/>
      <c r="W1144" s="6"/>
      <c r="X1144" s="1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>
        <f t="shared" si="69"/>
        <v>0</v>
      </c>
      <c r="AX1144" s="3">
        <f t="shared" si="70"/>
        <v>0</v>
      </c>
      <c r="AY1144" s="4">
        <f t="shared" si="71"/>
        <v>0</v>
      </c>
      <c r="BA1144" s="4" t="s">
        <v>5726</v>
      </c>
      <c r="BB1144" s="2"/>
      <c r="BC1144" s="3"/>
      <c r="BD1144" s="4"/>
    </row>
    <row r="1145" spans="1:56" ht="16.8" customHeight="1">
      <c r="A1145" s="1">
        <v>1144</v>
      </c>
      <c r="B1145" s="1" t="s">
        <v>3175</v>
      </c>
      <c r="C1145" s="1" t="s">
        <v>3176</v>
      </c>
      <c r="D1145" s="1" t="s">
        <v>4391</v>
      </c>
      <c r="E1145" s="1" t="s">
        <v>4391</v>
      </c>
      <c r="F1145" s="1" t="s">
        <v>4392</v>
      </c>
      <c r="G1145" s="1" t="s">
        <v>4393</v>
      </c>
      <c r="H1145" s="1"/>
      <c r="I1145" s="18"/>
      <c r="J1145" s="18"/>
      <c r="K1145" s="18"/>
      <c r="L1145" s="18"/>
      <c r="M1145" s="2">
        <v>3500000</v>
      </c>
      <c r="N1145" s="2">
        <v>3500000</v>
      </c>
      <c r="O1145" s="2"/>
      <c r="P1145" s="2" t="str">
        <f t="shared" si="68"/>
        <v/>
      </c>
      <c r="Q1145" s="2"/>
      <c r="R1145" s="2"/>
      <c r="S1145" s="48"/>
      <c r="T1145" s="2">
        <v>0</v>
      </c>
      <c r="U1145" s="2">
        <v>0</v>
      </c>
      <c r="V1145" s="1"/>
      <c r="W1145" s="6"/>
      <c r="X1145" s="1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>
        <f t="shared" si="69"/>
        <v>0</v>
      </c>
      <c r="AX1145" s="3">
        <f t="shared" si="70"/>
        <v>0</v>
      </c>
      <c r="AY1145" s="4">
        <f t="shared" si="71"/>
        <v>0</v>
      </c>
      <c r="BA1145" s="4" t="s">
        <v>5726</v>
      </c>
      <c r="BB1145" s="2"/>
      <c r="BC1145" s="3"/>
      <c r="BD1145" s="4"/>
    </row>
    <row r="1146" spans="1:56" ht="16.8" customHeight="1">
      <c r="A1146" s="1">
        <v>1145</v>
      </c>
      <c r="B1146" s="1" t="s">
        <v>3175</v>
      </c>
      <c r="C1146" s="1" t="s">
        <v>3654</v>
      </c>
      <c r="D1146" s="1" t="s">
        <v>4394</v>
      </c>
      <c r="E1146" s="1" t="s">
        <v>4394</v>
      </c>
      <c r="F1146" s="1" t="s">
        <v>4395</v>
      </c>
      <c r="G1146" s="1" t="s">
        <v>4396</v>
      </c>
      <c r="H1146" s="1"/>
      <c r="I1146" s="18"/>
      <c r="J1146" s="18"/>
      <c r="K1146" s="18"/>
      <c r="L1146" s="18"/>
      <c r="M1146" s="2">
        <v>1000000</v>
      </c>
      <c r="N1146" s="2">
        <v>1000000</v>
      </c>
      <c r="O1146" s="2"/>
      <c r="P1146" s="2" t="str">
        <f t="shared" si="68"/>
        <v/>
      </c>
      <c r="Q1146" s="2"/>
      <c r="R1146" s="2"/>
      <c r="S1146" s="48"/>
      <c r="T1146" s="2">
        <v>0</v>
      </c>
      <c r="U1146" s="2">
        <v>0</v>
      </c>
      <c r="V1146" s="1"/>
      <c r="W1146" s="6"/>
      <c r="X1146" s="1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>
        <f t="shared" si="69"/>
        <v>0</v>
      </c>
      <c r="AX1146" s="3">
        <f t="shared" si="70"/>
        <v>0</v>
      </c>
      <c r="AY1146" s="4">
        <f t="shared" si="71"/>
        <v>0</v>
      </c>
      <c r="BA1146" s="4" t="s">
        <v>5726</v>
      </c>
      <c r="BB1146" s="2"/>
      <c r="BC1146" s="3"/>
      <c r="BD1146" s="4"/>
    </row>
    <row r="1147" spans="1:56" ht="16.8" customHeight="1">
      <c r="A1147" s="1">
        <v>1146</v>
      </c>
      <c r="B1147" s="1" t="s">
        <v>3175</v>
      </c>
      <c r="C1147" s="1" t="s">
        <v>3654</v>
      </c>
      <c r="D1147" s="1" t="s">
        <v>4397</v>
      </c>
      <c r="E1147" s="1" t="s">
        <v>4397</v>
      </c>
      <c r="F1147" s="1" t="s">
        <v>4376</v>
      </c>
      <c r="G1147" s="1" t="s">
        <v>4398</v>
      </c>
      <c r="H1147" s="1"/>
      <c r="I1147" s="18"/>
      <c r="J1147" s="18"/>
      <c r="K1147" s="18"/>
      <c r="L1147" s="18"/>
      <c r="M1147" s="2">
        <v>1500000</v>
      </c>
      <c r="N1147" s="2">
        <v>1500000</v>
      </c>
      <c r="O1147" s="2"/>
      <c r="P1147" s="2" t="str">
        <f t="shared" si="68"/>
        <v/>
      </c>
      <c r="Q1147" s="2"/>
      <c r="R1147" s="2"/>
      <c r="S1147" s="48"/>
      <c r="T1147" s="2">
        <v>0</v>
      </c>
      <c r="U1147" s="2">
        <v>0</v>
      </c>
      <c r="V1147" s="1"/>
      <c r="W1147" s="6"/>
      <c r="X1147" s="1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>
        <f t="shared" si="69"/>
        <v>0</v>
      </c>
      <c r="AX1147" s="3">
        <f t="shared" si="70"/>
        <v>0</v>
      </c>
      <c r="AY1147" s="4">
        <f t="shared" si="71"/>
        <v>0</v>
      </c>
      <c r="BA1147" s="4" t="s">
        <v>5726</v>
      </c>
      <c r="BB1147" s="2"/>
      <c r="BC1147" s="3"/>
      <c r="BD1147" s="4"/>
    </row>
    <row r="1148" spans="1:56" ht="16.8" customHeight="1">
      <c r="A1148" s="1">
        <v>1147</v>
      </c>
      <c r="B1148" s="1" t="s">
        <v>3175</v>
      </c>
      <c r="C1148" s="1" t="s">
        <v>3654</v>
      </c>
      <c r="D1148" s="1" t="s">
        <v>4399</v>
      </c>
      <c r="E1148" s="1" t="s">
        <v>4399</v>
      </c>
      <c r="F1148" s="1" t="s">
        <v>4400</v>
      </c>
      <c r="G1148" s="1" t="s">
        <v>4401</v>
      </c>
      <c r="H1148" s="1"/>
      <c r="I1148" s="18"/>
      <c r="J1148" s="18"/>
      <c r="K1148" s="18"/>
      <c r="L1148" s="18"/>
      <c r="M1148" s="2">
        <v>1000000</v>
      </c>
      <c r="N1148" s="2">
        <v>1000000</v>
      </c>
      <c r="O1148" s="2"/>
      <c r="P1148" s="2" t="str">
        <f t="shared" si="68"/>
        <v/>
      </c>
      <c r="Q1148" s="2"/>
      <c r="R1148" s="2"/>
      <c r="S1148" s="48"/>
      <c r="T1148" s="2">
        <v>0</v>
      </c>
      <c r="U1148" s="2">
        <v>0</v>
      </c>
      <c r="V1148" s="1"/>
      <c r="W1148" s="6"/>
      <c r="X1148" s="1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>
        <f t="shared" si="69"/>
        <v>0</v>
      </c>
      <c r="AX1148" s="3">
        <f t="shared" si="70"/>
        <v>0</v>
      </c>
      <c r="AY1148" s="4">
        <f t="shared" si="71"/>
        <v>0</v>
      </c>
      <c r="BA1148" s="4" t="s">
        <v>5726</v>
      </c>
      <c r="BB1148" s="2"/>
      <c r="BC1148" s="3"/>
      <c r="BD1148" s="4"/>
    </row>
    <row r="1149" spans="1:56" ht="16.8" customHeight="1">
      <c r="A1149" s="1">
        <v>1148</v>
      </c>
      <c r="B1149" s="1" t="s">
        <v>3175</v>
      </c>
      <c r="C1149" s="1" t="s">
        <v>3176</v>
      </c>
      <c r="D1149" s="1" t="s">
        <v>4402</v>
      </c>
      <c r="E1149" s="1" t="s">
        <v>4402</v>
      </c>
      <c r="F1149" s="1" t="s">
        <v>4403</v>
      </c>
      <c r="G1149" s="1" t="s">
        <v>4404</v>
      </c>
      <c r="H1149" s="1"/>
      <c r="I1149" s="18"/>
      <c r="J1149" s="18"/>
      <c r="K1149" s="18"/>
      <c r="L1149" s="18"/>
      <c r="M1149" s="2">
        <v>2000000</v>
      </c>
      <c r="N1149" s="2">
        <v>2000000</v>
      </c>
      <c r="O1149" s="2"/>
      <c r="P1149" s="2" t="str">
        <f t="shared" si="68"/>
        <v/>
      </c>
      <c r="Q1149" s="2"/>
      <c r="R1149" s="2"/>
      <c r="S1149" s="48"/>
      <c r="T1149" s="2">
        <v>0</v>
      </c>
      <c r="U1149" s="2">
        <v>0</v>
      </c>
      <c r="V1149" s="1"/>
      <c r="W1149" s="6"/>
      <c r="X1149" s="1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>
        <v>2000000</v>
      </c>
      <c r="AL1149" s="3">
        <v>2000000</v>
      </c>
      <c r="AM1149" s="3">
        <v>2000000</v>
      </c>
      <c r="AN1149" s="3">
        <v>2000000</v>
      </c>
      <c r="AO1149" s="3">
        <v>2000000</v>
      </c>
      <c r="AP1149" s="3">
        <v>2000000</v>
      </c>
      <c r="AQ1149" s="3">
        <v>2000000</v>
      </c>
      <c r="AR1149" s="3">
        <v>2000000</v>
      </c>
      <c r="AS1149" s="3">
        <v>2000000</v>
      </c>
      <c r="AT1149" s="3">
        <v>2000000</v>
      </c>
      <c r="AU1149" s="3">
        <v>2000000</v>
      </c>
      <c r="AV1149" s="3">
        <v>2000000</v>
      </c>
      <c r="AW1149" s="3">
        <f t="shared" si="69"/>
        <v>0</v>
      </c>
      <c r="AX1149" s="3">
        <f t="shared" si="70"/>
        <v>24000000</v>
      </c>
      <c r="AY1149" s="4">
        <f t="shared" si="71"/>
        <v>12</v>
      </c>
      <c r="BA1149" s="4" t="s">
        <v>5726</v>
      </c>
      <c r="BB1149" s="2">
        <v>24000000</v>
      </c>
      <c r="BC1149" s="3"/>
      <c r="BD1149" s="3"/>
    </row>
    <row r="1150" spans="1:56" ht="16.8" customHeight="1">
      <c r="A1150" s="1">
        <v>1149</v>
      </c>
      <c r="B1150" s="1" t="s">
        <v>3175</v>
      </c>
      <c r="C1150" s="1" t="s">
        <v>3654</v>
      </c>
      <c r="D1150" s="1" t="s">
        <v>4405</v>
      </c>
      <c r="E1150" s="1" t="s">
        <v>4405</v>
      </c>
      <c r="F1150" s="1" t="s">
        <v>4406</v>
      </c>
      <c r="G1150" s="1" t="s">
        <v>4407</v>
      </c>
      <c r="H1150" s="1" t="s">
        <v>5459</v>
      </c>
      <c r="I1150" s="18" t="s">
        <v>4783</v>
      </c>
      <c r="J1150" s="18" t="s">
        <v>4783</v>
      </c>
      <c r="K1150" s="18" t="s">
        <v>4742</v>
      </c>
      <c r="L1150" s="18" t="s">
        <v>4734</v>
      </c>
      <c r="M1150" s="2">
        <v>1000000</v>
      </c>
      <c r="N1150" s="2">
        <v>1000000</v>
      </c>
      <c r="O1150" s="2"/>
      <c r="P1150" s="2" t="str">
        <f t="shared" si="68"/>
        <v/>
      </c>
      <c r="Q1150" s="2"/>
      <c r="R1150" s="2"/>
      <c r="S1150" s="48"/>
      <c r="T1150" s="2">
        <v>0</v>
      </c>
      <c r="U1150" s="2">
        <v>0</v>
      </c>
      <c r="V1150" s="1" t="s">
        <v>4407</v>
      </c>
      <c r="W1150" s="6" t="s">
        <v>4408</v>
      </c>
      <c r="X1150" s="1" t="s">
        <v>3394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>
        <v>1000000</v>
      </c>
      <c r="AI1150" s="3">
        <v>1000000</v>
      </c>
      <c r="AJ1150" s="3">
        <v>1000000</v>
      </c>
      <c r="AK1150" s="3">
        <v>1000000</v>
      </c>
      <c r="AL1150" s="3">
        <v>1000000</v>
      </c>
      <c r="AM1150" s="3">
        <v>1000000</v>
      </c>
      <c r="AN1150" s="3">
        <v>1000000</v>
      </c>
      <c r="AO1150" s="3">
        <v>1000000</v>
      </c>
      <c r="AP1150" s="3">
        <v>1000000</v>
      </c>
      <c r="AQ1150" s="3"/>
      <c r="AR1150" s="3"/>
      <c r="AS1150" s="3"/>
      <c r="AT1150" s="3"/>
      <c r="AU1150" s="3"/>
      <c r="AV1150" s="3"/>
      <c r="AW1150" s="3">
        <f t="shared" si="69"/>
        <v>3000000</v>
      </c>
      <c r="AX1150" s="3">
        <f t="shared" si="70"/>
        <v>6000000</v>
      </c>
      <c r="AY1150" s="4">
        <f t="shared" si="71"/>
        <v>9</v>
      </c>
      <c r="AZ1150" s="8" t="s">
        <v>5528</v>
      </c>
      <c r="BA1150" s="4" t="s">
        <v>5726</v>
      </c>
      <c r="BB1150" s="2"/>
      <c r="BC1150" s="3"/>
      <c r="BD1150" s="3"/>
    </row>
    <row r="1151" spans="1:56" ht="16.8" customHeight="1">
      <c r="A1151" s="1">
        <v>1150</v>
      </c>
      <c r="B1151" s="1" t="s">
        <v>3175</v>
      </c>
      <c r="C1151" s="1" t="s">
        <v>3654</v>
      </c>
      <c r="D1151" s="1" t="s">
        <v>4409</v>
      </c>
      <c r="E1151" s="1" t="s">
        <v>4409</v>
      </c>
      <c r="F1151" s="1" t="s">
        <v>4410</v>
      </c>
      <c r="G1151" s="1" t="s">
        <v>4411</v>
      </c>
      <c r="H1151" s="1" t="s">
        <v>5460</v>
      </c>
      <c r="I1151" s="18" t="s">
        <v>4783</v>
      </c>
      <c r="J1151" s="18" t="s">
        <v>5392</v>
      </c>
      <c r="K1151" s="18" t="s">
        <v>4742</v>
      </c>
      <c r="L1151" s="18" t="s">
        <v>4734</v>
      </c>
      <c r="M1151" s="2">
        <v>1000000</v>
      </c>
      <c r="N1151" s="2">
        <v>1000000</v>
      </c>
      <c r="O1151" s="2"/>
      <c r="P1151" s="2" t="str">
        <f t="shared" si="68"/>
        <v/>
      </c>
      <c r="Q1151" s="2"/>
      <c r="R1151" s="2"/>
      <c r="S1151" s="48"/>
      <c r="T1151" s="2">
        <v>0</v>
      </c>
      <c r="U1151" s="2">
        <v>0</v>
      </c>
      <c r="V1151" s="1"/>
      <c r="W1151" s="6"/>
      <c r="X1151" s="1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>
        <f t="shared" si="69"/>
        <v>0</v>
      </c>
      <c r="AX1151" s="3">
        <f t="shared" si="70"/>
        <v>0</v>
      </c>
      <c r="AY1151" s="4">
        <f t="shared" si="71"/>
        <v>0</v>
      </c>
      <c r="AZ1151" s="8" t="s">
        <v>5684</v>
      </c>
      <c r="BA1151" s="4" t="s">
        <v>5726</v>
      </c>
      <c r="BB1151" s="2"/>
      <c r="BC1151" s="3"/>
      <c r="BD1151" s="4"/>
    </row>
    <row r="1152" spans="1:56" ht="16.8" customHeight="1">
      <c r="A1152" s="1">
        <v>1151</v>
      </c>
      <c r="B1152" s="1" t="s">
        <v>3175</v>
      </c>
      <c r="C1152" s="1" t="s">
        <v>3176</v>
      </c>
      <c r="D1152" s="1" t="s">
        <v>4391</v>
      </c>
      <c r="E1152" s="1" t="s">
        <v>4391</v>
      </c>
      <c r="F1152" s="1" t="s">
        <v>4392</v>
      </c>
      <c r="G1152" s="1" t="s">
        <v>4412</v>
      </c>
      <c r="H1152" s="1"/>
      <c r="I1152" s="18"/>
      <c r="J1152" s="18"/>
      <c r="K1152" s="18"/>
      <c r="L1152" s="18"/>
      <c r="M1152" s="2">
        <v>2000000</v>
      </c>
      <c r="N1152" s="2">
        <v>2000000</v>
      </c>
      <c r="O1152" s="2"/>
      <c r="P1152" s="2" t="str">
        <f t="shared" si="68"/>
        <v/>
      </c>
      <c r="Q1152" s="2"/>
      <c r="R1152" s="2"/>
      <c r="S1152" s="48"/>
      <c r="T1152" s="2">
        <v>0</v>
      </c>
      <c r="U1152" s="2">
        <v>0</v>
      </c>
      <c r="V1152" s="1"/>
      <c r="W1152" s="6"/>
      <c r="X1152" s="1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>
        <f t="shared" si="69"/>
        <v>0</v>
      </c>
      <c r="AX1152" s="3">
        <f t="shared" si="70"/>
        <v>0</v>
      </c>
      <c r="AY1152" s="4">
        <f t="shared" si="71"/>
        <v>0</v>
      </c>
      <c r="BA1152" s="4" t="s">
        <v>5726</v>
      </c>
      <c r="BB1152" s="2"/>
      <c r="BC1152" s="3"/>
      <c r="BD1152" s="4"/>
    </row>
    <row r="1153" spans="1:56" ht="16.8" customHeight="1">
      <c r="A1153" s="1">
        <v>1152</v>
      </c>
      <c r="B1153" s="1" t="s">
        <v>42</v>
      </c>
      <c r="C1153" s="1"/>
      <c r="D1153" s="16" t="s">
        <v>4413</v>
      </c>
      <c r="E1153" s="16" t="s">
        <v>4413</v>
      </c>
      <c r="F1153" s="1" t="s">
        <v>1805</v>
      </c>
      <c r="G1153" s="1" t="s">
        <v>63</v>
      </c>
      <c r="H1153" s="1"/>
      <c r="I1153" s="18"/>
      <c r="J1153" s="18"/>
      <c r="K1153" s="18"/>
      <c r="L1153" s="18"/>
      <c r="M1153" s="2">
        <v>0</v>
      </c>
      <c r="N1153" s="2">
        <v>0</v>
      </c>
      <c r="O1153" s="2"/>
      <c r="P1153" s="2" t="str">
        <f t="shared" si="68"/>
        <v/>
      </c>
      <c r="Q1153" s="2"/>
      <c r="R1153" s="2"/>
      <c r="S1153" s="48"/>
      <c r="T1153" s="2">
        <v>0</v>
      </c>
      <c r="U1153" s="2">
        <v>0</v>
      </c>
      <c r="V1153" s="1" t="s">
        <v>63</v>
      </c>
      <c r="W1153" s="6" t="s">
        <v>64</v>
      </c>
      <c r="X1153" s="1" t="s">
        <v>65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>
        <f t="shared" si="69"/>
        <v>0</v>
      </c>
      <c r="AX1153" s="3">
        <f t="shared" si="70"/>
        <v>0</v>
      </c>
      <c r="AY1153" s="4">
        <f t="shared" si="71"/>
        <v>0</v>
      </c>
      <c r="BA1153" s="4" t="s">
        <v>5726</v>
      </c>
      <c r="BB1153" s="2"/>
      <c r="BC1153" s="3"/>
      <c r="BD1153" s="4"/>
    </row>
    <row r="1154" spans="1:56" ht="16.8" customHeight="1">
      <c r="A1154" s="1">
        <v>1153</v>
      </c>
      <c r="B1154" s="1" t="s">
        <v>1816</v>
      </c>
      <c r="C1154" s="1"/>
      <c r="D1154" s="16" t="s">
        <v>4414</v>
      </c>
      <c r="E1154" s="16" t="s">
        <v>4414</v>
      </c>
      <c r="F1154" s="1"/>
      <c r="G1154" s="1" t="s">
        <v>4415</v>
      </c>
      <c r="H1154" s="1" t="s">
        <v>5461</v>
      </c>
      <c r="I1154" s="18" t="s">
        <v>5258</v>
      </c>
      <c r="J1154" s="18" t="s">
        <v>5018</v>
      </c>
      <c r="K1154" s="18" t="s">
        <v>4748</v>
      </c>
      <c r="L1154" s="18" t="s">
        <v>4734</v>
      </c>
      <c r="M1154" s="2"/>
      <c r="N1154" s="2">
        <v>1600000</v>
      </c>
      <c r="O1154" s="2"/>
      <c r="P1154" s="2" t="str">
        <f t="shared" ref="P1154:P1171" si="72">IF(OR(M1154="",N1154="",M1154=N1154),"",N1154-M1154)</f>
        <v/>
      </c>
      <c r="Q1154" s="2"/>
      <c r="R1154" s="2"/>
      <c r="S1154" s="48"/>
      <c r="T1154" s="2">
        <v>0</v>
      </c>
      <c r="U1154" s="2">
        <v>0</v>
      </c>
      <c r="V1154" s="1" t="s">
        <v>4415</v>
      </c>
      <c r="W1154" s="6" t="s">
        <v>4416</v>
      </c>
      <c r="X1154" s="1" t="s">
        <v>1422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>
        <f t="shared" ref="AW1154:AW1171" si="73">SUM(Y1154:AJ1154)</f>
        <v>0</v>
      </c>
      <c r="AX1154" s="3">
        <f t="shared" ref="AX1154:AX1171" si="74">SUM(AK1154:AV1154)</f>
        <v>0</v>
      </c>
      <c r="AY1154" s="4">
        <f t="shared" ref="AY1154:AY1171" si="75">COUNT(Y1154:AV1154)</f>
        <v>0</v>
      </c>
      <c r="AZ1154" s="8" t="s">
        <v>5628</v>
      </c>
      <c r="BA1154" s="4" t="s">
        <v>5726</v>
      </c>
      <c r="BB1154" s="2"/>
      <c r="BC1154" s="3"/>
      <c r="BD1154" s="4"/>
    </row>
    <row r="1155" spans="1:56" ht="16.8" customHeight="1">
      <c r="A1155" s="1">
        <v>1154</v>
      </c>
      <c r="B1155" s="1" t="s">
        <v>1816</v>
      </c>
      <c r="C1155" s="1"/>
      <c r="D1155" s="16" t="s">
        <v>4417</v>
      </c>
      <c r="E1155" s="16" t="s">
        <v>4417</v>
      </c>
      <c r="F1155" s="1"/>
      <c r="G1155" s="1" t="s">
        <v>4418</v>
      </c>
      <c r="H1155" s="1" t="s">
        <v>5462</v>
      </c>
      <c r="I1155" s="18" t="s">
        <v>5258</v>
      </c>
      <c r="J1155" s="18" t="s">
        <v>5018</v>
      </c>
      <c r="K1155" s="18" t="s">
        <v>5463</v>
      </c>
      <c r="L1155" s="18" t="s">
        <v>4734</v>
      </c>
      <c r="M1155" s="2"/>
      <c r="N1155" s="2">
        <v>1500000</v>
      </c>
      <c r="O1155" s="2"/>
      <c r="P1155" s="2" t="str">
        <f t="shared" si="72"/>
        <v/>
      </c>
      <c r="Q1155" s="2"/>
      <c r="R1155" s="2"/>
      <c r="S1155" s="48"/>
      <c r="T1155" s="2">
        <v>0</v>
      </c>
      <c r="U1155" s="2">
        <v>0</v>
      </c>
      <c r="V1155" s="1" t="s">
        <v>4419</v>
      </c>
      <c r="W1155" s="6" t="s">
        <v>4420</v>
      </c>
      <c r="X1155" s="1" t="s">
        <v>154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>
        <f t="shared" si="73"/>
        <v>0</v>
      </c>
      <c r="AX1155" s="3">
        <f t="shared" si="74"/>
        <v>0</v>
      </c>
      <c r="AY1155" s="4">
        <f t="shared" si="75"/>
        <v>0</v>
      </c>
      <c r="AZ1155" s="8">
        <v>0</v>
      </c>
      <c r="BA1155" s="4" t="s">
        <v>5726</v>
      </c>
      <c r="BB1155" s="2"/>
      <c r="BC1155" s="3"/>
      <c r="BD1155" s="4"/>
    </row>
    <row r="1156" spans="1:56" ht="16.8" customHeight="1">
      <c r="A1156" s="1">
        <v>1155</v>
      </c>
      <c r="B1156" s="1" t="s">
        <v>1816</v>
      </c>
      <c r="C1156" s="1"/>
      <c r="D1156" s="16" t="s">
        <v>4421</v>
      </c>
      <c r="E1156" s="16" t="s">
        <v>4421</v>
      </c>
      <c r="F1156" s="1"/>
      <c r="G1156" s="1" t="s">
        <v>4404</v>
      </c>
      <c r="H1156" s="1" t="s">
        <v>4422</v>
      </c>
      <c r="I1156" s="18" t="s">
        <v>4783</v>
      </c>
      <c r="J1156" s="18" t="s">
        <v>5225</v>
      </c>
      <c r="K1156" s="18" t="s">
        <v>4742</v>
      </c>
      <c r="L1156" s="18" t="s">
        <v>4734</v>
      </c>
      <c r="M1156" s="2"/>
      <c r="N1156" s="2">
        <v>2000000</v>
      </c>
      <c r="O1156" s="2"/>
      <c r="P1156" s="2" t="str">
        <f t="shared" si="72"/>
        <v/>
      </c>
      <c r="Q1156" s="2"/>
      <c r="R1156" s="2"/>
      <c r="S1156" s="48"/>
      <c r="T1156" s="2">
        <v>0</v>
      </c>
      <c r="U1156" s="2">
        <v>0</v>
      </c>
      <c r="V1156" s="1" t="s">
        <v>4404</v>
      </c>
      <c r="W1156" s="6" t="s">
        <v>4423</v>
      </c>
      <c r="X1156" s="1" t="s">
        <v>3315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>
        <f t="shared" si="73"/>
        <v>0</v>
      </c>
      <c r="AX1156" s="3">
        <f t="shared" si="74"/>
        <v>0</v>
      </c>
      <c r="AY1156" s="4">
        <f t="shared" si="75"/>
        <v>0</v>
      </c>
      <c r="AZ1156" s="8" t="s">
        <v>5684</v>
      </c>
      <c r="BA1156" s="4" t="s">
        <v>5726</v>
      </c>
      <c r="BB1156" s="2"/>
      <c r="BC1156" s="3"/>
      <c r="BD1156" s="4"/>
    </row>
    <row r="1157" spans="1:56" ht="16.8" customHeight="1">
      <c r="A1157" s="1">
        <v>1156</v>
      </c>
      <c r="B1157" s="1" t="s">
        <v>1816</v>
      </c>
      <c r="C1157" s="1"/>
      <c r="D1157" s="16" t="s">
        <v>4424</v>
      </c>
      <c r="E1157" s="16" t="s">
        <v>4424</v>
      </c>
      <c r="F1157" s="1"/>
      <c r="G1157" s="1" t="s">
        <v>4425</v>
      </c>
      <c r="H1157" s="1" t="s">
        <v>5464</v>
      </c>
      <c r="I1157" s="18" t="s">
        <v>5465</v>
      </c>
      <c r="J1157" s="18" t="s">
        <v>5466</v>
      </c>
      <c r="K1157" s="18" t="s">
        <v>5467</v>
      </c>
      <c r="L1157" s="18" t="s">
        <v>4734</v>
      </c>
      <c r="M1157" s="2"/>
      <c r="N1157" s="2">
        <v>6000000</v>
      </c>
      <c r="O1157" s="2"/>
      <c r="P1157" s="2" t="str">
        <f t="shared" si="72"/>
        <v/>
      </c>
      <c r="Q1157" s="2"/>
      <c r="R1157" s="2"/>
      <c r="S1157" s="48"/>
      <c r="T1157" s="2">
        <v>0</v>
      </c>
      <c r="U1157" s="2">
        <v>0</v>
      </c>
      <c r="V1157" s="1" t="s">
        <v>4425</v>
      </c>
      <c r="W1157" s="6" t="s">
        <v>4426</v>
      </c>
      <c r="X1157" s="1" t="s">
        <v>4427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>
        <v>4000000</v>
      </c>
      <c r="AL1157" s="3">
        <v>4000000</v>
      </c>
      <c r="AM1157" s="3">
        <v>4000000</v>
      </c>
      <c r="AN1157" s="3">
        <v>4000000</v>
      </c>
      <c r="AO1157" s="3">
        <v>4000000</v>
      </c>
      <c r="AP1157" s="3">
        <v>4000000</v>
      </c>
      <c r="AQ1157" s="3">
        <v>4000000</v>
      </c>
      <c r="AR1157" s="3">
        <v>4000000</v>
      </c>
      <c r="AS1157" s="3">
        <v>4000000</v>
      </c>
      <c r="AT1157" s="3">
        <v>4000000</v>
      </c>
      <c r="AU1157" s="3">
        <v>4000000</v>
      </c>
      <c r="AV1157" s="3">
        <v>4000000</v>
      </c>
      <c r="AW1157" s="3">
        <f t="shared" si="73"/>
        <v>0</v>
      </c>
      <c r="AX1157" s="3">
        <f t="shared" si="74"/>
        <v>48000000</v>
      </c>
      <c r="AY1157" s="4">
        <f t="shared" si="75"/>
        <v>12</v>
      </c>
      <c r="AZ1157" s="8" t="s">
        <v>5528</v>
      </c>
      <c r="BA1157" s="4" t="s">
        <v>5726</v>
      </c>
      <c r="BB1157" s="2"/>
      <c r="BC1157" s="3"/>
      <c r="BD1157" s="3"/>
    </row>
    <row r="1158" spans="1:56" ht="16.8" customHeight="1">
      <c r="A1158" s="1">
        <v>1157</v>
      </c>
      <c r="B1158" s="1" t="s">
        <v>1816</v>
      </c>
      <c r="C1158" s="1"/>
      <c r="D1158" s="16" t="s">
        <v>4428</v>
      </c>
      <c r="E1158" s="16" t="s">
        <v>4428</v>
      </c>
      <c r="F1158" s="1"/>
      <c r="G1158" s="1" t="s">
        <v>4429</v>
      </c>
      <c r="H1158" s="1" t="s">
        <v>5468</v>
      </c>
      <c r="I1158" s="18" t="s">
        <v>5469</v>
      </c>
      <c r="J1158" s="18" t="s">
        <v>5466</v>
      </c>
      <c r="K1158" s="18" t="s">
        <v>5470</v>
      </c>
      <c r="L1158" s="18" t="s">
        <v>4734</v>
      </c>
      <c r="M1158" s="2"/>
      <c r="N1158" s="2">
        <v>5500000</v>
      </c>
      <c r="O1158" s="2"/>
      <c r="P1158" s="2" t="str">
        <f t="shared" si="72"/>
        <v/>
      </c>
      <c r="Q1158" s="2"/>
      <c r="R1158" s="2"/>
      <c r="S1158" s="48"/>
      <c r="T1158" s="2">
        <v>0</v>
      </c>
      <c r="U1158" s="2">
        <v>0</v>
      </c>
      <c r="V1158" s="1" t="s">
        <v>4429</v>
      </c>
      <c r="W1158" s="6" t="s">
        <v>4430</v>
      </c>
      <c r="X1158" s="1" t="s">
        <v>4431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>
        <v>5500000</v>
      </c>
      <c r="AL1158" s="3">
        <v>5500000</v>
      </c>
      <c r="AM1158" s="3">
        <v>5500000</v>
      </c>
      <c r="AN1158" s="3">
        <v>5500000</v>
      </c>
      <c r="AO1158" s="3">
        <v>5500000</v>
      </c>
      <c r="AP1158" s="3">
        <v>5500000</v>
      </c>
      <c r="AQ1158" s="3">
        <v>5500000</v>
      </c>
      <c r="AR1158" s="3">
        <v>5500000</v>
      </c>
      <c r="AS1158" s="3"/>
      <c r="AT1158" s="3"/>
      <c r="AU1158" s="3"/>
      <c r="AV1158" s="3"/>
      <c r="AW1158" s="3">
        <f t="shared" si="73"/>
        <v>0</v>
      </c>
      <c r="AX1158" s="3">
        <f t="shared" si="74"/>
        <v>44000000</v>
      </c>
      <c r="AY1158" s="4">
        <f t="shared" si="75"/>
        <v>8</v>
      </c>
      <c r="AZ1158" s="8">
        <v>0</v>
      </c>
      <c r="BA1158" s="4" t="s">
        <v>5726</v>
      </c>
      <c r="BB1158" s="2"/>
      <c r="BC1158" s="3"/>
      <c r="BD1158" s="3"/>
    </row>
    <row r="1159" spans="1:56" ht="16.8" customHeight="1">
      <c r="A1159" s="1">
        <v>1158</v>
      </c>
      <c r="B1159" s="1" t="s">
        <v>1816</v>
      </c>
      <c r="C1159" s="1"/>
      <c r="D1159" s="16" t="s">
        <v>4432</v>
      </c>
      <c r="E1159" s="16" t="s">
        <v>4432</v>
      </c>
      <c r="F1159" s="1"/>
      <c r="G1159" s="1" t="s">
        <v>4433</v>
      </c>
      <c r="H1159" s="1" t="s">
        <v>5471</v>
      </c>
      <c r="I1159" s="18" t="s">
        <v>5472</v>
      </c>
      <c r="J1159" s="18" t="s">
        <v>5472</v>
      </c>
      <c r="K1159" s="18" t="s">
        <v>5473</v>
      </c>
      <c r="L1159" s="18" t="s">
        <v>4734</v>
      </c>
      <c r="M1159" s="2"/>
      <c r="N1159" s="2">
        <v>6600000</v>
      </c>
      <c r="O1159" s="2"/>
      <c r="P1159" s="2" t="str">
        <f t="shared" si="72"/>
        <v/>
      </c>
      <c r="Q1159" s="2"/>
      <c r="R1159" s="2"/>
      <c r="S1159" s="48"/>
      <c r="T1159" s="2">
        <v>0</v>
      </c>
      <c r="U1159" s="2">
        <v>0</v>
      </c>
      <c r="V1159" s="1" t="s">
        <v>4433</v>
      </c>
      <c r="W1159" s="6" t="s">
        <v>4434</v>
      </c>
      <c r="X1159" s="1" t="s">
        <v>4435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>
        <v>6600000</v>
      </c>
      <c r="AL1159" s="3">
        <v>6600000</v>
      </c>
      <c r="AM1159" s="3">
        <v>6600000</v>
      </c>
      <c r="AN1159" s="3">
        <v>6600000</v>
      </c>
      <c r="AO1159" s="3">
        <v>6600000</v>
      </c>
      <c r="AP1159" s="3">
        <v>6600000</v>
      </c>
      <c r="AQ1159" s="3">
        <v>6600000</v>
      </c>
      <c r="AR1159" s="3">
        <v>6600000</v>
      </c>
      <c r="AS1159" s="3">
        <v>6600000</v>
      </c>
      <c r="AT1159" s="3"/>
      <c r="AU1159" s="3"/>
      <c r="AV1159" s="3"/>
      <c r="AW1159" s="3">
        <f t="shared" si="73"/>
        <v>0</v>
      </c>
      <c r="AX1159" s="3">
        <f t="shared" si="74"/>
        <v>59400000</v>
      </c>
      <c r="AY1159" s="4">
        <f t="shared" si="75"/>
        <v>9</v>
      </c>
      <c r="AZ1159" s="8">
        <v>0</v>
      </c>
      <c r="BA1159" s="4" t="s">
        <v>5726</v>
      </c>
      <c r="BB1159" s="2"/>
      <c r="BC1159" s="3"/>
      <c r="BD1159" s="3"/>
    </row>
    <row r="1160" spans="1:56" ht="16.8" customHeight="1">
      <c r="A1160" s="1">
        <v>1159</v>
      </c>
      <c r="B1160" s="1" t="s">
        <v>1816</v>
      </c>
      <c r="C1160" s="1"/>
      <c r="D1160" s="16" t="s">
        <v>4436</v>
      </c>
      <c r="E1160" s="16" t="s">
        <v>4436</v>
      </c>
      <c r="F1160" s="1"/>
      <c r="G1160" s="1" t="s">
        <v>4425</v>
      </c>
      <c r="H1160" s="1" t="s">
        <v>5474</v>
      </c>
      <c r="I1160" s="18" t="s">
        <v>5465</v>
      </c>
      <c r="J1160" s="18" t="s">
        <v>5466</v>
      </c>
      <c r="K1160" s="18" t="s">
        <v>5467</v>
      </c>
      <c r="L1160" s="18" t="s">
        <v>4734</v>
      </c>
      <c r="M1160" s="2"/>
      <c r="N1160" s="2">
        <v>6000000</v>
      </c>
      <c r="O1160" s="2"/>
      <c r="P1160" s="2" t="str">
        <f t="shared" si="72"/>
        <v/>
      </c>
      <c r="Q1160" s="2"/>
      <c r="R1160" s="2"/>
      <c r="S1160" s="48"/>
      <c r="T1160" s="2">
        <v>0</v>
      </c>
      <c r="U1160" s="2">
        <v>0</v>
      </c>
      <c r="V1160" s="1" t="s">
        <v>4425</v>
      </c>
      <c r="W1160" s="6" t="s">
        <v>4426</v>
      </c>
      <c r="X1160" s="1" t="s">
        <v>4427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>
        <v>6000000</v>
      </c>
      <c r="AP1160" s="3">
        <v>6000000</v>
      </c>
      <c r="AQ1160" s="3">
        <v>6000000</v>
      </c>
      <c r="AR1160" s="3">
        <v>6000000</v>
      </c>
      <c r="AS1160" s="3">
        <v>6000000</v>
      </c>
      <c r="AT1160" s="3">
        <v>6000000</v>
      </c>
      <c r="AU1160" s="3">
        <v>6000000</v>
      </c>
      <c r="AV1160" s="3">
        <v>6000000</v>
      </c>
      <c r="AW1160" s="3">
        <f t="shared" si="73"/>
        <v>0</v>
      </c>
      <c r="AX1160" s="3">
        <f t="shared" si="74"/>
        <v>48000000</v>
      </c>
      <c r="AY1160" s="4">
        <f t="shared" si="75"/>
        <v>8</v>
      </c>
      <c r="AZ1160" s="8" t="s">
        <v>5528</v>
      </c>
      <c r="BA1160" s="4" t="s">
        <v>5726</v>
      </c>
      <c r="BB1160" s="2"/>
      <c r="BC1160" s="3"/>
      <c r="BD1160" s="3"/>
    </row>
    <row r="1161" spans="1:56" ht="16.8" customHeight="1">
      <c r="A1161" s="1">
        <v>1160</v>
      </c>
      <c r="B1161" s="1" t="s">
        <v>1816</v>
      </c>
      <c r="C1161" s="1"/>
      <c r="D1161" s="16" t="s">
        <v>4437</v>
      </c>
      <c r="E1161" s="16" t="s">
        <v>4437</v>
      </c>
      <c r="F1161" s="1"/>
      <c r="G1161" s="1" t="s">
        <v>4438</v>
      </c>
      <c r="H1161" s="1" t="s">
        <v>5475</v>
      </c>
      <c r="I1161" s="18" t="s">
        <v>5465</v>
      </c>
      <c r="J1161" s="18" t="s">
        <v>5466</v>
      </c>
      <c r="K1161" s="18" t="s">
        <v>5476</v>
      </c>
      <c r="L1161" s="18" t="s">
        <v>4734</v>
      </c>
      <c r="M1161" s="2"/>
      <c r="N1161" s="2">
        <v>5500000</v>
      </c>
      <c r="O1161" s="2"/>
      <c r="P1161" s="2" t="str">
        <f t="shared" si="72"/>
        <v/>
      </c>
      <c r="Q1161" s="2"/>
      <c r="R1161" s="2"/>
      <c r="S1161" s="48"/>
      <c r="T1161" s="2">
        <v>0</v>
      </c>
      <c r="U1161" s="2">
        <v>0</v>
      </c>
      <c r="V1161" s="1" t="s">
        <v>4438</v>
      </c>
      <c r="W1161" s="6" t="s">
        <v>4439</v>
      </c>
      <c r="X1161" s="1" t="s">
        <v>4440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>
        <v>5500000</v>
      </c>
      <c r="AL1161" s="3">
        <v>5500000</v>
      </c>
      <c r="AM1161" s="3">
        <v>5500000</v>
      </c>
      <c r="AN1161" s="3">
        <v>5500000</v>
      </c>
      <c r="AO1161" s="3">
        <v>5500000</v>
      </c>
      <c r="AP1161" s="3">
        <v>5500000</v>
      </c>
      <c r="AQ1161" s="3">
        <v>5500000</v>
      </c>
      <c r="AR1161" s="3">
        <v>5500000</v>
      </c>
      <c r="AS1161" s="3"/>
      <c r="AT1161" s="3"/>
      <c r="AU1161" s="3"/>
      <c r="AV1161" s="3"/>
      <c r="AW1161" s="3">
        <f t="shared" si="73"/>
        <v>0</v>
      </c>
      <c r="AX1161" s="3">
        <f t="shared" si="74"/>
        <v>44000000</v>
      </c>
      <c r="AY1161" s="4">
        <f t="shared" si="75"/>
        <v>8</v>
      </c>
      <c r="AZ1161" s="8" t="s">
        <v>5660</v>
      </c>
      <c r="BA1161" s="4" t="s">
        <v>5726</v>
      </c>
      <c r="BB1161" s="2"/>
      <c r="BC1161" s="3"/>
      <c r="BD1161" s="3"/>
    </row>
    <row r="1162" spans="1:56" ht="16.8" customHeight="1">
      <c r="A1162" s="1">
        <v>1161</v>
      </c>
      <c r="B1162" s="1" t="s">
        <v>1816</v>
      </c>
      <c r="C1162" s="1"/>
      <c r="D1162" s="16" t="s">
        <v>4441</v>
      </c>
      <c r="E1162" s="16" t="s">
        <v>4441</v>
      </c>
      <c r="F1162" s="1"/>
      <c r="G1162" s="1" t="s">
        <v>3652</v>
      </c>
      <c r="H1162" s="1" t="s">
        <v>5477</v>
      </c>
      <c r="I1162" s="18" t="s">
        <v>5411</v>
      </c>
      <c r="J1162" s="18" t="s">
        <v>5411</v>
      </c>
      <c r="K1162" s="18" t="s">
        <v>4748</v>
      </c>
      <c r="L1162" s="18" t="s">
        <v>4734</v>
      </c>
      <c r="M1162" s="2"/>
      <c r="N1162" s="2">
        <v>4500000</v>
      </c>
      <c r="O1162" s="2"/>
      <c r="P1162" s="2" t="str">
        <f t="shared" si="72"/>
        <v/>
      </c>
      <c r="Q1162" s="2"/>
      <c r="R1162" s="2"/>
      <c r="S1162" s="48"/>
      <c r="T1162" s="2">
        <v>0</v>
      </c>
      <c r="U1162" s="2">
        <v>0</v>
      </c>
      <c r="V1162" s="1" t="s">
        <v>3652</v>
      </c>
      <c r="W1162" s="6" t="s">
        <v>4442</v>
      </c>
      <c r="X1162" s="1" t="s">
        <v>4443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>
        <v>4500000</v>
      </c>
      <c r="AO1162" s="3">
        <v>4500000</v>
      </c>
      <c r="AP1162" s="3">
        <v>4500000</v>
      </c>
      <c r="AQ1162" s="3">
        <v>4500000</v>
      </c>
      <c r="AR1162" s="3">
        <v>4500000</v>
      </c>
      <c r="AS1162" s="3">
        <v>4500000</v>
      </c>
      <c r="AT1162" s="3">
        <v>4500000</v>
      </c>
      <c r="AU1162" s="3">
        <v>4500000</v>
      </c>
      <c r="AV1162" s="3">
        <v>4500000</v>
      </c>
      <c r="AW1162" s="3">
        <f t="shared" si="73"/>
        <v>0</v>
      </c>
      <c r="AX1162" s="3">
        <f t="shared" si="74"/>
        <v>40500000</v>
      </c>
      <c r="AY1162" s="4">
        <f t="shared" si="75"/>
        <v>9</v>
      </c>
      <c r="AZ1162" s="8" t="s">
        <v>5647</v>
      </c>
      <c r="BA1162" s="4" t="s">
        <v>5726</v>
      </c>
      <c r="BB1162" s="2"/>
      <c r="BC1162" s="3"/>
      <c r="BD1162" s="3"/>
    </row>
    <row r="1163" spans="1:56" ht="16.8" customHeight="1">
      <c r="A1163" s="1">
        <v>1162</v>
      </c>
      <c r="B1163" s="1" t="s">
        <v>1816</v>
      </c>
      <c r="C1163" s="1"/>
      <c r="D1163" s="16" t="s">
        <v>4444</v>
      </c>
      <c r="E1163" s="16" t="s">
        <v>4444</v>
      </c>
      <c r="F1163" s="1" t="s">
        <v>4445</v>
      </c>
      <c r="G1163" s="1" t="s">
        <v>4446</v>
      </c>
      <c r="H1163" s="1"/>
      <c r="I1163" s="18"/>
      <c r="J1163" s="18"/>
      <c r="K1163" s="18"/>
      <c r="L1163" s="18"/>
      <c r="M1163" s="2">
        <v>4000000</v>
      </c>
      <c r="N1163" s="2">
        <v>4000000</v>
      </c>
      <c r="O1163" s="2"/>
      <c r="P1163" s="2" t="str">
        <f t="shared" si="72"/>
        <v/>
      </c>
      <c r="Q1163" s="2"/>
      <c r="R1163" s="2"/>
      <c r="S1163" s="48"/>
      <c r="T1163" s="2">
        <v>0</v>
      </c>
      <c r="U1163" s="2">
        <v>0</v>
      </c>
      <c r="V1163" s="1" t="s">
        <v>4446</v>
      </c>
      <c r="W1163" s="6" t="s">
        <v>4447</v>
      </c>
      <c r="X1163" s="1" t="s">
        <v>101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>
        <v>4000000</v>
      </c>
      <c r="AI1163" s="3">
        <v>4000000</v>
      </c>
      <c r="AJ1163" s="3">
        <v>4000000</v>
      </c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>
        <f t="shared" si="73"/>
        <v>12000000</v>
      </c>
      <c r="AX1163" s="3">
        <f t="shared" si="74"/>
        <v>0</v>
      </c>
      <c r="AY1163" s="4">
        <f t="shared" si="75"/>
        <v>3</v>
      </c>
      <c r="BA1163" s="4" t="s">
        <v>5712</v>
      </c>
      <c r="BB1163" s="2"/>
      <c r="BC1163" s="3"/>
      <c r="BD1163" s="3"/>
    </row>
    <row r="1164" spans="1:56" ht="16.8" customHeight="1">
      <c r="A1164" s="1">
        <v>1163</v>
      </c>
      <c r="B1164" s="1" t="s">
        <v>1816</v>
      </c>
      <c r="C1164" s="1"/>
      <c r="D1164" s="16" t="s">
        <v>4448</v>
      </c>
      <c r="E1164" s="16" t="s">
        <v>4448</v>
      </c>
      <c r="F1164" s="1" t="s">
        <v>4449</v>
      </c>
      <c r="G1164" s="1" t="s">
        <v>3132</v>
      </c>
      <c r="H1164" s="1" t="s">
        <v>3133</v>
      </c>
      <c r="I1164" s="18" t="s">
        <v>5478</v>
      </c>
      <c r="J1164" s="18" t="s">
        <v>5018</v>
      </c>
      <c r="K1164" s="18" t="s">
        <v>5479</v>
      </c>
      <c r="L1164" s="18" t="s">
        <v>4734</v>
      </c>
      <c r="M1164" s="2"/>
      <c r="N1164" s="2">
        <v>3500000</v>
      </c>
      <c r="O1164" s="2"/>
      <c r="P1164" s="2" t="str">
        <f t="shared" si="72"/>
        <v/>
      </c>
      <c r="Q1164" s="2"/>
      <c r="R1164" s="2"/>
      <c r="S1164" s="48"/>
      <c r="T1164" s="2">
        <v>0</v>
      </c>
      <c r="U1164" s="2">
        <v>0</v>
      </c>
      <c r="V1164" s="1" t="s">
        <v>3132</v>
      </c>
      <c r="W1164" s="6" t="s">
        <v>4450</v>
      </c>
      <c r="X1164" s="1" t="s">
        <v>324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>
        <f t="shared" si="73"/>
        <v>0</v>
      </c>
      <c r="AX1164" s="3">
        <f t="shared" si="74"/>
        <v>0</v>
      </c>
      <c r="AY1164" s="4">
        <f t="shared" si="75"/>
        <v>0</v>
      </c>
      <c r="AZ1164" s="8">
        <v>0</v>
      </c>
      <c r="BA1164" s="4" t="s">
        <v>5726</v>
      </c>
      <c r="BB1164" s="2"/>
      <c r="BC1164" s="3"/>
      <c r="BD1164" s="4"/>
    </row>
    <row r="1165" spans="1:56" ht="16.8" customHeight="1">
      <c r="A1165" s="1">
        <v>1164</v>
      </c>
      <c r="B1165" s="1" t="s">
        <v>1816</v>
      </c>
      <c r="C1165" s="1"/>
      <c r="D1165" s="16" t="s">
        <v>4451</v>
      </c>
      <c r="E1165" s="16" t="s">
        <v>4451</v>
      </c>
      <c r="F1165" s="1" t="s">
        <v>4452</v>
      </c>
      <c r="G1165" s="1" t="s">
        <v>4453</v>
      </c>
      <c r="H1165" s="1" t="s">
        <v>4607</v>
      </c>
      <c r="I1165" s="18" t="s">
        <v>5480</v>
      </c>
      <c r="J1165" s="18" t="s">
        <v>5480</v>
      </c>
      <c r="K1165" s="18" t="s">
        <v>5481</v>
      </c>
      <c r="L1165" s="18" t="s">
        <v>4734</v>
      </c>
      <c r="M1165" s="2"/>
      <c r="N1165" s="2">
        <v>3500000</v>
      </c>
      <c r="O1165" s="2"/>
      <c r="P1165" s="2" t="str">
        <f t="shared" si="72"/>
        <v/>
      </c>
      <c r="Q1165" s="2"/>
      <c r="R1165" s="2"/>
      <c r="S1165" s="48"/>
      <c r="T1165" s="2">
        <v>0</v>
      </c>
      <c r="U1165" s="2">
        <v>0</v>
      </c>
      <c r="V1165" s="1" t="s">
        <v>4453</v>
      </c>
      <c r="W1165" s="6" t="s">
        <v>4454</v>
      </c>
      <c r="X1165" s="1" t="s">
        <v>2258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>
        <v>3500000</v>
      </c>
      <c r="AO1165" s="3">
        <v>3500000</v>
      </c>
      <c r="AP1165" s="3">
        <v>3500000</v>
      </c>
      <c r="AQ1165" s="3">
        <v>3500000</v>
      </c>
      <c r="AR1165" s="3">
        <v>3500000</v>
      </c>
      <c r="AS1165" s="3">
        <v>3500000</v>
      </c>
      <c r="AT1165" s="3">
        <v>3500000</v>
      </c>
      <c r="AU1165" s="3">
        <v>3500000</v>
      </c>
      <c r="AV1165" s="3">
        <v>3500000</v>
      </c>
      <c r="AW1165" s="3">
        <f t="shared" si="73"/>
        <v>0</v>
      </c>
      <c r="AX1165" s="3">
        <f t="shared" si="74"/>
        <v>31500000</v>
      </c>
      <c r="AY1165" s="4">
        <f t="shared" si="75"/>
        <v>9</v>
      </c>
      <c r="AZ1165" s="8" t="s">
        <v>5706</v>
      </c>
      <c r="BA1165" s="4" t="s">
        <v>5713</v>
      </c>
      <c r="BB1165" s="2"/>
      <c r="BC1165" s="3"/>
      <c r="BD1165" s="3"/>
    </row>
    <row r="1166" spans="1:56" ht="16.8" customHeight="1">
      <c r="A1166" s="1">
        <v>1165</v>
      </c>
      <c r="B1166" s="1" t="s">
        <v>3175</v>
      </c>
      <c r="C1166" s="1"/>
      <c r="D1166" s="16" t="s">
        <v>4455</v>
      </c>
      <c r="E1166" s="16" t="s">
        <v>4455</v>
      </c>
      <c r="F1166" s="1" t="s">
        <v>4456</v>
      </c>
      <c r="G1166" s="1" t="s">
        <v>4061</v>
      </c>
      <c r="H1166" s="1" t="s">
        <v>4457</v>
      </c>
      <c r="I1166" s="18" t="s">
        <v>4783</v>
      </c>
      <c r="J1166" s="18" t="s">
        <v>5018</v>
      </c>
      <c r="K1166" s="18" t="s">
        <v>4748</v>
      </c>
      <c r="L1166" s="18" t="s">
        <v>4734</v>
      </c>
      <c r="M1166" s="2"/>
      <c r="N1166" s="2">
        <v>3800000</v>
      </c>
      <c r="O1166" s="2"/>
      <c r="P1166" s="2" t="str">
        <f t="shared" si="72"/>
        <v/>
      </c>
      <c r="Q1166" s="2"/>
      <c r="R1166" s="2"/>
      <c r="S1166" s="48"/>
      <c r="T1166" s="2">
        <v>0</v>
      </c>
      <c r="U1166" s="2">
        <v>0</v>
      </c>
      <c r="V1166" s="1" t="s">
        <v>4061</v>
      </c>
      <c r="W1166" s="6" t="s">
        <v>4062</v>
      </c>
      <c r="X1166" s="1" t="s">
        <v>4063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>
        <v>3800000</v>
      </c>
      <c r="AL1166" s="3">
        <v>3800000</v>
      </c>
      <c r="AM1166" s="3">
        <v>3800000</v>
      </c>
      <c r="AN1166" s="3">
        <v>3800000</v>
      </c>
      <c r="AO1166" s="3">
        <v>3800000</v>
      </c>
      <c r="AP1166" s="3">
        <v>3800000</v>
      </c>
      <c r="AQ1166" s="3">
        <v>3800000</v>
      </c>
      <c r="AR1166" s="3">
        <v>3800000</v>
      </c>
      <c r="AS1166" s="3">
        <v>3800000</v>
      </c>
      <c r="AT1166" s="3">
        <v>3800000</v>
      </c>
      <c r="AU1166" s="3">
        <v>3800000</v>
      </c>
      <c r="AV1166" s="3">
        <v>3800000</v>
      </c>
      <c r="AW1166" s="3">
        <f t="shared" si="73"/>
        <v>0</v>
      </c>
      <c r="AX1166" s="3">
        <f t="shared" si="74"/>
        <v>45600000</v>
      </c>
      <c r="AY1166" s="4">
        <f t="shared" si="75"/>
        <v>12</v>
      </c>
      <c r="AZ1166" s="8" t="s">
        <v>5661</v>
      </c>
      <c r="BA1166" s="4" t="s">
        <v>5709</v>
      </c>
      <c r="BB1166" s="2"/>
      <c r="BC1166" s="3"/>
      <c r="BD1166" s="3"/>
    </row>
    <row r="1167" spans="1:56" ht="16.8" customHeight="1">
      <c r="A1167" s="1">
        <v>1166</v>
      </c>
      <c r="B1167" s="1" t="s">
        <v>3175</v>
      </c>
      <c r="C1167" s="1"/>
      <c r="D1167" s="16" t="s">
        <v>4458</v>
      </c>
      <c r="E1167" s="16" t="s">
        <v>4458</v>
      </c>
      <c r="F1167" s="1" t="s">
        <v>4314</v>
      </c>
      <c r="G1167" s="1" t="s">
        <v>4315</v>
      </c>
      <c r="H1167" s="1"/>
      <c r="I1167" s="18"/>
      <c r="J1167" s="18"/>
      <c r="K1167" s="18"/>
      <c r="L1167" s="18"/>
      <c r="M1167" s="2">
        <v>0</v>
      </c>
      <c r="N1167" s="2">
        <v>0</v>
      </c>
      <c r="O1167" s="2"/>
      <c r="P1167" s="2" t="str">
        <f t="shared" si="72"/>
        <v/>
      </c>
      <c r="Q1167" s="2"/>
      <c r="R1167" s="2"/>
      <c r="S1167" s="48"/>
      <c r="T1167" s="2">
        <v>0</v>
      </c>
      <c r="U1167" s="2">
        <v>0</v>
      </c>
      <c r="V1167" s="1" t="s">
        <v>4460</v>
      </c>
      <c r="W1167" s="6" t="s">
        <v>4461</v>
      </c>
      <c r="X1167" s="1" t="s">
        <v>70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>
        <f t="shared" si="73"/>
        <v>0</v>
      </c>
      <c r="AX1167" s="3">
        <f t="shared" si="74"/>
        <v>0</v>
      </c>
      <c r="AY1167" s="4">
        <f t="shared" si="75"/>
        <v>0</v>
      </c>
      <c r="BA1167" s="4" t="s">
        <v>5726</v>
      </c>
      <c r="BB1167" s="2"/>
      <c r="BC1167" s="3"/>
      <c r="BD1167" s="4"/>
    </row>
    <row r="1168" spans="1:56" ht="16.8" customHeight="1">
      <c r="A1168" s="1">
        <v>1167</v>
      </c>
      <c r="B1168" s="1" t="s">
        <v>3175</v>
      </c>
      <c r="C1168" s="1"/>
      <c r="D1168" s="16" t="s">
        <v>4462</v>
      </c>
      <c r="E1168" s="16" t="s">
        <v>4462</v>
      </c>
      <c r="F1168" s="1" t="s">
        <v>4320</v>
      </c>
      <c r="G1168" s="1" t="s">
        <v>4321</v>
      </c>
      <c r="H1168" s="1"/>
      <c r="I1168" s="18"/>
      <c r="J1168" s="18"/>
      <c r="K1168" s="18"/>
      <c r="L1168" s="18"/>
      <c r="M1168" s="2">
        <v>0</v>
      </c>
      <c r="N1168" s="2">
        <v>0</v>
      </c>
      <c r="O1168" s="2"/>
      <c r="P1168" s="2" t="str">
        <f t="shared" si="72"/>
        <v/>
      </c>
      <c r="Q1168" s="2"/>
      <c r="R1168" s="2"/>
      <c r="S1168" s="48"/>
      <c r="T1168" s="2">
        <v>0</v>
      </c>
      <c r="U1168" s="2">
        <v>0</v>
      </c>
      <c r="V1168" s="1" t="s">
        <v>4321</v>
      </c>
      <c r="W1168" s="6" t="s">
        <v>4464</v>
      </c>
      <c r="X1168" s="1" t="s">
        <v>4180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>
        <f t="shared" si="73"/>
        <v>0</v>
      </c>
      <c r="AX1168" s="3">
        <f t="shared" si="74"/>
        <v>0</v>
      </c>
      <c r="AY1168" s="4">
        <f t="shared" si="75"/>
        <v>0</v>
      </c>
      <c r="BA1168" s="4" t="s">
        <v>5726</v>
      </c>
      <c r="BB1168" s="2"/>
      <c r="BC1168" s="3"/>
      <c r="BD1168" s="4"/>
    </row>
    <row r="1169" spans="1:56" ht="16.8" customHeight="1">
      <c r="A1169" s="1">
        <v>1168</v>
      </c>
      <c r="B1169" s="1" t="s">
        <v>3175</v>
      </c>
      <c r="C1169" s="1"/>
      <c r="D1169" s="16" t="s">
        <v>4465</v>
      </c>
      <c r="E1169" s="16" t="s">
        <v>4465</v>
      </c>
      <c r="F1169" s="1" t="s">
        <v>4466</v>
      </c>
      <c r="G1169" s="1" t="s">
        <v>336</v>
      </c>
      <c r="H1169" s="1"/>
      <c r="I1169" s="18"/>
      <c r="J1169" s="18"/>
      <c r="K1169" s="18"/>
      <c r="L1169" s="18"/>
      <c r="M1169" s="2">
        <v>0</v>
      </c>
      <c r="N1169" s="2">
        <v>0</v>
      </c>
      <c r="O1169" s="2"/>
      <c r="P1169" s="2" t="str">
        <f t="shared" si="72"/>
        <v/>
      </c>
      <c r="Q1169" s="2"/>
      <c r="R1169" s="2"/>
      <c r="S1169" s="48"/>
      <c r="T1169" s="2">
        <v>0</v>
      </c>
      <c r="U1169" s="2">
        <v>0</v>
      </c>
      <c r="V1169" s="1" t="s">
        <v>336</v>
      </c>
      <c r="W1169" s="6" t="s">
        <v>4467</v>
      </c>
      <c r="X1169" s="1" t="s">
        <v>4468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>
        <f t="shared" si="73"/>
        <v>0</v>
      </c>
      <c r="AX1169" s="3">
        <f t="shared" si="74"/>
        <v>0</v>
      </c>
      <c r="AY1169" s="4">
        <f t="shared" si="75"/>
        <v>0</v>
      </c>
      <c r="BA1169" s="4" t="s">
        <v>5726</v>
      </c>
      <c r="BB1169" s="2"/>
      <c r="BC1169" s="3"/>
      <c r="BD1169" s="4"/>
    </row>
    <row r="1170" spans="1:56" ht="16.8" customHeight="1">
      <c r="A1170" s="1">
        <v>1169</v>
      </c>
      <c r="B1170" s="1" t="s">
        <v>3175</v>
      </c>
      <c r="C1170" s="1"/>
      <c r="D1170" s="16" t="s">
        <v>4469</v>
      </c>
      <c r="E1170" s="16" t="s">
        <v>4469</v>
      </c>
      <c r="F1170" s="1" t="s">
        <v>4350</v>
      </c>
      <c r="G1170" s="1" t="s">
        <v>4351</v>
      </c>
      <c r="H1170" s="1"/>
      <c r="I1170" s="18"/>
      <c r="J1170" s="18"/>
      <c r="K1170" s="18"/>
      <c r="L1170" s="18"/>
      <c r="M1170" s="2">
        <v>0</v>
      </c>
      <c r="N1170" s="2">
        <v>0</v>
      </c>
      <c r="O1170" s="2"/>
      <c r="P1170" s="2" t="str">
        <f t="shared" si="72"/>
        <v/>
      </c>
      <c r="Q1170" s="2"/>
      <c r="R1170" s="2"/>
      <c r="S1170" s="48"/>
      <c r="T1170" s="2">
        <v>0</v>
      </c>
      <c r="U1170" s="2">
        <v>0</v>
      </c>
      <c r="V1170" s="1" t="s">
        <v>4470</v>
      </c>
      <c r="W1170" s="6" t="s">
        <v>4471</v>
      </c>
      <c r="X1170" s="1" t="s">
        <v>4472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>
        <f t="shared" si="73"/>
        <v>0</v>
      </c>
      <c r="AX1170" s="3">
        <f t="shared" si="74"/>
        <v>0</v>
      </c>
      <c r="AY1170" s="4">
        <f t="shared" si="75"/>
        <v>0</v>
      </c>
      <c r="BA1170" s="4" t="s">
        <v>5726</v>
      </c>
      <c r="BB1170" s="2"/>
      <c r="BC1170" s="3"/>
      <c r="BD1170" s="4"/>
    </row>
    <row r="1171" spans="1:56" ht="16.8" customHeight="1">
      <c r="A1171" s="1">
        <v>1170</v>
      </c>
      <c r="B1171" s="1" t="s">
        <v>3175</v>
      </c>
      <c r="C1171" s="1"/>
      <c r="D1171" s="16" t="s">
        <v>4473</v>
      </c>
      <c r="E1171" s="16" t="s">
        <v>4473</v>
      </c>
      <c r="F1171" s="1" t="s">
        <v>4244</v>
      </c>
      <c r="G1171" s="1" t="s">
        <v>4245</v>
      </c>
      <c r="H1171" s="1"/>
      <c r="I1171" s="18"/>
      <c r="J1171" s="18"/>
      <c r="K1171" s="18"/>
      <c r="L1171" s="18"/>
      <c r="M1171" s="2">
        <v>0</v>
      </c>
      <c r="N1171" s="2">
        <v>0</v>
      </c>
      <c r="O1171" s="2"/>
      <c r="P1171" s="2" t="str">
        <f t="shared" si="72"/>
        <v/>
      </c>
      <c r="Q1171" s="2"/>
      <c r="R1171" s="2"/>
      <c r="S1171" s="48"/>
      <c r="T1171" s="2">
        <v>0</v>
      </c>
      <c r="U1171" s="2">
        <v>0</v>
      </c>
      <c r="V1171" s="1" t="s">
        <v>4245</v>
      </c>
      <c r="W1171" s="6" t="s">
        <v>4475</v>
      </c>
      <c r="X1171" s="1" t="s">
        <v>261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>
        <f t="shared" si="73"/>
        <v>0</v>
      </c>
      <c r="AX1171" s="3">
        <f t="shared" si="74"/>
        <v>0</v>
      </c>
      <c r="AY1171" s="4">
        <f t="shared" si="75"/>
        <v>0</v>
      </c>
      <c r="BA1171" s="4" t="s">
        <v>5726</v>
      </c>
      <c r="BB1171" s="2"/>
      <c r="BC1171" s="3"/>
      <c r="BD1171" s="4"/>
    </row>
  </sheetData>
  <conditionalFormatting sqref="P2:P1171">
    <cfRule type="expression" dxfId="93" priority="138">
      <formula>P2&lt;&gt;""</formula>
    </cfRule>
  </conditionalFormatting>
  <conditionalFormatting sqref="U2:U1171">
    <cfRule type="cellIs" dxfId="92" priority="139" operator="greaterThan">
      <formula>0</formula>
    </cfRule>
  </conditionalFormatting>
  <conditionalFormatting sqref="Y2:AJ1171 AI6:AP6 AI162:AP162 AI208:AP208 AI227:AP227 AI236:AP236 AH260:AP260 AI295:AP296 AH297:AP297 AI374:AP376 AH377:AP378 AF889:AV889 AE946:AV946 AJ1104:AV1104 AI1120:AP1120 AJ1131:AP1131 AJ1158:AR1158">
    <cfRule type="expression" dxfId="91" priority="136">
      <formula>AND(Y2&gt;0,$M2&gt;0,ABS(Y2-$M2)&gt;100)</formula>
    </cfRule>
  </conditionalFormatting>
  <conditionalFormatting sqref="Y2:AV990 Y992:AV1171 Y991:AJ991">
    <cfRule type="cellIs" dxfId="90" priority="135" operator="greaterThan">
      <formula>0</formula>
    </cfRule>
  </conditionalFormatting>
  <conditionalFormatting sqref="AE946:AV946">
    <cfRule type="expression" dxfId="89" priority="9">
      <formula>AND(AE946&gt;0,$N946&gt;0,ABS(AE946-$N946)&gt;100)</formula>
    </cfRule>
  </conditionalFormatting>
  <conditionalFormatting sqref="AH930:AJ930">
    <cfRule type="expression" dxfId="88" priority="10">
      <formula>AND(AH930&gt;0,$N930&gt;0,ABS(AH930-$N930)&gt;100)</formula>
    </cfRule>
  </conditionalFormatting>
  <conditionalFormatting sqref="AK55:AM56">
    <cfRule type="expression" dxfId="87" priority="101">
      <formula>AND(AK55&gt;0,$M55&gt;0,ABS(AK55-$M55)&gt;100)</formula>
    </cfRule>
  </conditionalFormatting>
  <conditionalFormatting sqref="AK3:AP5">
    <cfRule type="expression" dxfId="86" priority="117">
      <formula>AND(AK3&gt;0,$M3&gt;0,ABS(AK3-$M3)&gt;100)</formula>
    </cfRule>
  </conditionalFormatting>
  <conditionalFormatting sqref="AK14:AP14">
    <cfRule type="expression" dxfId="85" priority="116">
      <formula>AND(AK14&gt;0,$M14&gt;0,ABS(AK14-$M14)&gt;100)</formula>
    </cfRule>
  </conditionalFormatting>
  <conditionalFormatting sqref="AK16:AP16">
    <cfRule type="expression" dxfId="84" priority="115">
      <formula>AND(AK16&gt;0,$M16&gt;0,ABS(AK16-$M16)&gt;100)</formula>
    </cfRule>
  </conditionalFormatting>
  <conditionalFormatting sqref="AK22:AP25">
    <cfRule type="expression" dxfId="83" priority="111">
      <formula>AND(AK22&gt;0,$M22&gt;0,ABS(AK22-$M22)&gt;100)</formula>
    </cfRule>
  </conditionalFormatting>
  <conditionalFormatting sqref="AK34:AP34">
    <cfRule type="expression" dxfId="82" priority="110">
      <formula>AND(AK34&gt;0,$M34&gt;0,ABS(AK34-$M34)&gt;100)</formula>
    </cfRule>
  </conditionalFormatting>
  <conditionalFormatting sqref="AK42:AP42">
    <cfRule type="expression" dxfId="81" priority="109">
      <formula>AND(AK42&gt;0,$M42&gt;0,ABS(AK42-$M42)&gt;100)</formula>
    </cfRule>
  </conditionalFormatting>
  <conditionalFormatting sqref="AK46:AP48">
    <cfRule type="expression" dxfId="80" priority="106">
      <formula>AND(AK46&gt;0,$M46&gt;0,ABS(AK46-$M46)&gt;100)</formula>
    </cfRule>
  </conditionalFormatting>
  <conditionalFormatting sqref="AK51:AP51">
    <cfRule type="expression" dxfId="79" priority="105">
      <formula>AND(AK51&gt;0,$M51&gt;0,ABS(AK51-$M51)&gt;100)</formula>
    </cfRule>
  </conditionalFormatting>
  <conditionalFormatting sqref="AK54:AP54">
    <cfRule type="expression" dxfId="78" priority="104">
      <formula>AND(AK54&gt;0,$M54&gt;0,ABS(AK54-$M54)&gt;100)</formula>
    </cfRule>
  </conditionalFormatting>
  <conditionalFormatting sqref="AK58:AP58">
    <cfRule type="expression" dxfId="77" priority="100">
      <formula>AND(AK58&gt;0,$M58&gt;0,ABS(AK58-$M58)&gt;100)</formula>
    </cfRule>
  </conditionalFormatting>
  <conditionalFormatting sqref="AK61:AP61">
    <cfRule type="expression" dxfId="76" priority="99">
      <formula>AND(AK61&gt;0,$M61&gt;0,ABS(AK61-$M61)&gt;100)</formula>
    </cfRule>
  </conditionalFormatting>
  <conditionalFormatting sqref="AK63:AP65">
    <cfRule type="expression" dxfId="75" priority="96">
      <formula>AND(AK63&gt;0,$M63&gt;0,ABS(AK63-$M63)&gt;100)</formula>
    </cfRule>
  </conditionalFormatting>
  <conditionalFormatting sqref="AK67:AP68">
    <cfRule type="expression" dxfId="74" priority="95">
      <formula>AND(AK67&gt;0,$M67&gt;0,ABS(AK67-$M67)&gt;100)</formula>
    </cfRule>
  </conditionalFormatting>
  <conditionalFormatting sqref="AK72:AP73">
    <cfRule type="expression" dxfId="73" priority="92">
      <formula>AND(AK72&gt;0,$M72&gt;0,ABS(AK72-$M72)&gt;100)</formula>
    </cfRule>
  </conditionalFormatting>
  <conditionalFormatting sqref="AK76:AP77">
    <cfRule type="expression" dxfId="72" priority="90">
      <formula>AND(AK76&gt;0,$M76&gt;0,ABS(AK76-$M76)&gt;100)</formula>
    </cfRule>
  </conditionalFormatting>
  <conditionalFormatting sqref="AK80:AP80">
    <cfRule type="expression" dxfId="71" priority="89">
      <formula>AND(AK80&gt;0,$M80&gt;0,ABS(AK80-$M80)&gt;100)</formula>
    </cfRule>
  </conditionalFormatting>
  <conditionalFormatting sqref="AK89:AP89">
    <cfRule type="expression" dxfId="70" priority="133">
      <formula>AND(AK89&gt;0,$M89&gt;0,ABS(AK89-$M89)&gt;100)</formula>
    </cfRule>
  </conditionalFormatting>
  <conditionalFormatting sqref="AK92:AP93">
    <cfRule type="expression" dxfId="69" priority="87">
      <formula>AND(AK92&gt;0,$M92&gt;0,ABS(AK92-$M92)&gt;100)</formula>
    </cfRule>
  </conditionalFormatting>
  <conditionalFormatting sqref="AK98:AP98">
    <cfRule type="expression" dxfId="68" priority="86">
      <formula>AND(AK98&gt;0,$M98&gt;0,ABS(AK98-$M98)&gt;100)</formula>
    </cfRule>
  </conditionalFormatting>
  <conditionalFormatting sqref="AK100:AP100">
    <cfRule type="expression" dxfId="67" priority="85">
      <formula>AND(AK100&gt;0,$M100&gt;0,ABS(AK100-$M100)&gt;100)</formula>
    </cfRule>
  </conditionalFormatting>
  <conditionalFormatting sqref="AK102:AP102">
    <cfRule type="expression" dxfId="66" priority="84">
      <formula>AND(AK102&gt;0,$M102&gt;0,ABS(AK102-$M102)&gt;100)</formula>
    </cfRule>
  </conditionalFormatting>
  <conditionalFormatting sqref="AK109:AP110">
    <cfRule type="expression" dxfId="65" priority="82">
      <formula>AND(AK109&gt;0,$M109&gt;0,ABS(AK109-$M109)&gt;100)</formula>
    </cfRule>
  </conditionalFormatting>
  <conditionalFormatting sqref="AK113:AP115">
    <cfRule type="expression" dxfId="64" priority="78">
      <formula>AND(AK113&gt;0,$M113&gt;0,ABS(AK113-$M113)&gt;100)</formula>
    </cfRule>
  </conditionalFormatting>
  <conditionalFormatting sqref="AK117:AP117">
    <cfRule type="expression" dxfId="63" priority="77">
      <formula>AND(AK117&gt;0,$M117&gt;0,ABS(AK117-$M117)&gt;100)</formula>
    </cfRule>
  </conditionalFormatting>
  <conditionalFormatting sqref="AK125:AP126">
    <cfRule type="expression" dxfId="62" priority="75">
      <formula>AND(AK125&gt;0,$M125&gt;0,ABS(AK125-$M125)&gt;100)</formula>
    </cfRule>
  </conditionalFormatting>
  <conditionalFormatting sqref="AK132:AP133">
    <cfRule type="expression" dxfId="61" priority="73">
      <formula>AND(AK132&gt;0,$M132&gt;0,ABS(AK132-$M132)&gt;100)</formula>
    </cfRule>
  </conditionalFormatting>
  <conditionalFormatting sqref="AK140:AP140">
    <cfRule type="expression" dxfId="60" priority="132">
      <formula>AND(AK140&gt;0,$M140&gt;0,ABS(AK140-$M140)&gt;100)</formula>
    </cfRule>
  </conditionalFormatting>
  <conditionalFormatting sqref="AK142:AP143">
    <cfRule type="expression" dxfId="59" priority="71">
      <formula>AND(AK142&gt;0,$M142&gt;0,ABS(AK142-$M142)&gt;100)</formula>
    </cfRule>
  </conditionalFormatting>
  <conditionalFormatting sqref="AK148:AP148">
    <cfRule type="expression" dxfId="58" priority="70">
      <formula>AND(AK148&gt;0,$M148&gt;0,ABS(AK148-$M148)&gt;100)</formula>
    </cfRule>
  </conditionalFormatting>
  <conditionalFormatting sqref="AK150:AP150">
    <cfRule type="expression" dxfId="57" priority="69">
      <formula>AND(AK150&gt;0,$M150&gt;0,ABS(AK150-$M150)&gt;100)</formula>
    </cfRule>
  </conditionalFormatting>
  <conditionalFormatting sqref="AK155:AP155">
    <cfRule type="expression" dxfId="56" priority="66">
      <formula>AND(AK155&gt;0,$M155&gt;0,ABS(AK155-$M155)&gt;100)</formula>
    </cfRule>
  </conditionalFormatting>
  <conditionalFormatting sqref="AK157:AP157">
    <cfRule type="expression" dxfId="55" priority="67">
      <formula>AND(AK157&gt;0,$M157&gt;0,ABS(AK157-$M157)&gt;100)</formula>
    </cfRule>
  </conditionalFormatting>
  <conditionalFormatting sqref="AK159:AP160">
    <cfRule type="expression" dxfId="54" priority="64">
      <formula>AND(AK159&gt;0,$M159&gt;0,ABS(AK159-$M159)&gt;100)</formula>
    </cfRule>
  </conditionalFormatting>
  <conditionalFormatting sqref="AK171:AP171">
    <cfRule type="expression" dxfId="53" priority="63">
      <formula>AND(AK171&gt;0,$M171&gt;0,ABS(AK171-$M171)&gt;100)</formula>
    </cfRule>
  </conditionalFormatting>
  <conditionalFormatting sqref="AK174:AP174">
    <cfRule type="expression" dxfId="52" priority="62">
      <formula>AND(AK174&gt;0,$M174&gt;0,ABS(AK174-$M174)&gt;100)</formula>
    </cfRule>
  </conditionalFormatting>
  <conditionalFormatting sqref="AK178:AP178">
    <cfRule type="expression" dxfId="51" priority="61">
      <formula>AND(AK178&gt;0,$M178&gt;0,ABS(AK178-$M178)&gt;100)</formula>
    </cfRule>
  </conditionalFormatting>
  <conditionalFormatting sqref="AK191:AP191">
    <cfRule type="expression" dxfId="50" priority="131">
      <formula>AND(AK191&gt;0,$M191&gt;0,ABS(AK191-$M191)&gt;100)</formula>
    </cfRule>
  </conditionalFormatting>
  <conditionalFormatting sqref="AK193:AP197">
    <cfRule type="expression" dxfId="49" priority="56">
      <formula>AND(AK193&gt;0,$M193&gt;0,ABS(AK193-$M193)&gt;100)</formula>
    </cfRule>
  </conditionalFormatting>
  <conditionalFormatting sqref="AK201:AP201">
    <cfRule type="expression" dxfId="48" priority="55">
      <formula>AND(AK201&gt;0,$M201&gt;0,ABS(AK201-$M201)&gt;100)</formula>
    </cfRule>
  </conditionalFormatting>
  <conditionalFormatting sqref="AK205:AP207">
    <cfRule type="expression" dxfId="47" priority="52">
      <formula>AND(AK205&gt;0,$M205&gt;0,ABS(AK205-$M205)&gt;100)</formula>
    </cfRule>
  </conditionalFormatting>
  <conditionalFormatting sqref="AK209:AP209">
    <cfRule type="expression" dxfId="46" priority="129">
      <formula>AND(AK209&gt;0,$M209&gt;0,ABS(AK209-$M209)&gt;100)</formula>
    </cfRule>
  </conditionalFormatting>
  <conditionalFormatting sqref="AK215:AP215">
    <cfRule type="expression" dxfId="45" priority="51">
      <formula>AND(AK215&gt;0,$M215&gt;0,ABS(AK215-$M215)&gt;100)</formula>
    </cfRule>
  </conditionalFormatting>
  <conditionalFormatting sqref="AK218:AP218">
    <cfRule type="expression" dxfId="44" priority="50">
      <formula>AND(AK218&gt;0,$M218&gt;0,ABS(AK218-$M218)&gt;100)</formula>
    </cfRule>
  </conditionalFormatting>
  <conditionalFormatting sqref="AK225:AP225">
    <cfRule type="expression" dxfId="43" priority="49">
      <formula>AND(AK225&gt;0,$M225&gt;0,ABS(AK225-$M225)&gt;100)</formula>
    </cfRule>
  </conditionalFormatting>
  <conditionalFormatting sqref="AK231:AP231">
    <cfRule type="expression" dxfId="42" priority="48">
      <formula>AND(AK231&gt;0,$M231&gt;0,ABS(AK231-$M231)&gt;100)</formula>
    </cfRule>
  </conditionalFormatting>
  <conditionalFormatting sqref="AK242:AP244">
    <cfRule type="expression" dxfId="41" priority="45">
      <formula>AND(AK242&gt;0,$M242&gt;0,ABS(AK242-$M242)&gt;100)</formula>
    </cfRule>
  </conditionalFormatting>
  <conditionalFormatting sqref="AK248:AP248">
    <cfRule type="expression" dxfId="40" priority="44">
      <formula>AND(AK248&gt;0,$M248&gt;0,ABS(AK248-$M248)&gt;100)</formula>
    </cfRule>
  </conditionalFormatting>
  <conditionalFormatting sqref="AK253:AP254">
    <cfRule type="expression" dxfId="39" priority="42">
      <formula>AND(AK253&gt;0,$M253&gt;0,ABS(AK253-$M253)&gt;100)</formula>
    </cfRule>
  </conditionalFormatting>
  <conditionalFormatting sqref="AK256:AP258">
    <cfRule type="expression" dxfId="38" priority="39">
      <formula>AND(AK256&gt;0,$M256&gt;0,ABS(AK256-$M256)&gt;100)</formula>
    </cfRule>
  </conditionalFormatting>
  <conditionalFormatting sqref="AK261:AP261">
    <cfRule type="expression" dxfId="37" priority="35">
      <formula>AND(AK261&gt;0,$M261&gt;0,ABS(AK261-$M261)&gt;100)</formula>
    </cfRule>
  </conditionalFormatting>
  <conditionalFormatting sqref="AK265:AP265">
    <cfRule type="expression" dxfId="36" priority="33">
      <formula>AND(AK265&gt;0,$M265&gt;0,ABS(AK265-$M265)&gt;100)</formula>
    </cfRule>
  </conditionalFormatting>
  <conditionalFormatting sqref="AK270:AP270">
    <cfRule type="expression" dxfId="35" priority="32">
      <formula>AND(AK270&gt;0,$M270&gt;0,ABS(AK270-$M270)&gt;100)</formula>
    </cfRule>
  </conditionalFormatting>
  <conditionalFormatting sqref="AK277:AP277">
    <cfRule type="expression" dxfId="34" priority="31">
      <formula>AND(AK277&gt;0,$M277&gt;0,ABS(AK277-$M277)&gt;100)</formula>
    </cfRule>
  </conditionalFormatting>
  <conditionalFormatting sqref="AK285:AP285">
    <cfRule type="expression" dxfId="33" priority="30">
      <formula>AND(AK285&gt;0,$M285&gt;0,ABS(AK285-$M285)&gt;100)</formula>
    </cfRule>
  </conditionalFormatting>
  <conditionalFormatting sqref="AK290:AP290">
    <cfRule type="expression" dxfId="32" priority="29">
      <formula>AND(AK290&gt;0,$M290&gt;0,ABS(AK290-$M290)&gt;100)</formula>
    </cfRule>
  </conditionalFormatting>
  <conditionalFormatting sqref="AK293:AP294">
    <cfRule type="expression" dxfId="31" priority="27">
      <formula>AND(AK293&gt;0,$M293&gt;0,ABS(AK293-$M293)&gt;100)</formula>
    </cfRule>
  </conditionalFormatting>
  <conditionalFormatting sqref="AK298:AP298">
    <cfRule type="expression" dxfId="30" priority="26">
      <formula>AND(AK298&gt;0,$M298&gt;0,ABS(AK298-$M298)&gt;100)</formula>
    </cfRule>
  </conditionalFormatting>
  <conditionalFormatting sqref="AK300:AP300">
    <cfRule type="expression" dxfId="29" priority="25">
      <formula>AND(AK300&gt;0,$M300&gt;0,ABS(AK300-$M300)&gt;100)</formula>
    </cfRule>
  </conditionalFormatting>
  <conditionalFormatting sqref="AK316:AP316">
    <cfRule type="expression" dxfId="28" priority="24">
      <formula>AND(AK316&gt;0,$M316&gt;0,ABS(AK316-$M316)&gt;100)</formula>
    </cfRule>
  </conditionalFormatting>
  <conditionalFormatting sqref="AK320:AP320">
    <cfRule type="expression" dxfId="27" priority="23">
      <formula>AND(AK320&gt;0,$M320&gt;0,ABS(AK320-$M320)&gt;100)</formula>
    </cfRule>
  </conditionalFormatting>
  <conditionalFormatting sqref="AK324:AP325">
    <cfRule type="expression" dxfId="26" priority="20">
      <formula>AND(AK324&gt;0,$M324&gt;0,ABS(AK324-$M324)&gt;100)</formula>
    </cfRule>
  </conditionalFormatting>
  <conditionalFormatting sqref="AK342:AP343">
    <cfRule type="expression" dxfId="25" priority="18">
      <formula>AND(AK342&gt;0,$M342&gt;0,ABS(AK342-$M342)&gt;100)</formula>
    </cfRule>
  </conditionalFormatting>
  <conditionalFormatting sqref="AK352:AP352">
    <cfRule type="expression" dxfId="24" priority="38">
      <formula>AND(AK352&gt;0,$M352&gt;0,ABS(AK352-$M352)&gt;100)</formula>
    </cfRule>
  </conditionalFormatting>
  <conditionalFormatting sqref="AK365:AP365">
    <cfRule type="expression" dxfId="23" priority="37">
      <formula>AND(AK365&gt;0,$M365&gt;0,ABS(AK365-$M365)&gt;100)</formula>
    </cfRule>
  </conditionalFormatting>
  <conditionalFormatting sqref="AK389:AP389">
    <cfRule type="expression" dxfId="22" priority="127">
      <formula>AND(AK389&gt;0,$M389&gt;0,ABS(AK389-$M389)&gt;100)</formula>
    </cfRule>
  </conditionalFormatting>
  <conditionalFormatting sqref="AK391:AP391">
    <cfRule type="expression" dxfId="21" priority="36">
      <formula>AND(AK391&gt;0,$M391&gt;0,ABS(AK391-$M391)&gt;100)</formula>
    </cfRule>
  </conditionalFormatting>
  <conditionalFormatting sqref="AK398:AP398">
    <cfRule type="expression" dxfId="20" priority="17">
      <formula>AND(AK398&gt;0,$M398&gt;0,ABS(AK398-$M398)&gt;100)</formula>
    </cfRule>
  </conditionalFormatting>
  <conditionalFormatting sqref="AK491:AP491">
    <cfRule type="expression" dxfId="19" priority="16">
      <formula>AND(AK491&gt;0,$M491&gt;0,ABS(AK491-$M491)&gt;100)</formula>
    </cfRule>
  </conditionalFormatting>
  <conditionalFormatting sqref="AK531:AP531">
    <cfRule type="expression" dxfId="18" priority="15">
      <formula>AND(AK531&gt;0,$M531&gt;0,ABS(AK531-$M531)&gt;100)</formula>
    </cfRule>
  </conditionalFormatting>
  <conditionalFormatting sqref="AK568:AP568">
    <cfRule type="expression" dxfId="17" priority="126">
      <formula>AND(AK568&gt;0,$M568&gt;0,ABS(AK568-$M568)&gt;100)</formula>
    </cfRule>
  </conditionalFormatting>
  <conditionalFormatting sqref="AK621:AP621">
    <cfRule type="expression" dxfId="16" priority="14">
      <formula>AND(AK621&gt;0,$M621&gt;0,ABS(AK621-$M621)&gt;100)</formula>
    </cfRule>
  </conditionalFormatting>
  <conditionalFormatting sqref="AK971:AP971">
    <cfRule type="expression" dxfId="15" priority="125">
      <formula>AND(AK971&gt;0,$M971&gt;0,ABS(AK971-$M971)&gt;100)</formula>
    </cfRule>
  </conditionalFormatting>
  <conditionalFormatting sqref="AK1004:AP1004">
    <cfRule type="expression" dxfId="14" priority="122">
      <formula>AND(AK1004&gt;0,$M1004&gt;0,ABS(AK1004-$M1004)&gt;100)</formula>
    </cfRule>
  </conditionalFormatting>
  <conditionalFormatting sqref="AK1029:AP1029">
    <cfRule type="expression" dxfId="13" priority="121">
      <formula>AND(AK1029&gt;0,$M1029&gt;0,ABS(AK1029-$M1029)&gt;100)</formula>
    </cfRule>
  </conditionalFormatting>
  <conditionalFormatting sqref="AK1039:AP1039">
    <cfRule type="expression" dxfId="12" priority="6">
      <formula>AND(AK1039&gt;0,$M1039&gt;0,ABS(AK1039-$M1039)&gt;100)</formula>
    </cfRule>
  </conditionalFormatting>
  <conditionalFormatting sqref="AK1042:AP1042">
    <cfRule type="expression" dxfId="11" priority="120">
      <formula>AND(AK1042&gt;0,$M1042&gt;0,ABS(AK1042-$M1042)&gt;100)</formula>
    </cfRule>
  </conditionalFormatting>
  <conditionalFormatting sqref="AK2:AV990 AK992:AV1171">
    <cfRule type="expression" dxfId="10" priority="137">
      <formula>AND(AK2&gt;0,$N2&gt;0,ABS(AK2-$N2)&gt;100)</formula>
    </cfRule>
  </conditionalFormatting>
  <conditionalFormatting sqref="AK717:AV717">
    <cfRule type="expression" dxfId="9" priority="13">
      <formula>AND(AK717&gt;0,$M717&gt;0,ABS(AK717-$M717)&gt;100)</formula>
    </cfRule>
  </conditionalFormatting>
  <conditionalFormatting sqref="AK855:AV856">
    <cfRule type="expression" dxfId="8" priority="11">
      <formula>AND(AK855&gt;0,$M855&gt;0,ABS(AK855-$M855)&gt;100)</formula>
    </cfRule>
  </conditionalFormatting>
  <conditionalFormatting sqref="AK1002:AV1002">
    <cfRule type="expression" dxfId="7" priority="123">
      <formula>AND(AK1002&gt;0,$M1002&gt;0,ABS(AK1002-$M1002)&gt;100)</formula>
    </cfRule>
  </conditionalFormatting>
  <conditionalFormatting sqref="AK1010:AV1010">
    <cfRule type="expression" dxfId="6" priority="8">
      <formula>AND(AK1010&gt;0,$M1010&gt;0,ABS(AK1010-$M1010)&gt;100)</formula>
    </cfRule>
  </conditionalFormatting>
  <conditionalFormatting sqref="AK1072:AV1072">
    <cfRule type="expression" dxfId="5" priority="5">
      <formula>AND(AK1072&gt;0,$M1072&gt;0,ABS(AK1072-$M1072)&gt;100)</formula>
    </cfRule>
  </conditionalFormatting>
  <conditionalFormatting sqref="AK1085:AV1085">
    <cfRule type="expression" dxfId="4" priority="4">
      <formula>AND(AK1085&gt;0,$M1085&gt;0,ABS(AK1085-$M1085)&gt;100)</formula>
    </cfRule>
  </conditionalFormatting>
  <conditionalFormatting sqref="AK1100:AV1100">
    <cfRule type="expression" dxfId="3" priority="3">
      <formula>AND(AK1100&gt;0,$M1100&gt;0,ABS(AK1100-$M1100)&gt;100)</formula>
    </cfRule>
  </conditionalFormatting>
  <conditionalFormatting sqref="AK1117:AV1117">
    <cfRule type="expression" dxfId="2" priority="2">
      <formula>AND(AK1117&gt;0,$M1117&gt;0,ABS(AK1117-$M1117)&gt;100)</formula>
    </cfRule>
  </conditionalFormatting>
  <conditionalFormatting sqref="AK1122:AV1122">
    <cfRule type="expression" dxfId="1" priority="1">
      <formula>AND(AK1122&gt;0,$M1122&gt;0,ABS(AK1122-$M1122)&gt;100)</formula>
    </cfRule>
  </conditionalFormatting>
  <conditionalFormatting sqref="AN55:AP55">
    <cfRule type="expression" dxfId="0" priority="102">
      <formula>AND(AN55&gt;0,$M55&gt;0,ABS(AN55-$M55)&gt;100)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dõi đầy đủ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haynh</dc:creator>
  <cp:lastModifiedBy>Vũ Thị Lan Phương</cp:lastModifiedBy>
  <cp:lastPrinted>2026-07-25T13:03:31Z</cp:lastPrinted>
  <dcterms:created xsi:type="dcterms:W3CDTF">2026-07-14T12:52:56Z</dcterms:created>
  <dcterms:modified xsi:type="dcterms:W3CDTF">2026-07-25T16:53:50Z</dcterms:modified>
</cp:coreProperties>
</file>